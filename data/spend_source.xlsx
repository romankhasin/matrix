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Апрель" sheetId="1" r:id="rId5"/>
    <sheet state="visible" name="Май 2026" sheetId="2" r:id="rId6"/>
    <sheet state="visible" name="Июнь 2026" sheetId="3" r:id="rId7"/>
    <sheet state="visible" name="Июнь 2026 (по неделям)" sheetId="4" r:id="rId8"/>
    <sheet state="visible" name="Июль 2026" sheetId="5" r:id="rId9"/>
    <sheet state="visible" name="Август 2026" sheetId="6" r:id="rId10"/>
    <sheet state="visible" name="Сводная таблица август" sheetId="7" r:id="rId11"/>
    <sheet state="hidden" name="Сводная таблица май" sheetId="8" r:id="rId12"/>
    <sheet state="hidden" name="Сводная таблица июнь" sheetId="9" r:id="rId13"/>
    <sheet state="visible" name="Сводная таблица июль" sheetId="10" r:id="rId14"/>
    <sheet state="hidden" name="Лист3" sheetId="11" r:id="rId15"/>
  </sheets>
  <definedNames>
    <definedName hidden="1" localSheetId="0" name="_xlnm._FilterDatabase">'Апрель'!$A$1:$Z$86</definedName>
    <definedName hidden="1" localSheetId="1" name="_xlnm._FilterDatabase">'Май 2026'!$A$1:$Z$994</definedName>
    <definedName hidden="1" localSheetId="2" name="_xlnm._FilterDatabase">'Июнь 2026'!$A$1:$J$1032</definedName>
    <definedName hidden="1" localSheetId="3" name="_xlnm._FilterDatabase">'Июнь 2026 (по неделям)'!$A$1:$K$1308</definedName>
    <definedName hidden="1" localSheetId="4" name="_xlnm._FilterDatabase">'Июль 2026'!$A$1:$I$1038</definedName>
    <definedName hidden="1" localSheetId="6" name="_xlnm._FilterDatabase">'Сводная таблица август'!$A$1:$Z$39</definedName>
    <definedName hidden="1" localSheetId="8" name="_xlnm._FilterDatabase">'Сводная таблица июнь'!$A$1:$C$41</definedName>
  </definedNames>
  <calcPr/>
  <pivotCaches>
    <pivotCache cacheId="0" r:id="rId16"/>
    <pivotCache cacheId="1" r:id="rId17"/>
    <pivotCache cacheId="2" r:id="rId18"/>
    <pivotCache cacheId="3" r:id="rId1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tc={fc63e1fb-0673-4a53-9de9-206985d5ea6e}</author>
  </authors>
  <commentList>
    <comment authorId="0" ref="F62">
      <text>
        <t xml:space="preserve">Данные по пикселям показа по 13 мая из-за проблемы с ТА после добавления пикселя Яндекс Аудитории</t>
      </text>
    </comment>
    <comment authorId="1" xr:uid="{fc63e1fb-0673-4a53-9de9-206985d5ea6e}" ref="W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мп меньше бюджет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tc={1a32b4fc-8004-4088-afcd-6bc819262bec}</author>
    <author>tc={4e654728-f061-460c-aeb8-0c59b167375c}</author>
    <author>tc={5b0c7e83-b39f-4627-8f2e-7d65ae7693b2}</author>
    <author>tc={af6b2932-1503-4280-8b90-15beafd26afe}</author>
  </authors>
  <commentList>
    <comment authorId="0" xr:uid="{1a32b4fc-8004-4088-afcd-6bc819262bec}" ref="G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сумма учитывает компенсацию?
</t>
      </text>
    </comment>
    <comment authorId="1" xr:uid="{4e654728-f061-460c-aeb8-0c59b167375c}" ref="G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тут сумма с компенсацией?
</t>
      </text>
    </comment>
    <comment authorId="2" xr:uid="{5b0c7e83-b39f-4627-8f2e-7d65ae7693b2}" ref="G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точно ли эта вся сумма? в мп больше заложено
</t>
      </text>
    </comment>
    <comment authorId="3" xr:uid="{af6b2932-1503-4280-8b90-15beafd26afe}" ref="G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подскажите, пожалуйста, откуда расход - в мп не нашла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tc={155b4a87-26ce-41dd-8359-56ba6ebf0ad5}</author>
    <author>tc={3cf4f336-f5e5-424c-99f6-0d8b9d7ef0e3}</author>
    <author>tc={5dfea72e-e10f-46cc-85fb-2f17bc2434ee}</author>
    <author>tc={a67a17b0-43ad-497f-91ba-cb26f0446c48}</author>
  </authors>
  <commentList>
    <comment authorId="0" xr:uid="{155b4a87-26ce-41dd-8359-56ba6ebf0ad5}" ref="D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Лиды
</t>
      </text>
    </comment>
    <comment authorId="1" xr:uid="{3cf4f336-f5e5-424c-99f6-0d8b9d7ef0e3}" ref="B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 какое юр лицо будет выставлен счет?
</t>
      </text>
    </comment>
    <comment authorId="2" xr:uid="{5dfea72e-e10f-46cc-85fb-2f17bc2434ee}" ref="B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 какое юр лицо будет выставлен счет?
</t>
      </text>
    </comment>
    <comment authorId="3" xr:uid="{a67a17b0-43ad-497f-91ba-cb26f0446c48}" ref="D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Лиды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tc={0f07ca52-b57c-443f-b2d3-243295cd3a2a}</author>
  </authors>
  <commentList>
    <comment authorId="0" xr:uid="{0f07ca52-b57c-443f-b2d3-243295cd3a2a}" ref="L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сумма по ЛГ
</t>
      </text>
    </comment>
  </commentList>
</comments>
</file>

<file path=xl/sharedStrings.xml><?xml version="1.0" encoding="utf-8"?>
<sst xmlns="http://schemas.openxmlformats.org/spreadsheetml/2006/main" count="2331" uniqueCount="189">
  <si>
    <t>Площадка</t>
  </si>
  <si>
    <t>Проект</t>
  </si>
  <si>
    <t>Показы</t>
  </si>
  <si>
    <t>Клики</t>
  </si>
  <si>
    <t>CTR</t>
  </si>
  <si>
    <t>Расход без НДС</t>
  </si>
  <si>
    <t>Показы по трекеру</t>
  </si>
  <si>
    <t>Неделяя</t>
  </si>
  <si>
    <t>Показы по МП</t>
  </si>
  <si>
    <t>Расход с НДС</t>
  </si>
  <si>
    <t>Трекер vs Кабинет</t>
  </si>
  <si>
    <t>IVT</t>
  </si>
  <si>
    <t>GIVT</t>
  </si>
  <si>
    <t>Расход с НДС и АК</t>
  </si>
  <si>
    <t>SIVT</t>
  </si>
  <si>
    <t>IVT по кликам</t>
  </si>
  <si>
    <t>ВсеЗвонки
Comagic</t>
  </si>
  <si>
    <t>ПКзвонки
Comagic</t>
  </si>
  <si>
    <t>ПК звонки Comagic (по тегу "первичный")</t>
  </si>
  <si>
    <t>CPC</t>
  </si>
  <si>
    <t>CPM до НДС и АК</t>
  </si>
  <si>
    <t>CPС до НДС и АК</t>
  </si>
  <si>
    <t xml:space="preserve"> </t>
  </si>
  <si>
    <t>Яндекс Go</t>
  </si>
  <si>
    <t>Мичуринский</t>
  </si>
  <si>
    <t>Yandex go</t>
  </si>
  <si>
    <t>PVCзвонки(30дней)</t>
  </si>
  <si>
    <t>Отказы</t>
  </si>
  <si>
    <t>01.06 - 07.06</t>
  </si>
  <si>
    <t>Глубинапросмотра</t>
  </si>
  <si>
    <t>Времянасайте</t>
  </si>
  <si>
    <t>Глубина просмотра</t>
  </si>
  <si>
    <t>Время на сайте</t>
  </si>
  <si>
    <t>Расход с НДС и АК с учетом компенсации</t>
  </si>
  <si>
    <t>08.06 - 14.06</t>
  </si>
  <si>
    <t>Ozon</t>
  </si>
  <si>
    <t>15.06 - 21.06</t>
  </si>
  <si>
    <t>SOLTA</t>
  </si>
  <si>
    <t>22.06 - 30.06</t>
  </si>
  <si>
    <t>Mts.ru OLV</t>
  </si>
  <si>
    <t>media.yandex</t>
  </si>
  <si>
    <t>Video yandex</t>
  </si>
  <si>
    <t>Adsheads</t>
  </si>
  <si>
    <t>Ads-heads.ru</t>
  </si>
  <si>
    <t>Mts.ru</t>
  </si>
  <si>
    <t>Promopages.yandex.ru</t>
  </si>
  <si>
    <t>ИТОГО</t>
  </si>
  <si>
    <t>vendor.market.yandex.ru</t>
  </si>
  <si>
    <t>22.06 - 28.06</t>
  </si>
  <si>
    <t>1 698 958</t>
  </si>
  <si>
    <t>2 277</t>
  </si>
  <si>
    <t>Avito</t>
  </si>
  <si>
    <t>29.06 - 30.06</t>
  </si>
  <si>
    <t>Левел Групп</t>
  </si>
  <si>
    <t>Market yandex</t>
  </si>
  <si>
    <t>Aviasales</t>
  </si>
  <si>
    <t>2Gis</t>
  </si>
  <si>
    <t>Buzzoola</t>
  </si>
  <si>
    <t>Rutube</t>
  </si>
  <si>
    <t>Дзен Статьи</t>
  </si>
  <si>
    <t>Дзен Сообщество</t>
  </si>
  <si>
    <t>VK Ads Сообщество</t>
  </si>
  <si>
    <t>Южнопортовая</t>
  </si>
  <si>
    <t>Т-Банк</t>
  </si>
  <si>
    <t>МТС</t>
  </si>
  <si>
    <t>Звенигородская</t>
  </si>
  <si>
    <t>Segmento</t>
  </si>
  <si>
    <t>-</t>
  </si>
  <si>
    <t>Netmonet</t>
  </si>
  <si>
    <t>Plazkart</t>
  </si>
  <si>
    <t>Tbank</t>
  </si>
  <si>
    <t>-%</t>
  </si>
  <si>
    <t>VK Ads</t>
  </si>
  <si>
    <t>Mts.ru premium last</t>
  </si>
  <si>
    <t>Mts.ru premium</t>
  </si>
  <si>
    <t>Регионы</t>
  </si>
  <si>
    <t>Adspector OLV</t>
  </si>
  <si>
    <t>Остатки</t>
  </si>
  <si>
    <t>Roxot</t>
  </si>
  <si>
    <t>Дзен</t>
  </si>
  <si>
    <t>Нижегородская</t>
  </si>
  <si>
    <t>Селигерская</t>
  </si>
  <si>
    <t>video.yandex</t>
  </si>
  <si>
    <t>qbid</t>
  </si>
  <si>
    <t>Лесной</t>
  </si>
  <si>
    <t>amberdata.ru</t>
  </si>
  <si>
    <t>VK Video</t>
  </si>
  <si>
    <t>Мечникова</t>
  </si>
  <si>
    <t>Avito OLV</t>
  </si>
  <si>
    <t>Павелецкая Сити</t>
  </si>
  <si>
    <t>Саввинская</t>
  </si>
  <si>
    <t>Astralab</t>
  </si>
  <si>
    <t>Pass24</t>
  </si>
  <si>
    <t>Премиальная Коллекция</t>
  </si>
  <si>
    <t>Войковская</t>
  </si>
  <si>
    <t>Свободы</t>
  </si>
  <si>
    <t>2gis</t>
  </si>
  <si>
    <t>Воронцовская</t>
  </si>
  <si>
    <t>q.bid OLV</t>
  </si>
  <si>
    <t>Нижегородская Work</t>
  </si>
  <si>
    <t>TargetAds (прямой, без НДС)</t>
  </si>
  <si>
    <t>Левел Групп (немарк)</t>
  </si>
  <si>
    <t>TargetAds (прямой, без НДС) - JS-трекинг</t>
  </si>
  <si>
    <t>TargetAds (прямой, без НДС) - Видео-код</t>
  </si>
  <si>
    <t>Digital Alliance</t>
  </si>
  <si>
    <t>Яндекс Маркет</t>
  </si>
  <si>
    <t>Бауманская</t>
  </si>
  <si>
    <t>Академическая</t>
  </si>
  <si>
    <t>Adspector</t>
  </si>
  <si>
    <t>Самокат</t>
  </si>
  <si>
    <t>Roomfi</t>
  </si>
  <si>
    <t>Arendator</t>
  </si>
  <si>
    <t>Marketcall</t>
  </si>
  <si>
    <t>Getflat</t>
  </si>
  <si>
    <t>MTS OLV</t>
  </si>
  <si>
    <t>Сторонний подрядчик (с НДС 5%)</t>
  </si>
  <si>
    <t>6feeds (прямой)</t>
  </si>
  <si>
    <t>Фонтанка</t>
  </si>
  <si>
    <t>249 783,35 ₽</t>
  </si>
  <si>
    <t>МТС OLV</t>
  </si>
  <si>
    <t>Wildberries</t>
  </si>
  <si>
    <t>Пятерочка</t>
  </si>
  <si>
    <t>Волга</t>
  </si>
  <si>
    <t>Яндекс Погода</t>
  </si>
  <si>
    <t>Саввинская 17</t>
  </si>
  <si>
    <t>Work Воронцовская</t>
  </si>
  <si>
    <t>Amberdata</t>
  </si>
  <si>
    <t>Work Нижегородская</t>
  </si>
  <si>
    <t>Яндекс OLV</t>
  </si>
  <si>
    <t>Альфа-Мобайл</t>
  </si>
  <si>
    <t>VOX</t>
  </si>
  <si>
    <t>qbid video</t>
  </si>
  <si>
    <t>не совпадает с закрытием</t>
  </si>
  <si>
    <t>First Data</t>
  </si>
  <si>
    <t>qbid banner</t>
  </si>
  <si>
    <t>Work Свободы</t>
  </si>
  <si>
    <t>СМИ2</t>
  </si>
  <si>
    <t>CRE</t>
  </si>
  <si>
    <t>Soloway</t>
  </si>
  <si>
    <t>Level Зонтик Москва</t>
  </si>
  <si>
    <t>DIGITAL ALLIANCE</t>
  </si>
  <si>
    <t>media.yandex Прайм баннер</t>
  </si>
  <si>
    <t xml:space="preserve">не совпадает с планом </t>
  </si>
  <si>
    <t>Tiburon</t>
  </si>
  <si>
    <t>Премиальная коллекция</t>
  </si>
  <si>
    <t>Innovation Lab</t>
  </si>
  <si>
    <t>DIGITAL ALLIANCE ONLINE CINEMA PACK</t>
  </si>
  <si>
    <t>DIGITAL ALLIANCE In-stream</t>
  </si>
  <si>
    <t>Video yandex (Connected TV)</t>
  </si>
  <si>
    <t>Astralab Video</t>
  </si>
  <si>
    <t>Mobidriven</t>
  </si>
  <si>
    <t>TargetAds</t>
  </si>
  <si>
    <t>SUM из Показы</t>
  </si>
  <si>
    <t>SUM из Клики</t>
  </si>
  <si>
    <t>SUM из Расход с НДС</t>
  </si>
  <si>
    <t>SUM из Расход без НДС</t>
  </si>
  <si>
    <t>Итого</t>
  </si>
  <si>
    <t>Контрагент (юр лицо исполнителя)</t>
  </si>
  <si>
    <t>Организация (Юр лицо Застройщик)</t>
  </si>
  <si>
    <t>project</t>
  </si>
  <si>
    <t>channel</t>
  </si>
  <si>
    <t>type_platform</t>
  </si>
  <si>
    <t>platform</t>
  </si>
  <si>
    <t>Формат</t>
  </si>
  <si>
    <t>период (календарный месяц)</t>
  </si>
  <si>
    <t>Бюджет с НДС</t>
  </si>
  <si>
    <t>АК</t>
  </si>
  <si>
    <t>Бюджет с НДС и АК</t>
  </si>
  <si>
    <t>Просмотры</t>
  </si>
  <si>
    <t>VTR</t>
  </si>
  <si>
    <t>Частота</t>
  </si>
  <si>
    <t>Охват</t>
  </si>
  <si>
    <t>Выкупаемый объем</t>
  </si>
  <si>
    <t>Звонки</t>
  </si>
  <si>
    <t>CPM = бюджет с ндс / показы *1000</t>
  </si>
  <si>
    <t>CPC = бюджет с ндс / клики</t>
  </si>
  <si>
    <t>Единица закупки = показы / клики / звонки / период</t>
  </si>
  <si>
    <t>Единица закупки</t>
  </si>
  <si>
    <t>Баинговая цена до НДС</t>
  </si>
  <si>
    <t>Регион</t>
  </si>
  <si>
    <t>Комментарии</t>
  </si>
  <si>
    <t>Наценки</t>
  </si>
  <si>
    <t>Скидка</t>
  </si>
  <si>
    <t>Итоговая цена единицы закупки до НДС</t>
  </si>
  <si>
    <t>Итоговая сумма размещения до НДС</t>
  </si>
  <si>
    <t>таргетинг</t>
  </si>
  <si>
    <t>Тип пикселя</t>
  </si>
  <si>
    <t>Процент unic reach%</t>
  </si>
  <si>
    <t>Статус согласования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</si>
</sst>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р.-419]#,##0.00"/>
    <numFmt numFmtId="165" formatCode="#,##0.00%"/>
    <numFmt numFmtId="166" formatCode="H:mm:ss"/>
    <numFmt numFmtId="167" formatCode="#,##0.00&quot;р.&quot;"/>
    <numFmt numFmtId="168" formatCode="#,##0_);(#,##0)"/>
    <numFmt numFmtId="169" formatCode="[$р.-419]#,##0"/>
    <numFmt numFmtId="170" formatCode="#,##0\ &quot;₽&quot;"/>
  </numFmts>
  <fonts count="20">
    <font>
      <sz val="10.0"/>
      <color rgb="FF000000"/>
      <name val="Arial"/>
      <scheme val="minor"/>
    </font>
    <font>
      <b/>
      <sz val="10.0"/>
      <color theme="1"/>
      <name val="Calibri"/>
    </font>
    <font>
      <b/>
      <color theme="1"/>
      <name val="Calibri"/>
    </font>
    <font>
      <sz val="10.0"/>
      <color theme="1"/>
      <name val="Arial"/>
      <scheme val="minor"/>
    </font>
    <font>
      <sz val="10.0"/>
      <color theme="1"/>
      <name val="Calibri"/>
    </font>
    <font>
      <sz val="11.0"/>
      <color theme="1"/>
      <name val="Calibri"/>
    </font>
    <font>
      <color theme="1"/>
      <name val="Calibri"/>
    </font>
    <font>
      <sz val="10.0"/>
      <color rgb="FF000000"/>
      <name val="Calibri"/>
    </font>
    <font/>
    <font>
      <color theme="1"/>
      <name val="Montserrat"/>
    </font>
    <font>
      <sz val="10.0"/>
      <color rgb="FF1F1F1F"/>
      <name val="Calibri"/>
    </font>
    <font>
      <u/>
      <sz val="11.0"/>
      <color rgb="FF0000FF"/>
      <name val="Calibri"/>
    </font>
    <font>
      <sz val="10.0"/>
      <color theme="1"/>
      <name val="Arial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u/>
      <color rgb="FF1155CC"/>
      <name val="Calibri"/>
    </font>
    <font>
      <color theme="1"/>
      <name val="Arial"/>
      <scheme val="minor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A64D79"/>
        <bgColor rgb="FFA64D79"/>
      </patternFill>
    </fill>
    <fill>
      <patternFill patternType="solid">
        <fgColor rgb="FFC27BA0"/>
        <bgColor rgb="FFC27BA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CE4D6"/>
        <bgColor rgb="FFFCE4D6"/>
      </patternFill>
    </fill>
  </fills>
  <borders count="30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hair">
        <color rgb="FFB7B7B7"/>
      </right>
      <top style="thin">
        <color rgb="FF000000"/>
      </top>
      <bottom style="hair">
        <color rgb="FFB7B7B7"/>
      </bottom>
    </border>
    <border>
      <left style="thin">
        <color rgb="FF000000"/>
      </left>
      <right style="hair">
        <color rgb="FFB7B7B7"/>
      </right>
      <top style="thin">
        <color rgb="FF000000"/>
      </top>
    </border>
    <border>
      <left style="hair">
        <color rgb="FFB7B7B7"/>
      </left>
      <right style="hair">
        <color rgb="FFB7B7B7"/>
      </right>
      <top style="thin">
        <color rgb="FF000000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thin">
        <color rgb="FF000000"/>
      </top>
    </border>
    <border>
      <left style="hair">
        <color rgb="FFB7B7B7"/>
      </left>
      <right style="thin">
        <color rgb="FF000000"/>
      </right>
      <top style="thin">
        <color rgb="FF000000"/>
      </top>
      <bottom style="hair">
        <color rgb="FFB7B7B7"/>
      </bottom>
    </border>
    <border>
      <left style="hair">
        <color rgb="FFB7B7B7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right style="dotted">
        <color rgb="FFD9D9D9"/>
      </right>
      <bottom style="dotted">
        <color rgb="FFD9D9D9"/>
      </bottom>
    </border>
    <border>
      <left style="dotted">
        <color rgb="FFD9D9D9"/>
      </left>
      <right style="dotted">
        <color rgb="FFD9D9D9"/>
      </right>
      <bottom style="dotted">
        <color rgb="FFD9D9D9"/>
      </bottom>
    </border>
    <border>
      <top style="thin">
        <color rgb="FF000000"/>
      </top>
    </border>
    <border>
      <left style="hair">
        <color rgb="FFB7B7B7"/>
      </left>
      <right style="thin">
        <color rgb="FF000000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thin">
        <color rgb="FF000000"/>
      </right>
      <top style="hair">
        <color rgb="FFB7B7B7"/>
      </top>
    </border>
    <border>
      <left style="thin">
        <color rgb="FF000000"/>
      </left>
      <top style="hair">
        <color rgb="FFB7B7B7"/>
      </top>
      <bottom style="hair">
        <color rgb="FFB7B7B7"/>
      </bottom>
    </border>
    <border>
      <right style="hair">
        <color rgb="FFB7B7B7"/>
      </right>
      <top style="hair">
        <color rgb="FFB7B7B7"/>
      </top>
      <bottom style="hair">
        <color rgb="FFB7B7B7"/>
      </bottom>
    </border>
    <border>
      <left style="thin">
        <color rgb="FF000000"/>
      </left>
      <right style="hair">
        <color rgb="FFB7B7B7"/>
      </right>
      <top style="hair">
        <color rgb="FFB7B7B7"/>
      </top>
    </border>
    <border>
      <left style="thin">
        <color rgb="FF000000"/>
      </left>
      <top style="thin">
        <color rgb="FF000000"/>
      </top>
    </border>
    <border>
      <right style="hair">
        <color rgb="FFB7B7B7"/>
      </right>
      <top style="thin">
        <color rgb="FF000000"/>
      </top>
    </border>
    <border>
      <left style="thin">
        <color rgb="FF000000"/>
      </left>
      <top style="hair">
        <color rgb="FFB7B7B7"/>
      </top>
      <bottom style="thin">
        <color rgb="FF000000"/>
      </bottom>
    </border>
    <border>
      <right style="hair">
        <color rgb="FFB7B7B7"/>
      </right>
      <top style="hair">
        <color rgb="FFB7B7B7"/>
      </top>
      <bottom style="thin">
        <color rgb="FF000000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thin">
        <color rgb="FF000000"/>
      </bottom>
    </border>
    <border>
      <left style="hair">
        <color rgb="FFB7B7B7"/>
      </left>
      <right style="thin">
        <color rgb="FF000000"/>
      </right>
      <top style="hair">
        <color rgb="FFB7B7B7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B7B7B7"/>
      </bottom>
    </border>
    <border>
      <right style="hair">
        <color rgb="FFB7B7B7"/>
      </right>
      <top style="thin">
        <color rgb="FF000000"/>
      </top>
      <bottom style="hair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 style="hair">
        <color rgb="FFB7B7B7"/>
      </right>
      <top style="hair">
        <color rgb="FFB7B7B7"/>
      </top>
    </border>
  </borders>
  <cellStyleXfs count="1">
    <xf borderId="0" fillId="0" fontId="0" numFmtId="0" applyAlignment="1" applyFont="1"/>
  </cellStyleXfs>
  <cellXfs count="2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1" fillId="0" fontId="1" numFmtId="3" xfId="0" applyAlignment="1" applyBorder="1" applyFont="1" applyNumberFormat="1">
      <alignment horizontal="center" shrinkToFit="0" vertical="center" wrapText="1"/>
    </xf>
    <xf borderId="4" fillId="0" fontId="1" numFmtId="3" xfId="0" applyAlignment="1" applyBorder="1" applyFont="1" applyNumberFormat="1">
      <alignment horizontal="center" shrinkToFit="0" vertical="center" wrapText="1"/>
    </xf>
    <xf borderId="5" fillId="0" fontId="1" numFmtId="3" xfId="0" applyAlignment="1" applyBorder="1" applyFont="1" applyNumberFormat="1">
      <alignment horizontal="center" shrinkToFit="0" vertical="center" wrapText="1"/>
    </xf>
    <xf borderId="1" fillId="0" fontId="1" numFmtId="10" xfId="0" applyAlignment="1" applyBorder="1" applyFont="1" applyNumberFormat="1">
      <alignment horizontal="center" shrinkToFit="0" vertical="center" wrapText="1"/>
    </xf>
    <xf borderId="4" fillId="0" fontId="1" numFmtId="164" xfId="0" applyAlignment="1" applyBorder="1" applyFont="1" applyNumberFormat="1">
      <alignment horizontal="center" shrinkToFit="0" vertical="center" wrapText="1"/>
    </xf>
    <xf borderId="5" fillId="0" fontId="1" numFmtId="3" xfId="0" applyAlignment="1" applyBorder="1" applyFont="1" applyNumberFormat="1">
      <alignment horizontal="center" readingOrder="0" shrinkToFit="0" vertical="center" wrapText="1"/>
    </xf>
    <xf borderId="4" fillId="3" fontId="1" numFmtId="164" xfId="0" applyAlignment="1" applyBorder="1" applyFill="1" applyFont="1" applyNumberFormat="1">
      <alignment horizontal="center" shrinkToFit="0" vertical="center" wrapText="1"/>
    </xf>
    <xf borderId="5" fillId="0" fontId="1" numFmtId="164" xfId="0" applyAlignment="1" applyBorder="1" applyFont="1" applyNumberFormat="1">
      <alignment horizontal="center" shrinkToFit="0" vertical="center" wrapText="1"/>
    </xf>
    <xf borderId="6" fillId="0" fontId="1" numFmtId="16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7" fillId="0" fontId="1" numFmtId="164" xfId="0" applyAlignment="1" applyBorder="1" applyFont="1" applyNumberFormat="1">
      <alignment horizontal="center" shrinkToFit="0" vertical="center" wrapText="1"/>
    </xf>
    <xf borderId="0" fillId="0" fontId="3" numFmtId="0" xfId="0" applyFont="1"/>
    <xf borderId="1" fillId="0" fontId="2" numFmtId="3" xfId="0" applyAlignment="1" applyBorder="1" applyFont="1" applyNumberFormat="1">
      <alignment horizontal="center" shrinkToFit="0" vertical="center" wrapText="1"/>
    </xf>
    <xf borderId="8" fillId="2" fontId="4" numFmtId="3" xfId="0" applyAlignment="1" applyBorder="1" applyFill="1" applyFont="1" applyNumberFormat="1">
      <alignment horizontal="center" readingOrder="0" vertical="center"/>
    </xf>
    <xf borderId="9" fillId="0" fontId="4" numFmtId="0" xfId="0" applyAlignment="1" applyBorder="1" applyFont="1">
      <alignment horizontal="center" vertical="center"/>
    </xf>
    <xf borderId="2" fillId="2" fontId="4" numFmtId="3" xfId="0" applyAlignment="1" applyBorder="1" applyFill="1" applyFont="1" applyNumberFormat="1">
      <alignment horizontal="center" readingOrder="0" vertical="center"/>
    </xf>
    <xf borderId="1" fillId="0" fontId="2" numFmtId="10" xfId="0" applyAlignment="1" applyBorder="1" applyFont="1" applyNumberFormat="1">
      <alignment horizontal="center" shrinkToFit="0" vertical="center" wrapText="1"/>
    </xf>
    <xf borderId="9" fillId="0" fontId="4" numFmtId="3" xfId="0" applyAlignment="1" applyBorder="1" applyFont="1" applyNumberFormat="1">
      <alignment horizontal="center" readingOrder="0" vertical="center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center" vertical="center"/>
    </xf>
    <xf borderId="1" fillId="0" fontId="2" numFmtId="4" xfId="0" applyAlignment="1" applyBorder="1" applyFont="1" applyNumberFormat="1">
      <alignment horizontal="center" shrinkToFit="0" vertical="center" wrapText="1"/>
    </xf>
    <xf borderId="1" fillId="0" fontId="1" numFmtId="4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center" readingOrder="0" vertical="center"/>
    </xf>
    <xf borderId="1" fillId="0" fontId="2" numFmtId="167" xfId="0" applyAlignment="1" applyBorder="1" applyFont="1" applyNumberFormat="1">
      <alignment horizontal="center" shrinkToFit="0" vertical="center" wrapText="1"/>
    </xf>
    <xf borderId="1" fillId="0" fontId="1" numFmtId="4" xfId="0" applyAlignment="1" applyBorder="1" applyFont="1" applyNumberFormat="1">
      <alignment horizontal="center" readingOrder="0" shrinkToFit="0" vertical="center" wrapText="1"/>
    </xf>
    <xf borderId="4" fillId="0" fontId="4" numFmtId="3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1" numFmtId="3" xfId="0" applyAlignment="1" applyBorder="1" applyFont="1" applyNumberFormat="1">
      <alignment horizontal="center" readingOrder="0" shrinkToFit="0" vertical="center" wrapText="1"/>
    </xf>
    <xf borderId="1" fillId="2" fontId="5" numFmtId="3" xfId="0" applyAlignment="1" applyBorder="1" applyFill="1" applyFont="1" applyNumberForma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0" fillId="0" fontId="6" numFmtId="3" xfId="0" applyAlignment="1" applyBorder="1" applyFont="1" applyNumberFormat="1">
      <alignment horizontal="center" vertical="center"/>
    </xf>
    <xf borderId="1" fillId="2" fontId="4" numFmtId="3" xfId="0" applyAlignment="1" applyBorder="1" applyFill="1" applyFont="1" applyNumberFormat="1">
      <alignment horizontal="center" readingOrder="0" vertical="center"/>
    </xf>
    <xf borderId="4" fillId="0" fontId="4" numFmtId="164" xfId="0" applyAlignment="1" applyBorder="1" applyFont="1" applyNumberFormat="1">
      <alignment horizontal="center" vertical="center"/>
    </xf>
    <xf borderId="9" fillId="0" fontId="4" numFmtId="164" xfId="0" applyAlignment="1" applyBorder="1" applyFont="1" applyNumberFormat="1">
      <alignment horizontal="center" vertical="center"/>
    </xf>
    <xf borderId="4" fillId="0" fontId="4" numFmtId="164" xfId="0" applyAlignment="1" applyBorder="1" applyFont="1" applyNumberFormat="1">
      <alignment horizontal="center" readingOrder="0" vertical="center"/>
    </xf>
    <xf borderId="11" fillId="0" fontId="6" numFmtId="10" xfId="0" applyAlignment="1" applyBorder="1" applyFont="1" applyNumberFormat="1">
      <alignment horizontal="center" vertical="center"/>
    </xf>
    <xf borderId="6" fillId="0" fontId="4" numFmtId="164" xfId="0" applyAlignment="1" applyBorder="1" applyFont="1" applyNumberFormat="1">
      <alignment horizontal="center" vertical="center"/>
    </xf>
    <xf borderId="12" fillId="0" fontId="3" numFmtId="0" xfId="0" applyBorder="1" applyFont="1"/>
    <xf borderId="11" fillId="0" fontId="6" numFmtId="3" xfId="0" applyAlignment="1" applyBorder="1" applyFont="1" applyNumberFormat="1">
      <alignment horizontal="center" vertical="center"/>
    </xf>
    <xf borderId="9" fillId="0" fontId="4" numFmtId="164" xfId="0" applyAlignment="1" applyBorder="1" applyFont="1" applyNumberFormat="1">
      <alignment horizontal="center" readingOrder="0" vertical="center"/>
    </xf>
    <xf borderId="9" fillId="0" fontId="4" numFmtId="0" xfId="0" applyAlignment="1" applyBorder="1" applyFont="1">
      <alignment horizontal="center" readingOrder="0" vertical="center"/>
    </xf>
    <xf borderId="11" fillId="0" fontId="5" numFmtId="3" xfId="0" applyAlignment="1" applyBorder="1" applyFont="1" applyNumberFormat="1">
      <alignment horizontal="center" vertical="center"/>
    </xf>
    <xf borderId="11" fillId="0" fontId="6" numFmtId="165" xfId="0" applyAlignment="1" applyBorder="1" applyFont="1" applyNumberFormat="1">
      <alignment horizontal="center" vertical="center"/>
    </xf>
    <xf borderId="11" fillId="0" fontId="5" numFmtId="165" xfId="0" applyAlignment="1" applyBorder="1" applyFont="1" applyNumberFormat="1">
      <alignment horizontal="center" vertical="center"/>
    </xf>
    <xf borderId="13" fillId="0" fontId="4" numFmtId="164" xfId="0" applyAlignment="1" applyBorder="1" applyFont="1" applyNumberFormat="1">
      <alignment horizontal="center" vertical="center"/>
    </xf>
    <xf borderId="11" fillId="0" fontId="6" numFmtId="164" xfId="0" applyAlignment="1" applyBorder="1" applyFont="1" applyNumberFormat="1">
      <alignment horizontal="center" vertical="center"/>
    </xf>
    <xf borderId="11" fillId="0" fontId="5" numFmtId="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1" fillId="0" fontId="6" numFmtId="4" xfId="0" applyAlignment="1" applyBorder="1" applyFont="1" applyNumberFormat="1">
      <alignment horizontal="center" vertical="center"/>
    </xf>
    <xf borderId="8" fillId="0" fontId="4" numFmtId="3" xfId="0" applyAlignment="1" applyBorder="1" applyFont="1" applyNumberFormat="1">
      <alignment horizontal="center" readingOrder="0" vertical="center"/>
    </xf>
    <xf borderId="11" fillId="0" fontId="6" numFmtId="166" xfId="0" applyAlignment="1" applyBorder="1" applyFont="1" applyNumberFormat="1">
      <alignment horizontal="center" vertical="center"/>
    </xf>
    <xf borderId="14" fillId="0" fontId="4" numFmtId="0" xfId="0" applyAlignment="1" applyBorder="1" applyFont="1">
      <alignment horizontal="center" vertical="center"/>
    </xf>
    <xf borderId="10" fillId="0" fontId="4" numFmtId="3" xfId="0" applyAlignment="1" applyBorder="1" applyFont="1" applyNumberFormat="1">
      <alignment horizontal="center" readingOrder="0" vertical="center"/>
    </xf>
    <xf borderId="14" fillId="0" fontId="4" numFmtId="0" xfId="0" applyAlignment="1" applyBorder="1" applyFont="1">
      <alignment horizontal="center" readingOrder="0" vertical="center"/>
    </xf>
    <xf borderId="14" fillId="0" fontId="4" numFmtId="3" xfId="0" applyAlignment="1" applyBorder="1" applyFont="1" applyNumberFormat="1">
      <alignment horizontal="center" readingOrder="0" vertical="center"/>
    </xf>
    <xf borderId="14" fillId="0" fontId="4" numFmtId="164" xfId="0" applyAlignment="1" applyBorder="1" applyFont="1" applyNumberFormat="1">
      <alignment horizontal="center" vertical="center"/>
    </xf>
    <xf borderId="8" fillId="2" fontId="4" numFmtId="3" xfId="0" applyAlignment="1" applyBorder="1" applyFill="1" applyFont="1" applyNumberFormat="1">
      <alignment horizontal="center" vertical="center"/>
    </xf>
    <xf borderId="14" fillId="0" fontId="4" numFmtId="164" xfId="0" applyAlignment="1" applyBorder="1" applyFont="1" applyNumberFormat="1">
      <alignment horizontal="center" readingOrder="0" vertical="center"/>
    </xf>
    <xf borderId="11" fillId="0" fontId="5" numFmtId="21" xfId="0" applyAlignment="1" applyBorder="1" applyFont="1" applyNumberFormat="1">
      <alignment horizontal="center" vertical="center"/>
    </xf>
    <xf borderId="15" fillId="0" fontId="4" numFmtId="164" xfId="0" applyAlignment="1" applyBorder="1" applyFont="1" applyNumberFormat="1">
      <alignment horizontal="center" vertical="center"/>
    </xf>
    <xf borderId="11" fillId="0" fontId="4" numFmtId="10" xfId="0" applyAlignment="1" applyBorder="1" applyFont="1" applyNumberFormat="1">
      <alignment horizontal="center" vertical="center"/>
    </xf>
    <xf borderId="9" fillId="3" fontId="7" numFmtId="164" xfId="0" applyAlignment="1" applyBorder="1" applyFill="1" applyFont="1" applyNumberFormat="1">
      <alignment horizontal="center" readingOrder="0" vertical="center"/>
    </xf>
    <xf borderId="11" fillId="0" fontId="4" numFmtId="3" xfId="0" applyAlignment="1" applyBorder="1" applyFont="1" applyNumberFormat="1">
      <alignment horizontal="center" readingOrder="0" vertical="center"/>
    </xf>
    <xf borderId="1" fillId="2" fontId="5" numFmtId="3" xfId="0" applyAlignment="1" applyBorder="1" applyFill="1" applyFont="1" applyNumberFormat="1">
      <alignment horizontal="center" vertical="center"/>
    </xf>
    <xf borderId="11" fillId="0" fontId="4" numFmtId="165" xfId="0" applyAlignment="1" applyBorder="1" applyFont="1" applyNumberFormat="1">
      <alignment horizontal="center" vertical="center"/>
    </xf>
    <xf borderId="11" fillId="0" fontId="4" numFmtId="165" xfId="0" applyAlignment="1" applyBorder="1" applyFont="1" applyNumberFormat="1">
      <alignment horizontal="center" readingOrder="0" vertical="center"/>
    </xf>
    <xf borderId="11" fillId="0" fontId="4" numFmtId="3" xfId="0" applyAlignment="1" applyBorder="1" applyFont="1" applyNumberFormat="1">
      <alignment horizontal="center" vertical="center"/>
    </xf>
    <xf borderId="11" fillId="0" fontId="4" numFmtId="164" xfId="0" applyAlignment="1" applyBorder="1" applyFont="1" applyNumberFormat="1">
      <alignment horizontal="center" vertical="center"/>
    </xf>
    <xf borderId="9" fillId="4" fontId="4" numFmtId="164" xfId="0" applyAlignment="1" applyBorder="1" applyFill="1" applyFont="1" applyNumberFormat="1">
      <alignment horizontal="center" readingOrder="0" vertical="center"/>
    </xf>
    <xf borderId="0" fillId="0" fontId="3" numFmtId="164" xfId="0" applyFont="1" applyNumberFormat="1"/>
    <xf borderId="11" fillId="0" fontId="4" numFmtId="4" xfId="0" applyAlignment="1" applyBorder="1" applyFont="1" applyNumberFormat="1">
      <alignment horizontal="center" vertical="center"/>
    </xf>
    <xf borderId="16" fillId="2" fontId="1" numFmtId="3" xfId="0" applyAlignment="1" applyBorder="1" applyFill="1" applyFont="1" applyNumberFormat="1">
      <alignment horizontal="center" shrinkToFit="0" vertical="center" wrapText="1"/>
    </xf>
    <xf borderId="11" fillId="0" fontId="4" numFmtId="4" xfId="0" applyAlignment="1" applyBorder="1" applyFont="1" applyNumberFormat="1">
      <alignment horizontal="center" readingOrder="0" vertical="center"/>
    </xf>
    <xf borderId="17" fillId="0" fontId="8" numFmtId="0" xfId="0" applyBorder="1" applyFont="1"/>
    <xf borderId="11" fillId="0" fontId="4" numFmtId="166" xfId="0" applyAlignment="1" applyBorder="1" applyFont="1" applyNumberFormat="1">
      <alignment horizontal="center" readingOrder="0" vertical="center"/>
    </xf>
    <xf borderId="9" fillId="0" fontId="1" numFmtId="3" xfId="0" applyAlignment="1" applyBorder="1" applyFont="1" applyNumberFormat="1">
      <alignment horizontal="center" vertical="center"/>
    </xf>
    <xf borderId="9" fillId="0" fontId="1" numFmtId="164" xfId="0" applyAlignment="1" applyBorder="1" applyFont="1" applyNumberFormat="1">
      <alignment horizontal="center" vertical="center"/>
    </xf>
    <xf borderId="2" fillId="2" fontId="4" numFmtId="3" xfId="0" applyAlignment="1" applyBorder="1" applyFill="1" applyFont="1" applyNumberFormat="1">
      <alignment horizontal="center" vertical="center"/>
    </xf>
    <xf borderId="11" fillId="0" fontId="4" numFmtId="164" xfId="0" applyAlignment="1" applyBorder="1" applyFont="1" applyNumberFormat="1">
      <alignment horizontal="center" readingOrder="0" vertical="center"/>
    </xf>
    <xf borderId="13" fillId="0" fontId="1" numFmtId="164" xfId="0" applyAlignment="1" applyBorder="1" applyFont="1" applyNumberFormat="1">
      <alignment horizontal="center" vertical="center"/>
    </xf>
    <xf borderId="11" fillId="2" fontId="6" numFmtId="164" xfId="0" applyAlignment="1" applyBorder="1" applyFill="1" applyFont="1" applyNumberFormat="1">
      <alignment horizontal="center" vertical="center"/>
    </xf>
    <xf borderId="9" fillId="0" fontId="4" numFmtId="168" xfId="0" applyAlignment="1" applyBorder="1" applyFont="1" applyNumberFormat="1">
      <alignment horizontal="center" vertical="center"/>
    </xf>
    <xf borderId="9" fillId="0" fontId="4" numFmtId="3" xfId="0" applyAlignment="1" applyBorder="1" applyFont="1" applyNumberFormat="1">
      <alignment horizontal="center" vertical="center"/>
    </xf>
    <xf borderId="12" fillId="2" fontId="9" numFmtId="168" xfId="0" applyAlignment="1" applyBorder="1" applyFill="1" applyFont="1" applyNumberFormat="1">
      <alignment horizontal="right" vertical="bottom"/>
    </xf>
    <xf borderId="12" fillId="2" fontId="9" numFmtId="164" xfId="0" applyAlignment="1" applyBorder="1" applyFill="1" applyFont="1" applyNumberFormat="1">
      <alignment horizontal="right" vertical="bottom"/>
    </xf>
    <xf borderId="1" fillId="0" fontId="4" numFmtId="3" xfId="0" applyAlignment="1" applyBorder="1" applyFont="1" applyNumberFormat="1">
      <alignment horizontal="center" readingOrder="0" vertical="center"/>
    </xf>
    <xf borderId="0" fillId="2" fontId="9" numFmtId="168" xfId="0" applyAlignment="1" applyFill="1" applyFont="1" applyNumberFormat="1">
      <alignment horizontal="right" vertical="bottom"/>
    </xf>
    <xf borderId="0" fillId="2" fontId="9" numFmtId="3" xfId="0" applyAlignment="1" applyFill="1" applyFont="1" applyNumberFormat="1">
      <alignment horizontal="right" vertical="bottom"/>
    </xf>
    <xf borderId="0" fillId="2" fontId="9" numFmtId="164" xfId="0" applyAlignment="1" applyFill="1" applyFont="1" applyNumberFormat="1">
      <alignment horizontal="right" vertical="bottom"/>
    </xf>
    <xf borderId="8" fillId="0" fontId="4" numFmtId="3" xfId="0" applyAlignment="1" applyBorder="1" applyFont="1" applyNumberFormat="1">
      <alignment horizontal="center" vertical="center"/>
    </xf>
    <xf borderId="1" fillId="2" fontId="4" numFmtId="3" xfId="0" applyAlignment="1" applyBorder="1" applyFill="1" applyFont="1" applyNumberFormat="1">
      <alignment horizontal="center" vertical="center"/>
    </xf>
    <xf borderId="18" fillId="2" fontId="4" numFmtId="3" xfId="0" applyAlignment="1" applyBorder="1" applyFill="1" applyFont="1" applyNumberFormat="1">
      <alignment horizontal="center" vertical="center"/>
    </xf>
    <xf borderId="0" fillId="2" fontId="2" numFmtId="3" xfId="0" applyAlignment="1" applyFill="1" applyFont="1" applyNumberFormat="1">
      <alignment horizontal="center" shrinkToFit="0" vertical="center" wrapText="1"/>
    </xf>
    <xf borderId="1" fillId="0" fontId="2" numFmtId="3" xfId="0" applyAlignment="1" applyBorder="1" applyFont="1" applyNumberFormat="1">
      <alignment horizontal="center" vertical="center"/>
    </xf>
    <xf borderId="1" fillId="0" fontId="2" numFmtId="10" xfId="0" applyAlignment="1" applyBorder="1" applyFont="1" applyNumberFormat="1">
      <alignment horizontal="center" vertical="center"/>
    </xf>
    <xf borderId="8" fillId="2" fontId="10" numFmtId="3" xfId="0" applyAlignment="1" applyBorder="1" applyFill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vertical="center"/>
    </xf>
    <xf borderId="11" fillId="0" fontId="4" numFmtId="10" xfId="0" applyAlignment="1" applyBorder="1" applyFont="1" applyNumberFormat="1">
      <alignment horizontal="center" readingOrder="0" vertical="center"/>
    </xf>
    <xf borderId="1" fillId="0" fontId="2" numFmtId="4" xfId="0" applyAlignment="1" applyBorder="1" applyFont="1" applyNumberFormat="1">
      <alignment horizontal="center" vertical="center"/>
    </xf>
    <xf borderId="1" fillId="0" fontId="2" numFmtId="166" xfId="0" applyAlignment="1" applyBorder="1" applyFont="1" applyNumberFormat="1">
      <alignment horizontal="center" vertical="center"/>
    </xf>
    <xf borderId="1" fillId="0" fontId="2" numFmtId="167" xfId="0" applyAlignment="1" applyBorder="1" applyFont="1" applyNumberFormat="1">
      <alignment horizontal="center" vertical="center"/>
    </xf>
    <xf borderId="11" fillId="0" fontId="4" numFmtId="0" xfId="0" applyAlignment="1" applyBorder="1" applyFont="1">
      <alignment horizontal="center" readingOrder="0" vertical="center"/>
    </xf>
    <xf borderId="1" fillId="0" fontId="2" numFmtId="1" xfId="0" applyAlignment="1" applyBorder="1" applyFont="1" applyNumberFormat="1">
      <alignment horizontal="center" vertical="center"/>
    </xf>
    <xf borderId="9" fillId="0" fontId="4" numFmtId="0" xfId="0" applyAlignment="1" applyBorder="1" applyFont="1">
      <alignment horizontal="center" vertical="center"/>
    </xf>
    <xf borderId="9" fillId="4" fontId="4" numFmtId="164" xfId="0" applyAlignment="1" applyBorder="1" applyFill="1" applyFont="1" applyNumberFormat="1">
      <alignment horizontal="center" vertical="center"/>
    </xf>
    <xf borderId="19" fillId="2" fontId="1" numFmtId="3" xfId="0" applyAlignment="1" applyBorder="1" applyFill="1" applyFont="1" applyNumberFormat="1">
      <alignment horizontal="center" shrinkToFit="0" vertical="center" wrapText="1"/>
    </xf>
    <xf borderId="20" fillId="0" fontId="8" numFmtId="0" xfId="0" applyBorder="1" applyFont="1"/>
    <xf borderId="20" fillId="2" fontId="1" numFmtId="3" xfId="0" applyAlignment="1" applyBorder="1" applyFill="1" applyFont="1" applyNumberFormat="1">
      <alignment horizontal="center" shrinkToFit="0" vertical="center" wrapText="1"/>
    </xf>
    <xf borderId="5" fillId="0" fontId="4" numFmtId="3" xfId="0" applyAlignment="1" applyBorder="1" applyFont="1" applyNumberFormat="1">
      <alignment horizontal="center" readingOrder="0" vertical="center"/>
    </xf>
    <xf borderId="5" fillId="0" fontId="1" numFmtId="164" xfId="0" applyAlignment="1" applyBorder="1" applyFont="1" applyNumberFormat="1">
      <alignment horizontal="center" vertical="center"/>
    </xf>
    <xf borderId="5" fillId="0" fontId="4" numFmtId="164" xfId="0" applyAlignment="1" applyBorder="1" applyFont="1" applyNumberFormat="1">
      <alignment horizontal="center" readingOrder="0" vertical="center"/>
    </xf>
    <xf borderId="7" fillId="0" fontId="1" numFmtId="164" xfId="0" applyAlignment="1" applyBorder="1" applyFont="1" applyNumberFormat="1">
      <alignment horizontal="center" vertical="center"/>
    </xf>
    <xf borderId="9" fillId="3" fontId="4" numFmtId="164" xfId="0" applyAlignment="1" applyBorder="1" applyFill="1" applyFont="1" applyNumberFormat="1">
      <alignment horizontal="center" readingOrder="0" vertical="center"/>
    </xf>
    <xf borderId="9" fillId="0" fontId="4" numFmtId="168" xfId="0" applyAlignment="1" applyBorder="1" applyFont="1" applyNumberFormat="1">
      <alignment horizontal="center" readingOrder="0" vertical="center"/>
    </xf>
    <xf borderId="9" fillId="5" fontId="4" numFmtId="164" xfId="0" applyAlignment="1" applyBorder="1" applyFill="1" applyFont="1" applyNumberFormat="1">
      <alignment horizontal="center" vertical="center"/>
    </xf>
    <xf borderId="1" fillId="2" fontId="11" numFmtId="3" xfId="0" applyAlignment="1" applyBorder="1" applyFill="1" applyFont="1" applyNumberFormat="1">
      <alignment horizontal="center" vertical="center"/>
    </xf>
    <xf borderId="0" fillId="2" fontId="1" numFmtId="3" xfId="0" applyAlignment="1" applyFill="1" applyFont="1" applyNumberFormat="1">
      <alignment horizontal="center" shrinkToFit="0" vertical="center" wrapText="1"/>
    </xf>
    <xf borderId="9" fillId="0" fontId="4" numFmtId="0" xfId="0" applyAlignment="1" applyBorder="1" applyFont="1">
      <alignment horizontal="center" readingOrder="0"/>
    </xf>
    <xf borderId="9" fillId="0" fontId="4" numFmtId="3" xfId="0" applyAlignment="1" applyBorder="1" applyFont="1" applyNumberFormat="1">
      <alignment horizontal="center"/>
    </xf>
    <xf borderId="9" fillId="0" fontId="4" numFmtId="3" xfId="0" applyAlignment="1" applyBorder="1" applyFont="1" applyNumberFormat="1">
      <alignment horizontal="center" readingOrder="0"/>
    </xf>
    <xf borderId="1" fillId="0" fontId="1" numFmtId="3" xfId="0" applyAlignment="1" applyBorder="1" applyFont="1" applyNumberFormat="1">
      <alignment horizontal="center" vertical="center"/>
    </xf>
    <xf borderId="1" fillId="0" fontId="1" numFmtId="10" xfId="0" applyAlignment="1" applyBorder="1" applyFont="1" applyNumberFormat="1">
      <alignment horizontal="center" vertical="center"/>
    </xf>
    <xf borderId="0" fillId="0" fontId="12" numFmtId="0" xfId="0" applyAlignment="1" applyFont="1">
      <alignment vertical="bottom"/>
    </xf>
    <xf borderId="8" fillId="2" fontId="4" numFmtId="3" xfId="0" applyAlignment="1" applyBorder="1" applyFill="1" applyFont="1" applyNumberFormat="1">
      <alignment horizontal="center" readingOrder="0"/>
    </xf>
    <xf borderId="9" fillId="0" fontId="4" numFmtId="168" xfId="0" applyAlignment="1" applyBorder="1" applyFont="1" applyNumberFormat="1">
      <alignment horizontal="center"/>
    </xf>
    <xf borderId="9" fillId="0" fontId="4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 vertical="center"/>
    </xf>
    <xf borderId="9" fillId="0" fontId="4" numFmtId="164" xfId="0" applyAlignment="1" applyBorder="1" applyFont="1" applyNumberFormat="1">
      <alignment horizontal="center"/>
    </xf>
    <xf borderId="1" fillId="0" fontId="1" numFmtId="4" xfId="0" applyAlignment="1" applyBorder="1" applyFont="1" applyNumberFormat="1">
      <alignment horizontal="center" vertical="center"/>
    </xf>
    <xf borderId="11" fillId="0" fontId="5" numFmtId="164" xfId="0" applyAlignment="1" applyBorder="1" applyFont="1" applyNumberFormat="1">
      <alignment horizontal="center" vertical="center"/>
    </xf>
    <xf borderId="1" fillId="0" fontId="1" numFmtId="166" xfId="0" applyAlignment="1" applyBorder="1" applyFont="1" applyNumberFormat="1">
      <alignment horizontal="center" vertical="center"/>
    </xf>
    <xf borderId="16" fillId="2" fontId="1" numFmtId="3" xfId="0" applyAlignment="1" applyBorder="1" applyFill="1" applyFont="1" applyNumberFormat="1">
      <alignment horizontal="center" shrinkToFit="0" wrapText="1"/>
    </xf>
    <xf borderId="9" fillId="0" fontId="1" numFmtId="3" xfId="0" applyAlignment="1" applyBorder="1" applyFont="1" applyNumberFormat="1">
      <alignment horizontal="center"/>
    </xf>
    <xf borderId="9" fillId="0" fontId="1" numFmtId="164" xfId="0" applyAlignment="1" applyBorder="1" applyFont="1" applyNumberFormat="1">
      <alignment horizontal="center"/>
    </xf>
    <xf borderId="0" fillId="0" fontId="3" numFmtId="3" xfId="0" applyFont="1" applyNumberFormat="1"/>
    <xf borderId="1" fillId="0" fontId="5" numFmtId="165" xfId="0" applyAlignment="1" applyBorder="1" applyFont="1" applyNumberFormat="1">
      <alignment horizontal="center" vertical="center"/>
    </xf>
    <xf borderId="9" fillId="5" fontId="4" numFmtId="164" xfId="0" applyAlignment="1" applyBorder="1" applyFill="1" applyFont="1" applyNumberFormat="1">
      <alignment horizontal="center" readingOrder="0" vertical="center"/>
    </xf>
    <xf borderId="10" fillId="0" fontId="4" numFmtId="3" xfId="0" applyAlignment="1" applyBorder="1" applyFont="1" applyNumberFormat="1">
      <alignment horizontal="center" vertical="center"/>
    </xf>
    <xf borderId="11" fillId="0" fontId="6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readingOrder="0" vertical="center"/>
    </xf>
    <xf borderId="11" fillId="0" fontId="4" numFmtId="46" xfId="0" applyAlignment="1" applyBorder="1" applyFont="1" applyNumberFormat="1">
      <alignment horizontal="center" vertical="center"/>
    </xf>
    <xf borderId="11" fillId="0" fontId="4" numFmtId="9" xfId="0" applyAlignment="1" applyBorder="1" applyFont="1" applyNumberFormat="1">
      <alignment horizontal="center" vertical="center"/>
    </xf>
    <xf borderId="11" fillId="0" fontId="4" numFmtId="166" xfId="0" applyAlignment="1" applyBorder="1" applyFont="1" applyNumberFormat="1">
      <alignment horizontal="center" vertical="center"/>
    </xf>
    <xf borderId="1" fillId="0" fontId="4" numFmtId="3" xfId="0" applyAlignment="1" applyBorder="1" applyFont="1" applyNumberFormat="1">
      <alignment horizontal="center" vertical="center"/>
    </xf>
    <xf borderId="11" fillId="0" fontId="4" numFmtId="169" xfId="0" applyAlignment="1" applyBorder="1" applyFont="1" applyNumberFormat="1">
      <alignment horizontal="center" vertical="center"/>
    </xf>
    <xf borderId="12" fillId="0" fontId="3" numFmtId="3" xfId="0" applyAlignment="1" applyBorder="1" applyFont="1" applyNumberFormat="1">
      <alignment readingOrder="0"/>
    </xf>
    <xf borderId="12" fillId="0" fontId="3" numFmtId="0" xfId="0" applyAlignment="1" applyBorder="1" applyFont="1">
      <alignment readingOrder="0"/>
    </xf>
    <xf borderId="1" fillId="0" fontId="4" numFmtId="165" xfId="0" applyAlignment="1" applyBorder="1" applyFont="1" applyNumberFormat="1">
      <alignment horizontal="center" vertical="center"/>
    </xf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9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readingOrder="0" vertical="center"/>
    </xf>
    <xf borderId="11" fillId="0" fontId="4" numFmtId="21" xfId="0" applyAlignment="1" applyBorder="1" applyFont="1" applyNumberFormat="1">
      <alignment horizontal="center" readingOrder="0" vertical="center"/>
    </xf>
    <xf borderId="1" fillId="2" fontId="10" numFmtId="3" xfId="0" applyAlignment="1" applyBorder="1" applyFill="1" applyFont="1" applyNumberFormat="1">
      <alignment horizontal="center" readingOrder="0" vertical="center"/>
    </xf>
    <xf borderId="9" fillId="5" fontId="6" numFmtId="3" xfId="0" applyAlignment="1" applyBorder="1" applyFill="1" applyFont="1" applyNumberFormat="1">
      <alignment horizontal="center"/>
    </xf>
    <xf borderId="1" fillId="2" fontId="13" numFmtId="3" xfId="0" applyAlignment="1" applyBorder="1" applyFill="1" applyFont="1" applyNumberFormat="1">
      <alignment horizontal="center" vertical="center"/>
    </xf>
    <xf borderId="9" fillId="0" fontId="4" numFmtId="0" xfId="0" applyAlignment="1" applyBorder="1" applyFont="1">
      <alignment horizontal="center" readingOrder="0" shrinkToFit="0" vertical="center" wrapText="1"/>
    </xf>
    <xf borderId="12" fillId="2" fontId="9" numFmtId="3" xfId="0" applyAlignment="1" applyBorder="1" applyFill="1" applyFont="1" applyNumberFormat="1">
      <alignment horizontal="right" vertical="bottom"/>
    </xf>
    <xf borderId="0" fillId="2" fontId="14" numFmtId="3" xfId="0" applyAlignment="1" applyFill="1" applyFont="1" applyNumberFormat="1">
      <alignment horizontal="center" vertical="center"/>
    </xf>
    <xf borderId="13" fillId="0" fontId="4" numFmtId="3" xfId="0" applyAlignment="1" applyBorder="1" applyFont="1" applyNumberFormat="1">
      <alignment horizontal="center" readingOrder="0" vertical="center"/>
    </xf>
    <xf borderId="11" fillId="0" fontId="4" numFmtId="170" xfId="0" applyAlignment="1" applyBorder="1" applyFont="1" applyNumberFormat="1">
      <alignment horizontal="center" readingOrder="0" vertical="center"/>
    </xf>
    <xf borderId="21" fillId="2" fontId="1" numFmtId="3" xfId="0" applyAlignment="1" applyBorder="1" applyFill="1" applyFont="1" applyNumberFormat="1">
      <alignment horizontal="center" shrinkToFit="0" vertical="center" wrapText="1"/>
    </xf>
    <xf borderId="22" fillId="0" fontId="8" numFmtId="0" xfId="0" applyBorder="1" applyFont="1"/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4" fillId="0" fontId="1" numFmtId="164" xfId="0" applyAlignment="1" applyBorder="1" applyFont="1" applyNumberFormat="1">
      <alignment horizontal="center" readingOrder="0" vertical="center"/>
    </xf>
    <xf borderId="2" fillId="2" fontId="15" numFmtId="3" xfId="0" applyAlignment="1" applyBorder="1" applyFill="1" applyFont="1" applyNumberForma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2" fillId="2" fontId="10" numFmtId="3" xfId="0" applyAlignment="1" applyBorder="1" applyFill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/>
    </xf>
    <xf borderId="10" fillId="0" fontId="4" numFmtId="3" xfId="0" applyAlignment="1" applyBorder="1" applyFont="1" applyNumberFormat="1">
      <alignment horizontal="center"/>
    </xf>
    <xf borderId="11" fillId="0" fontId="4" numFmtId="3" xfId="0" applyAlignment="1" applyBorder="1" applyFont="1" applyNumberFormat="1">
      <alignment horizontal="center" readingOrder="0"/>
    </xf>
    <xf borderId="11" fillId="0" fontId="4" numFmtId="3" xfId="0" applyAlignment="1" applyBorder="1" applyFont="1" applyNumberFormat="1">
      <alignment horizontal="center"/>
    </xf>
    <xf borderId="11" fillId="0" fontId="4" numFmtId="165" xfId="0" applyAlignment="1" applyBorder="1" applyFont="1" applyNumberFormat="1">
      <alignment horizontal="center"/>
    </xf>
    <xf borderId="11" fillId="0" fontId="12" numFmtId="165" xfId="0" applyAlignment="1" applyBorder="1" applyFont="1" applyNumberFormat="1">
      <alignment horizontal="center" readingOrder="0" vertical="center"/>
    </xf>
    <xf borderId="11" fillId="0" fontId="12" numFmtId="3" xfId="0" applyBorder="1" applyFont="1" applyNumberFormat="1"/>
    <xf borderId="11" fillId="0" fontId="4" numFmtId="164" xfId="0" applyAlignment="1" applyBorder="1" applyFont="1" applyNumberFormat="1">
      <alignment horizontal="center"/>
    </xf>
    <xf borderId="11" fillId="0" fontId="12" numFmtId="4" xfId="0" applyBorder="1" applyFont="1" applyNumberFormat="1"/>
    <xf borderId="11" fillId="0" fontId="4" numFmtId="10" xfId="0" applyAlignment="1" applyBorder="1" applyFont="1" applyNumberFormat="1">
      <alignment horizontal="center"/>
    </xf>
    <xf borderId="11" fillId="0" fontId="4" numFmtId="4" xfId="0" applyAlignment="1" applyBorder="1" applyFont="1" applyNumberFormat="1">
      <alignment horizontal="center" readingOrder="0"/>
    </xf>
    <xf borderId="11" fillId="0" fontId="4" numFmtId="166" xfId="0" applyAlignment="1" applyBorder="1" applyFont="1" applyNumberFormat="1">
      <alignment horizontal="center" readingOrder="0"/>
    </xf>
    <xf borderId="1" fillId="2" fontId="4" numFmtId="3" xfId="0" applyAlignment="1" applyBorder="1" applyFill="1" applyFont="1" applyNumberFormat="1">
      <alignment horizontal="center" readingOrder="0"/>
    </xf>
    <xf borderId="11" fillId="0" fontId="4" numFmtId="4" xfId="0" applyAlignment="1" applyBorder="1" applyFont="1" applyNumberFormat="1">
      <alignment horizontal="center"/>
    </xf>
    <xf borderId="11" fillId="0" fontId="4" numFmtId="46" xfId="0" applyAlignment="1" applyBorder="1" applyFont="1" applyNumberFormat="1">
      <alignment horizontal="center"/>
    </xf>
    <xf borderId="0" fillId="2" fontId="1" numFmtId="3" xfId="0" applyAlignment="1" applyFill="1" applyFont="1" applyNumberFormat="1">
      <alignment horizontal="center" shrinkToFit="0" wrapText="1"/>
    </xf>
    <xf borderId="1" fillId="0" fontId="1" numFmtId="3" xfId="0" applyAlignment="1" applyBorder="1" applyFont="1" applyNumberFormat="1">
      <alignment horizontal="center"/>
    </xf>
    <xf borderId="1" fillId="0" fontId="1" numFmtId="10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4" xfId="0" applyAlignment="1" applyBorder="1" applyFont="1" applyNumberFormat="1">
      <alignment horizontal="center"/>
    </xf>
    <xf borderId="1" fillId="0" fontId="1" numFmtId="166" xfId="0" applyAlignment="1" applyBorder="1" applyFont="1" applyNumberFormat="1">
      <alignment horizontal="center"/>
    </xf>
    <xf borderId="1" fillId="0" fontId="5" numFmtId="4" xfId="0" applyAlignment="1" applyBorder="1" applyFont="1" applyNumberFormat="1">
      <alignment horizontal="center" vertical="center"/>
    </xf>
    <xf borderId="18" fillId="2" fontId="4" numFmtId="3" xfId="0" applyAlignment="1" applyBorder="1" applyFill="1" applyFont="1" applyNumberFormat="1">
      <alignment horizontal="center" readingOrder="0" vertical="center"/>
    </xf>
    <xf borderId="11" fillId="0" fontId="5" numFmtId="166" xfId="0" applyAlignment="1" applyBorder="1" applyFont="1" applyNumberFormat="1">
      <alignment horizontal="center" vertical="center"/>
    </xf>
    <xf borderId="11" fillId="5" fontId="4" numFmtId="164" xfId="0" applyAlignment="1" applyBorder="1" applyFill="1" applyFont="1" applyNumberFormat="1">
      <alignment horizontal="center" readingOrder="0" vertical="center"/>
    </xf>
    <xf borderId="1" fillId="0" fontId="5" numFmtId="3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0" fillId="5" fontId="6" numFmtId="3" xfId="0" applyAlignment="1" applyBorder="1" applyFill="1" applyFont="1" applyNumberFormat="1">
      <alignment horizontal="center" vertical="center"/>
    </xf>
    <xf borderId="4" fillId="0" fontId="4" numFmtId="0" xfId="0" applyAlignment="1" applyBorder="1" applyFont="1">
      <alignment horizontal="center" readingOrder="0"/>
    </xf>
    <xf borderId="12" fillId="0" fontId="12" numFmtId="0" xfId="0" applyAlignment="1" applyBorder="1" applyFont="1">
      <alignment vertical="bottom"/>
    </xf>
    <xf borderId="14" fillId="0" fontId="4" numFmtId="0" xfId="0" applyAlignment="1" applyBorder="1" applyFont="1">
      <alignment horizontal="center" readingOrder="0"/>
    </xf>
    <xf borderId="2" fillId="2" fontId="4" numFmtId="3" xfId="0" applyAlignment="1" applyBorder="1" applyFill="1" applyFont="1" applyNumberFormat="1">
      <alignment horizontal="center" readingOrder="0"/>
    </xf>
    <xf borderId="1" fillId="0" fontId="4" numFmtId="4" xfId="0" applyAlignment="1" applyBorder="1" applyFont="1" applyNumberFormat="1">
      <alignment horizontal="center" vertical="center"/>
    </xf>
    <xf borderId="25" fillId="2" fontId="1" numFmtId="3" xfId="0" applyAlignment="1" applyBorder="1" applyFill="1" applyFont="1" applyNumberFormat="1">
      <alignment horizontal="center" shrinkToFit="0" wrapText="1"/>
    </xf>
    <xf borderId="11" fillId="2" fontId="5" numFmtId="164" xfId="0" applyAlignment="1" applyBorder="1" applyFill="1" applyFont="1" applyNumberFormat="1">
      <alignment horizontal="center" vertical="center"/>
    </xf>
    <xf borderId="26" fillId="0" fontId="8" numFmtId="0" xfId="0" applyBorder="1" applyFont="1"/>
    <xf borderId="26" fillId="2" fontId="1" numFmtId="3" xfId="0" applyAlignment="1" applyBorder="1" applyFill="1" applyFont="1" applyNumberFormat="1">
      <alignment horizontal="center" shrinkToFit="0" wrapText="1"/>
    </xf>
    <xf borderId="4" fillId="0" fontId="1" numFmtId="164" xfId="0" applyAlignment="1" applyBorder="1" applyFont="1" applyNumberFormat="1">
      <alignment horizontal="center"/>
    </xf>
    <xf borderId="4" fillId="0" fontId="1" numFmtId="164" xfId="0" applyAlignment="1" applyBorder="1" applyFont="1" applyNumberFormat="1">
      <alignment horizontal="center" vertical="center"/>
    </xf>
    <xf borderId="6" fillId="0" fontId="1" numFmtId="164" xfId="0" applyAlignment="1" applyBorder="1" applyFont="1" applyNumberFormat="1">
      <alignment horizontal="center" vertical="center"/>
    </xf>
    <xf borderId="10" fillId="0" fontId="5" numFmtId="3" xfId="0" applyAlignment="1" applyBorder="1" applyFont="1" applyNumberFormat="1">
      <alignment horizontal="center" vertical="center"/>
    </xf>
    <xf borderId="25" fillId="2" fontId="1" numFmtId="3" xfId="0" applyAlignment="1" applyBorder="1" applyFill="1" applyFont="1" applyNumberFormat="1">
      <alignment horizontal="center" shrinkToFit="0" vertical="center" wrapText="1"/>
    </xf>
    <xf borderId="26" fillId="2" fontId="1" numFmtId="3" xfId="0" applyAlignment="1" applyBorder="1" applyFill="1" applyFont="1" applyNumberFormat="1">
      <alignment horizontal="center" shrinkToFit="0" vertical="center" wrapText="1"/>
    </xf>
    <xf borderId="11" fillId="6" fontId="6" numFmtId="164" xfId="0" applyAlignment="1" applyBorder="1" applyFill="1" applyFont="1" applyNumberFormat="1">
      <alignment horizontal="center" vertical="center"/>
    </xf>
    <xf borderId="1" fillId="0" fontId="4" numFmtId="0" xfId="0" applyAlignment="1" applyBorder="1" applyFont="1">
      <alignment horizontal="center" readingOrder="0" shrinkToFit="0" vertical="center" wrapText="1"/>
    </xf>
    <xf borderId="27" fillId="2" fontId="2" numFmtId="3" xfId="0" applyAlignment="1" applyBorder="1" applyFill="1" applyFont="1" applyNumberFormat="1">
      <alignment horizontal="center" shrinkToFit="0" vertical="center" wrapText="1"/>
    </xf>
    <xf borderId="28" fillId="0" fontId="8" numFmtId="0" xfId="0" applyBorder="1" applyFont="1"/>
    <xf borderId="1" fillId="0" fontId="5" numFmtId="10" xfId="0" applyAlignment="1" applyBorder="1" applyFont="1" applyNumberFormat="1">
      <alignment horizontal="center" vertical="center"/>
    </xf>
    <xf borderId="1" fillId="0" fontId="6" numFmtId="165" xfId="0" applyAlignment="1" applyBorder="1" applyFont="1" applyNumberFormat="1">
      <alignment horizontal="center" vertical="center"/>
    </xf>
    <xf borderId="1" fillId="0" fontId="5" numFmtId="164" xfId="0" applyAlignment="1" applyBorder="1" applyFont="1" applyNumberFormat="1">
      <alignment horizontal="center" vertical="center"/>
    </xf>
    <xf borderId="1" fillId="0" fontId="5" numFmtId="1" xfId="0" applyAlignment="1" applyBorder="1" applyFont="1" applyNumberFormat="1">
      <alignment horizontal="center" vertical="center"/>
    </xf>
    <xf borderId="27" fillId="2" fontId="1" numFmtId="3" xfId="0" applyAlignment="1" applyBorder="1" applyFill="1" applyFont="1" applyNumberFormat="1">
      <alignment horizontal="center" shrinkToFit="0" vertical="center" wrapText="1"/>
    </xf>
    <xf borderId="1" fillId="0" fontId="4" numFmtId="10" xfId="0" applyAlignment="1" applyBorder="1" applyFont="1" applyNumberForma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29" fillId="0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26" fillId="0" fontId="4" numFmtId="0" xfId="0" applyAlignment="1" applyBorder="1" applyFont="1">
      <alignment horizontal="center" readingOrder="0" vertical="center"/>
    </xf>
    <xf borderId="0" fillId="0" fontId="3" numFmtId="164" xfId="0" applyAlignment="1" applyFont="1" applyNumberFormat="1">
      <alignment readingOrder="0"/>
    </xf>
    <xf borderId="2" fillId="0" fontId="1" numFmtId="0" xfId="0" applyAlignment="1" applyBorder="1" applyFont="1">
      <alignment horizontal="center" shrinkToFit="0" vertical="center" wrapText="1"/>
    </xf>
    <xf borderId="4" fillId="7" fontId="1" numFmtId="3" xfId="0" applyAlignment="1" applyBorder="1" applyFill="1" applyFont="1" applyNumberFormat="1">
      <alignment horizontal="center" shrinkToFit="0" vertical="center" wrapText="1"/>
    </xf>
    <xf borderId="4" fillId="7" fontId="1" numFmtId="164" xfId="0" applyAlignment="1" applyBorder="1" applyFill="1" applyFont="1" applyNumberFormat="1">
      <alignment horizontal="center" shrinkToFit="0" vertical="center" wrapText="1"/>
    </xf>
    <xf borderId="4" fillId="8" fontId="1" numFmtId="164" xfId="0" applyAlignment="1" applyBorder="1" applyFill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9" fillId="0" fontId="4" numFmtId="0" xfId="0" applyAlignment="1" applyBorder="1" applyFont="1">
      <alignment horizontal="center" readingOrder="0" vertical="center"/>
    </xf>
    <xf borderId="9" fillId="8" fontId="4" numFmtId="164" xfId="0" applyAlignment="1" applyBorder="1" applyFill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readingOrder="0" vertical="center"/>
    </xf>
    <xf borderId="8" fillId="3" fontId="4" numFmtId="3" xfId="0" applyAlignment="1" applyBorder="1" applyFill="1" applyFont="1" applyNumberFormat="1">
      <alignment horizontal="center" readingOrder="0" vertical="center"/>
    </xf>
    <xf borderId="9" fillId="3" fontId="4" numFmtId="0" xfId="0" applyAlignment="1" applyBorder="1" applyFill="1" applyFont="1">
      <alignment horizontal="center" readingOrder="0" vertical="center"/>
    </xf>
    <xf borderId="9" fillId="3" fontId="4" numFmtId="3" xfId="0" applyAlignment="1" applyBorder="1" applyFill="1" applyFont="1" applyNumberFormat="1">
      <alignment horizontal="center" readingOrder="0" vertical="center"/>
    </xf>
    <xf borderId="9" fillId="3" fontId="4" numFmtId="164" xfId="0" applyAlignment="1" applyBorder="1" applyFill="1" applyFont="1" applyNumberFormat="1">
      <alignment horizontal="center" vertical="center"/>
    </xf>
    <xf borderId="13" fillId="3" fontId="4" numFmtId="164" xfId="0" applyAlignment="1" applyBorder="1" applyFill="1" applyFont="1" applyNumberFormat="1">
      <alignment horizontal="center" vertical="center"/>
    </xf>
    <xf borderId="0" fillId="3" fontId="4" numFmtId="164" xfId="0" applyAlignment="1" applyFill="1" applyFont="1" applyNumberFormat="1">
      <alignment horizontal="center" readingOrder="0" vertical="center"/>
    </xf>
    <xf borderId="0" fillId="3" fontId="4" numFmtId="164" xfId="0" applyAlignment="1" applyFill="1" applyFont="1" applyNumberFormat="1">
      <alignment horizontal="center" vertical="center"/>
    </xf>
    <xf borderId="4" fillId="0" fontId="1" numFmtId="3" xfId="0" applyAlignment="1" applyBorder="1" applyFont="1" applyNumberFormat="1">
      <alignment horizontal="center" vertical="center"/>
    </xf>
    <xf borderId="8" fillId="0" fontId="16" numFmtId="3" xfId="0" applyAlignment="1" applyBorder="1" applyFont="1" applyNumberFormat="1">
      <alignment horizontal="center" readingOrder="0" vertical="center"/>
    </xf>
    <xf borderId="16" fillId="0" fontId="1" numFmtId="3" xfId="0" applyAlignment="1" applyBorder="1" applyFont="1" applyNumberFormat="1">
      <alignment horizontal="center" readingOrder="0" shrinkToFit="0" vertical="center" wrapText="1"/>
    </xf>
    <xf borderId="9" fillId="8" fontId="1" numFmtId="164" xfId="0" applyAlignment="1" applyBorder="1" applyFill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8" fillId="0" fontId="6" numFmtId="3" xfId="0" applyAlignment="1" applyBorder="1" applyFont="1" applyNumberFormat="1">
      <alignment horizontal="center"/>
    </xf>
    <xf borderId="0" fillId="0" fontId="4" numFmtId="4" xfId="0" applyAlignment="1" applyFont="1" applyNumberFormat="1">
      <alignment horizontal="center" readingOrder="0" vertical="center"/>
    </xf>
    <xf borderId="8" fillId="0" fontId="10" numFmtId="3" xfId="0" applyAlignment="1" applyBorder="1" applyFont="1" applyNumberFormat="1">
      <alignment horizontal="center" readingOrder="0" vertical="center"/>
    </xf>
    <xf borderId="8" fillId="0" fontId="17" numFmtId="3" xfId="0" applyAlignment="1" applyBorder="1" applyFont="1" applyNumberFormat="1">
      <alignment horizontal="center"/>
    </xf>
    <xf borderId="0" fillId="0" fontId="4" numFmtId="3" xfId="0" applyAlignment="1" applyFont="1" applyNumberFormat="1">
      <alignment horizontal="center" readingOrder="0" vertical="center"/>
    </xf>
    <xf borderId="0" fillId="0" fontId="4" numFmtId="4" xfId="0" applyAlignment="1" applyFont="1" applyNumberFormat="1">
      <alignment horizontal="center" vertical="center"/>
    </xf>
    <xf borderId="18" fillId="2" fontId="10" numFmtId="3" xfId="0" applyAlignment="1" applyBorder="1" applyFill="1" applyFont="1" applyNumberFormat="1">
      <alignment horizontal="center" readingOrder="0" vertical="center"/>
    </xf>
    <xf borderId="9" fillId="0" fontId="4" numFmtId="0" xfId="0" applyAlignment="1" applyBorder="1" applyFont="1">
      <alignment horizontal="center" readingOrder="0" vertical="center"/>
    </xf>
    <xf borderId="8" fillId="0" fontId="4" numFmtId="3" xfId="0" applyAlignment="1" applyBorder="1" applyFont="1" applyNumberFormat="1">
      <alignment horizontal="center" readingOrder="0"/>
    </xf>
    <xf borderId="9" fillId="0" fontId="4" numFmtId="168" xfId="0" applyAlignment="1" applyBorder="1" applyFont="1" applyNumberFormat="1">
      <alignment horizontal="center" readingOrder="0"/>
    </xf>
    <xf borderId="9" fillId="0" fontId="4" numFmtId="0" xfId="0" applyAlignment="1" applyBorder="1" applyFont="1">
      <alignment horizontal="center" readingOrder="0"/>
    </xf>
    <xf borderId="16" fillId="0" fontId="1" numFmtId="3" xfId="0" applyAlignment="1" applyBorder="1" applyFont="1" applyNumberFormat="1">
      <alignment horizontal="center" readingOrder="0" shrinkToFit="0" wrapText="1"/>
    </xf>
    <xf borderId="9" fillId="8" fontId="1" numFmtId="164" xfId="0" applyAlignment="1" applyBorder="1" applyFill="1" applyFont="1" applyNumberFormat="1">
      <alignment horizontal="center"/>
    </xf>
    <xf borderId="13" fillId="0" fontId="4" numFmtId="164" xfId="0" applyAlignment="1" applyBorder="1" applyFont="1" applyNumberFormat="1">
      <alignment horizontal="center" readingOrder="0" vertical="center"/>
    </xf>
    <xf borderId="4" fillId="0" fontId="4" numFmtId="0" xfId="0" applyAlignment="1" applyBorder="1" applyFont="1">
      <alignment horizontal="center" readingOrder="0" shrinkToFit="0" vertical="center" wrapText="1"/>
    </xf>
    <xf borderId="8" fillId="6" fontId="6" numFmtId="3" xfId="0" applyAlignment="1" applyBorder="1" applyFill="1" applyFont="1" applyNumberFormat="1">
      <alignment horizontal="center"/>
    </xf>
    <xf borderId="14" fillId="0" fontId="4" numFmtId="0" xfId="0" applyAlignment="1" applyBorder="1" applyFont="1">
      <alignment horizontal="center" readingOrder="0" shrinkToFit="0" vertical="center" wrapText="1"/>
    </xf>
    <xf borderId="8" fillId="0" fontId="6" numFmtId="3" xfId="0" applyAlignment="1" applyBorder="1" applyFont="1" applyNumberFormat="1">
      <alignment horizontal="center" readingOrder="0"/>
    </xf>
    <xf borderId="22" fillId="2" fontId="1" numFmtId="3" xfId="0" applyAlignment="1" applyBorder="1" applyFill="1" applyFont="1" applyNumberFormat="1">
      <alignment horizontal="center" shrinkToFit="0" vertical="center" wrapText="1"/>
    </xf>
    <xf borderId="0" fillId="0" fontId="4" numFmtId="0" xfId="0" applyFont="1"/>
    <xf borderId="0" fillId="0" fontId="4" numFmtId="164" xfId="0" applyFont="1" applyNumberFormat="1"/>
    <xf borderId="0" fillId="8" fontId="4" numFmtId="164" xfId="0" applyFill="1" applyFont="1" applyNumberFormat="1"/>
    <xf borderId="21" fillId="0" fontId="1" numFmtId="3" xfId="0" applyAlignment="1" applyBorder="1" applyFont="1" applyNumberFormat="1">
      <alignment horizontal="center" readingOrder="0" shrinkToFit="0" vertical="center" wrapText="1"/>
    </xf>
    <xf borderId="0" fillId="8" fontId="4" numFmtId="0" xfId="0" applyFill="1" applyFont="1"/>
    <xf borderId="0" fillId="0" fontId="4" numFmtId="10" xfId="0" applyFont="1" applyNumberFormat="1"/>
    <xf borderId="0" fillId="0" fontId="4" numFmtId="0" xfId="0" applyAlignment="1" applyFont="1">
      <alignment readingOrder="0"/>
    </xf>
    <xf borderId="9" fillId="0" fontId="4" numFmtId="0" xfId="0" applyAlignment="1" applyBorder="1" applyFont="1">
      <alignment horizontal="center" readingOrder="0" shrinkToFit="0" vertical="center" wrapText="1"/>
    </xf>
    <xf borderId="8" fillId="9" fontId="4" numFmtId="3" xfId="0" applyAlignment="1" applyBorder="1" applyFill="1" applyFont="1" applyNumberFormat="1">
      <alignment horizontal="center" readingOrder="0" vertical="center"/>
    </xf>
    <xf borderId="23" fillId="8" fontId="1" numFmtId="164" xfId="0" applyAlignment="1" applyBorder="1" applyFill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0" fontId="4" numFmtId="3" xfId="0" applyFont="1" applyNumberFormat="1"/>
    <xf borderId="0" fillId="0" fontId="18" numFmtId="0" xfId="0" applyFont="1"/>
    <xf borderId="0" fillId="0" fontId="18" numFmtId="3" xfId="0" applyFont="1" applyNumberFormat="1"/>
    <xf borderId="0" fillId="0" fontId="18" numFmtId="164" xfId="0" applyFont="1" applyNumberFormat="1"/>
    <xf borderId="0" fillId="0" fontId="19" numFmtId="3" xfId="0" applyFont="1" applyNumberFormat="1"/>
    <xf borderId="0" fillId="0" fontId="18" numFmtId="49" xfId="0" applyFont="1" applyNumberFormat="1"/>
    <xf borderId="0" fillId="7" fontId="18" numFmtId="49" xfId="0" applyFill="1" applyFont="1" applyNumberFormat="1"/>
    <xf borderId="0" fillId="0" fontId="18" numFmtId="4" xfId="0" applyFont="1" applyNumberFormat="1"/>
    <xf borderId="0" fillId="7" fontId="18" numFmtId="4" xfId="0" applyFill="1" applyFont="1" applyNumberFormat="1"/>
    <xf borderId="0" fillId="0" fontId="18" numFmtId="0" xfId="0" applyAlignment="1" applyFont="1">
      <alignment readingOrder="0"/>
    </xf>
    <xf borderId="0" fillId="2" fontId="7" numFmtId="0" xfId="0" applyAlignment="1" applyFill="1" applyFont="1">
      <alignment horizontal="center" readingOrder="0" shrinkToFit="0" vertical="bottom" wrapText="1"/>
    </xf>
    <xf borderId="0" fillId="10" fontId="7" numFmtId="0" xfId="0" applyAlignment="1" applyFill="1" applyFont="1">
      <alignment horizontal="center" readingOrder="0" shrinkToFit="0" vertical="bottom" wrapText="1"/>
    </xf>
  </cellXfs>
  <cellStyles count="1">
    <cellStyle xfId="0" name="Normal" builtinId="0"/>
  </cellStyles>
  <dxfs count="1">
    <dxf>
      <font>
        <color rgb="FF000000"/>
      </font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4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3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Анна Проценко" id="{c56d7952-45a7-4430-a561-04eec023e34a}" providerId="google-sheets"/>
  <x18tc:person displayName="Даниил" id="{a1cd9ea6-4a6b-4871-884d-fdc3cd9c660b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28" sheet="Август 2026"/>
  </cacheSource>
  <cacheFields>
    <cacheField name="Площадка" numFmtId="3">
      <sharedItems>
        <s v="Ozon"/>
        <s v="Market yandex"/>
        <s v="Mts.ru OLV"/>
        <s v="Adspector OLV"/>
        <s v="Avito"/>
        <s v="media.yandex"/>
        <s v="Adsheads"/>
        <s v="Promopages.yandex.ru"/>
        <s v="ИТОГО"/>
        <s v="Яндекс Go"/>
        <s v="Т-Банк"/>
        <s v="Wildberries"/>
        <s v="Buzzoola"/>
        <s v="Roxot"/>
        <s v="Пятерочка"/>
        <s v="Яндекс Погода"/>
        <s v="Astralab"/>
        <s v="2gis"/>
        <s v="Marketcall"/>
        <s v="Amberdata"/>
        <s v="Альфа-Мобайл"/>
        <s v="VOX"/>
        <s v="First Data"/>
        <s v="СМИ2"/>
        <s v="CRE"/>
        <s v="Soloway"/>
        <s v="Video yandex"/>
        <s v="Rutube"/>
        <s v="DIGITAL ALLIANCE"/>
        <s v="VK Ads"/>
        <s v="media.yandex Прайм баннер"/>
        <s v="Дзен"/>
        <s v="Tiburon"/>
        <s v="Innovation Lab"/>
        <s v="DIGITAL ALLIANCE ONLINE CINEMA PACK"/>
        <s v="DIGITAL ALLIANCE In-stream"/>
        <s v="Video yandex (Connected TV)"/>
      </sharedItems>
    </cacheField>
    <cacheField name="Проект" numFmtId="0">
      <sharedItems containsBlank="1">
        <s v="Мичуринский"/>
        <m/>
        <s v="Южнопортовая"/>
        <s v="Звенигородская"/>
        <s v="Мечникова"/>
        <s v="Лесной"/>
        <s v="Нижегородская"/>
        <s v="Волга"/>
        <s v="Селигерская"/>
        <s v="Войковская"/>
        <s v="Павелецкая Сити"/>
        <s v="Саввинская 17"/>
        <s v="Академическая"/>
        <s v="Work Воронцовская"/>
        <s v="Work Нижегородская"/>
        <s v="Work Свободы"/>
        <s v="Level Зонтик Москва"/>
        <s v="Остатки"/>
        <s v="Премиальная коллекция"/>
        <s v="Регионы"/>
      </sharedItems>
    </cacheField>
    <cacheField name="Показы">
      <sharedItems containsMixedTypes="1" containsNumber="1" containsInteger="1">
        <n v="1360000.0"/>
        <n v="770589.0"/>
        <n v="3010000.0"/>
        <n v="2993776.0"/>
        <n v="362724.0"/>
        <n v="4855963.0"/>
        <n v="1299075.0"/>
        <n v="2069864.0"/>
        <n v="1.6721991E7"/>
        <n v="814156.0"/>
        <n v="428728.0"/>
        <n v="263297.0"/>
        <n v="10181.0"/>
        <n v="1521955.0"/>
        <n v="3000856.0"/>
        <n v="1352833.0"/>
        <n v="5247259.0"/>
        <n v="3352442.0"/>
        <n v="1.5991707E7"/>
        <n v="570825.0"/>
        <n v="151402.0"/>
        <n v="1271685.0"/>
        <n v="3636293.0"/>
        <n v="2940915.0"/>
        <n v="8571120.0"/>
        <n v="492638.0"/>
        <n v="460875.0"/>
        <n v="1731784.0"/>
        <n v="2368944.0"/>
        <n v="2590651.0"/>
        <n v="1000000.0"/>
        <n v="8644892.0"/>
        <n v="420907.0"/>
        <n v="1566576.0"/>
        <n v="2499991.0"/>
        <n v="3995725.0"/>
        <n v="8483199.0"/>
        <n v="1565017.0"/>
        <n v="1724653.0"/>
        <n v="3289670.0"/>
        <n v="783708.0"/>
        <n v="209395.0"/>
        <n v="1088163.0"/>
        <n v="2081266.0"/>
        <n v="1576396.0"/>
        <n v="1259206.0"/>
        <n v="2399993.0"/>
        <n v="4175129.0"/>
        <n v="9410724.0"/>
        <n v="2629673.0"/>
        <n v="9914.0"/>
        <n v="1619998.0"/>
        <n v="591492.0"/>
        <n v="4851077.0"/>
        <n v="970337.0"/>
        <n v="97271.0"/>
        <n v="1356103.0"/>
        <n v="936769.0"/>
        <n v="2005347.0"/>
        <n v="998787.0"/>
        <n v="2489729.0"/>
        <n v="8854343.0"/>
        <n v="1170000.0"/>
        <n v="827183.0"/>
        <n v="1997183.0"/>
        <n v="1250001.0"/>
        <n v="49411.0"/>
        <s v="-"/>
        <n v="500000.0"/>
        <n v="3200028.0"/>
        <n v="1200000.0"/>
        <n v="2766030.0"/>
        <n v="699556.0"/>
        <n v="8415025.0"/>
        <n v="43613.0"/>
        <n v="1041700.0"/>
        <n v="1185343.0"/>
        <n v="809062.0"/>
        <n v="1135396.0"/>
        <n v="257949.0"/>
        <n v="3000017.0"/>
        <n v="507881.0"/>
        <n v="8980961.0"/>
        <n v="34509.0"/>
        <n v="2076726.0"/>
        <n v="24386.0"/>
        <n v="665000.0"/>
        <n v="2500003.0"/>
        <n v="1845000.0"/>
        <n v="2009158.0"/>
        <n v="1062850.0"/>
        <n v="1.1217632E7"/>
        <n v="127033.0"/>
        <n v="1500000.0"/>
        <n v="2487338.0"/>
        <n v="3505970.0"/>
        <n v="606694.0"/>
        <n v="749880.0"/>
        <n v="1505042.0"/>
        <n v="9252540.0"/>
        <n v="3101996.0"/>
        <n v="2.4336493E7"/>
        <n v="1177606.0"/>
        <n v="5000.0"/>
        <n v="8066.0"/>
        <n v="2827479.0"/>
        <n v="2974819.0"/>
        <n v="6992970.0"/>
        <n v="715000.0"/>
        <n v="960667.0"/>
        <n v="2500000.0"/>
        <n v="677037.0"/>
        <n v="408200.0"/>
        <n v="325265.0"/>
        <n v="695028.0"/>
        <n v="6281197.0"/>
        <n v="1347392.0"/>
        <n v="1795103.0"/>
        <n v="1552738.0"/>
        <n v="2982062.0"/>
        <n v="7677295.0"/>
      </sharedItems>
    </cacheField>
    <cacheField name="Клики">
      <sharedItems containsMixedTypes="1" containsNumber="1" containsInteger="1">
        <n v="1201.0"/>
        <n v="825.0"/>
        <n v="24000.0"/>
        <n v="29936.0"/>
        <n v="503.0"/>
        <n v="7266.0"/>
        <n v="7794.0"/>
        <n v="6600.0"/>
        <n v="78125.0"/>
        <n v="650.0"/>
        <n v="922.0"/>
        <n v="150.0"/>
        <n v="10181.0"/>
        <n v="12176.0"/>
        <n v="24672.0"/>
        <n v="5952.0"/>
        <n v="7500.0"/>
        <n v="13378.0"/>
        <n v="75581.0"/>
        <n v="454.0"/>
        <n v="919.0"/>
        <n v="1380.0"/>
        <n v="5400.0"/>
        <n v="32153.0"/>
        <n v="313.0"/>
        <n v="456.0"/>
        <n v="3240.0"/>
        <n v="20000.0"/>
        <n v="3750.0"/>
        <n v="8000.0"/>
        <n v="35759.0"/>
        <n v="240.0"/>
        <n v="2604.0"/>
        <n v="6000.0"/>
        <n v="28844.0"/>
        <n v="12520.0"/>
        <n v="3000.0"/>
        <n v="15520.0"/>
        <n v="596.0"/>
        <n v="287.0"/>
        <n v="9426.0"/>
        <n v="10309.0"/>
        <n v="1650.0"/>
        <n v="720.0"/>
        <n v="19200.0"/>
        <n v="4000.0"/>
        <n v="25570.0"/>
        <n v="2333.0"/>
        <n v="9914.0"/>
        <n v="1068.0"/>
        <n v="900.0"/>
        <n v="14215.0"/>
        <n v="910.0"/>
        <n v="2500.0"/>
        <n v="1874.0"/>
        <n v="19963.0"/>
        <n v="2996.0"/>
        <n v="19918.0"/>
        <n v="49080.0"/>
        <n v="4680.0"/>
        <n v="845.0"/>
        <n v="5525.0"/>
        <n v="10000.0"/>
        <n v="2695.0"/>
        <n v="3.0"/>
        <n v="25600.0"/>
        <n v="3600.0"/>
        <n v="887.0"/>
        <n v="47785.0"/>
        <n v="1.0"/>
        <n v="2209.0"/>
        <n v="12585.0"/>
        <n v="3126.0"/>
        <n v="4157.0"/>
        <n v="1618.0"/>
        <n v="1680.0"/>
        <n v="400.0"/>
        <n v="3047.0"/>
        <n v="52823.0"/>
        <n v="2005.0"/>
        <n v="4975.0"/>
        <n v="11.0"/>
        <n v="2660.0"/>
        <n v="6375.0"/>
        <n v="15000.0"/>
        <n v="3334.0"/>
        <n v="74360.0"/>
        <n v="785.0"/>
        <n v="12000.0"/>
        <n v="7000.0"/>
        <n v="19500.0"/>
        <n v="891.0"/>
        <n v="75.0"/>
        <n v="1500.0"/>
        <n v="47589.0"/>
        <n v="29604.0"/>
        <n v="124944.0"/>
        <n v="672.0"/>
        <n v="3074.0"/>
        <n v="8118.0"/>
        <n v="3903.0"/>
        <s v="-"/>
        <n v="19367.0"/>
        <n v="5720.0"/>
        <n v="6725.0"/>
        <n v="9453.0"/>
        <n v="17942.0"/>
        <n v="2252.0"/>
        <n v="95.0"/>
        <n v="52187.0"/>
        <n v="988.0"/>
        <n v="2475.0"/>
        <n v="4250.0"/>
        <n v="9213.0"/>
      </sharedItems>
    </cacheField>
    <cacheField name="Расход без НДС" numFmtId="164">
      <sharedItems containsSemiMixedTypes="0" containsString="0" containsNumber="1">
        <n v="356399.11475409835"/>
        <n v="247399.8524590164"/>
        <n v="480000.0"/>
        <n v="617111.262295082"/>
        <n v="102174.40983606558"/>
        <n v="384722.9672131148"/>
        <n v="218790.2131147541"/>
        <n v="339673.2950819672"/>
        <n v="2746271.1147540985"/>
        <n v="224641.84426229508"/>
        <n v="248662.23770491802"/>
        <n v="55000.0"/>
        <n v="300000.0"/>
        <n v="380488.75409836066"/>
        <n v="480136.9590163934"/>
        <n v="194267.72950819673"/>
        <n v="467375.1721311475"/>
        <n v="651815.6229508198"/>
        <n v="3002388.319672131"/>
        <n v="141899.25409836066"/>
        <n v="87813.16393442624"/>
        <n v="413334.6885245902"/>
        <n v="320513.59016393445"/>
        <n v="470546.4016393443"/>
        <n v="1434107.0983606558"/>
        <n v="132499.24590163937"/>
        <n v="117617.87704918033"/>
        <n v="488129.8852459016"/>
        <n v="379031.04098360654"/>
        <n v="199291.58196721313"/>
        <n v="250000.0"/>
        <n v="1566569.631147541"/>
        <n v="88000.0"/>
        <n v="549505.9508196722"/>
        <n v="399998.5573770492"/>
        <n v="317584.87704918033"/>
        <n v="1355089.3852459015"/>
        <n v="250400.0"/>
        <n v="137184.4344262295"/>
        <n v="387584.4344262295"/>
        <n v="163900.0"/>
        <n v="66945.05737704918"/>
        <n v="174106.08196721313"/>
        <n v="404951.1393442623"/>
        <n v="477964.28688524594"/>
        <n v="264000.0"/>
        <n v="383998.87704918033"/>
        <n v="318800.4426229508"/>
        <n v="1444763.6065573771"/>
        <n v="655304.0655737704"/>
        <n v="285904.91803278687"/>
        <n v="467213.11475409835"/>
        <n v="171535.49180327868"/>
        <n v="1579957.5901639345"/>
        <n v="244596.22950819673"/>
        <n v="56417.18032786886"/>
        <n v="394552.868852459"/>
        <n v="409836.4344262295"/>
        <n v="247541.19672131148"/>
        <n v="269672.4918032787"/>
        <n v="398356.6393442623"/>
        <n v="2020973.0409836066"/>
        <n v="432900.0"/>
        <n v="211720.24590163937"/>
        <n v="644620.2459016393"/>
        <n v="200000.0"/>
        <n v="53040.983606557376"/>
        <n v="112500.0"/>
        <n v="540000.0"/>
        <n v="512000.0"/>
        <n v="324000.0"/>
        <n v="199096.2213114754"/>
        <n v="24003.90163934426"/>
        <n v="1764641.106557377"/>
        <n v="37500.0"/>
        <n v="46569.67213114754"/>
        <n v="1080000.0"/>
        <n v="1000032.0"/>
        <n v="296335.75409836066"/>
        <n v="300000.18852459016"/>
        <n v="84659.11475409837"/>
        <n v="10317.959016393443"/>
        <n v="280857.9262295082"/>
        <n v="3616272.614754098"/>
        <n v="43616.39344262295"/>
        <n v="149250.0"/>
        <n v="453600.0"/>
        <n v="246050.0"/>
        <n v="400000.0"/>
        <n v="327550.0"/>
        <n v="248000.0"/>
        <n v="956565.0000000001"/>
        <n v="3904631.393442623"/>
        <n v="40800.0"/>
        <n v="375000.0"/>
        <n v="519143.8032786885"/>
        <n v="312795.9918032787"/>
        <n v="472500.0"/>
        <n v="181973.69672131148"/>
        <n v="299951.9918032787"/>
        <n v="299740.2786885246"/>
        <n v="1823568.5901639345"/>
        <n v="350438.40983606555"/>
        <n v="4675912.762295083"/>
        <n v="246400.0"/>
        <n v="263274.237704918"/>
        <n v="537964.8606557377"/>
        <n v="233940.8606557377"/>
        <n v="40000.0"/>
        <n v="1721579.9590163934"/>
        <n v="600600.0"/>
        <n v="220953.40983606555"/>
        <n v="775000.0"/>
        <n v="270800.0"/>
        <n v="118026.30327868853"/>
        <n v="52042.401639344265"/>
        <n v="203943.8524590164"/>
        <n v="2241365.9672131147"/>
        <n v="341514.8524590164"/>
        <n v="503249.368852459"/>
        <n v="299894.6639344262"/>
        <n v="249469.55737704918"/>
        <n v="1394128.4426229508"/>
      </sharedItems>
    </cacheField>
    <cacheField name="Расход с НДС" numFmtId="164">
      <sharedItems containsSemiMixedTypes="0" containsString="0" containsNumber="1">
        <n v="434806.92"/>
        <n v="301827.82"/>
        <n v="585600.0"/>
        <n v="752875.74"/>
        <n v="124652.78"/>
        <n v="469362.02"/>
        <n v="266924.06"/>
        <n v="414401.42"/>
        <n v="3350450.76"/>
        <n v="274063.05"/>
        <n v="303367.93"/>
        <n v="67100.0"/>
        <n v="366000.0"/>
        <n v="464196.28"/>
        <n v="585767.09"/>
        <n v="237006.63"/>
        <n v="570197.71"/>
        <n v="795215.06"/>
        <n v="3662913.75"/>
        <n v="173117.09"/>
        <n v="107132.06"/>
        <n v="504268.32000000007"/>
        <n v="391026.58"/>
        <n v="574066.61"/>
        <n v="1749610.6600000001"/>
        <n v="161649.08000000002"/>
        <n v="143493.81"/>
        <n v="595518.46"/>
        <n v="462417.87"/>
        <n v="243135.73"/>
        <n v="305000.0"/>
        <n v="1911214.95"/>
        <n v="107360.0"/>
        <n v="670397.26"/>
        <n v="487998.24"/>
        <n v="387453.55"/>
        <n v="1653209.05"/>
        <n v="305488.0"/>
        <n v="167365.01"/>
        <n v="472853.01"/>
        <n v="199958.0"/>
        <n v="81672.97"/>
        <n v="212409.42"/>
        <n v="494040.39"/>
        <n v="583116.43"/>
        <n v="322080.0"/>
        <n v="468478.63"/>
        <n v="388936.54"/>
        <n v="1762611.6"/>
        <n v="799470.96"/>
        <n v="348804.0"/>
        <n v="570000.0"/>
        <n v="209273.3"/>
        <n v="1927548.26"/>
        <n v="298407.4"/>
        <n v="68828.96"/>
        <n v="481354.5"/>
        <n v="500000.45"/>
        <n v="302000.26"/>
        <n v="329000.44"/>
        <n v="485995.1"/>
        <n v="2465587.11"/>
        <n v="528138.0"/>
        <n v="258298.7"/>
        <n v="786436.7"/>
        <n v="244000.0"/>
        <n v="64710.0"/>
        <n v="137250.0"/>
        <n v="658800.0"/>
        <n v="624640.0"/>
        <n v="395280.0"/>
        <n v="242897.39"/>
        <n v="29284.76"/>
        <n v="2152862.15"/>
        <n v="45750.0"/>
        <n v="56815.0"/>
        <n v="1317600.0"/>
        <n v="1220039.04"/>
        <n v="361529.62"/>
        <n v="366000.23"/>
        <n v="103284.12"/>
        <n v="12587.91"/>
        <n v="342646.67"/>
        <n v="4411852.590000001"/>
        <n v="53212.0"/>
        <n v="182085.0"/>
        <n v="553392.0"/>
        <n v="300181.0"/>
        <n v="488000.0"/>
        <n v="399611.0"/>
        <n v="302560.0"/>
        <n v="1167009.3"/>
        <n v="4763650.3"/>
        <n v="49776.0"/>
        <n v="457500.0"/>
        <n v="633355.44"/>
        <n v="381611.11"/>
        <n v="576450.0"/>
        <n v="222007.91"/>
        <n v="365941.43"/>
        <n v="365683.14"/>
        <n v="2224753.68"/>
        <n v="427534.86"/>
        <n v="5704613.570000001"/>
        <n v="300608.0"/>
        <n v="321194.57"/>
        <n v="656317.13"/>
        <n v="285407.85"/>
        <n v="48800.0"/>
        <n v="2100327.5500000003"/>
        <n v="732732.0"/>
        <n v="269563.16"/>
        <n v="945500.0"/>
        <n v="330376.0"/>
        <n v="143992.09"/>
        <n v="63491.73"/>
        <n v="248811.5"/>
        <n v="2734466.48"/>
        <n v="416648.12"/>
        <n v="613964.23"/>
        <n v="365871.49"/>
        <n v="304352.86"/>
        <n v="1700836.6999999997"/>
      </sharedItems>
    </cacheField>
    <cacheField name="Расход с НДС и АК" numFmtId="164">
      <sharedItems containsSemiMixedTypes="0" containsString="0" containsNumber="1">
        <n v="436980.95459999994"/>
        <n v="303336.9591"/>
        <n v="588527.9999999999"/>
        <n v="756640.1186999999"/>
        <n v="125276.04389999999"/>
        <n v="471708.83009999996"/>
        <n v="268258.68029999995"/>
        <n v="416473.4270999999"/>
        <n v="3367203.0138"/>
        <n v="275433.36525"/>
        <n v="304884.76965"/>
        <n v="67435.5"/>
        <n v="367829.99999999994"/>
        <n v="466517.26139999996"/>
        <n v="588695.9254499999"/>
        <n v="238191.66314999998"/>
        <n v="573048.6985499999"/>
        <n v="799191.1353"/>
        <n v="3681228.3187499996"/>
        <n v="173982.67544999998"/>
        <n v="107667.72029999999"/>
        <n v="506789.6616"/>
        <n v="392981.7129"/>
        <n v="576936.9430499999"/>
        <n v="1758358.7132999997"/>
        <n v="162457.3254"/>
        <n v="144211.27904999998"/>
        <n v="598496.0522999999"/>
        <n v="464729.95934999996"/>
        <n v="244351.40865"/>
        <n v="306524.99999999994"/>
        <n v="1920771.0247499999"/>
        <n v="107896.79999999999"/>
        <n v="673749.2462999999"/>
        <n v="490438.2311999999"/>
        <n v="389390.81774999993"/>
        <n v="1661475.0952499998"/>
        <n v="307015.43999999994"/>
        <n v="168201.83505"/>
        <n v="475217.27504999994"/>
        <n v="200957.78999999998"/>
        <n v="82081.33485"/>
        <n v="213471.46709999998"/>
        <n v="496510.5919499999"/>
        <n v="586032.01215"/>
        <n v="323690.39999999997"/>
        <n v="470821.02314999996"/>
        <n v="390881.2226999999"/>
        <n v="1771424.6579999998"/>
        <n v="803468.3147999999"/>
        <n v="350548.01999999996"/>
        <n v="572849.9999999999"/>
        <n v="210319.66649999996"/>
        <n v="1937186.0013"/>
        <n v="299899.437"/>
        <n v="69173.1048"/>
        <n v="483761.27249999996"/>
        <n v="502500.45225"/>
        <n v="303510.26129999995"/>
        <n v="330645.4422"/>
        <n v="488425.0754999999"/>
        <n v="2477915.0455499995"/>
        <n v="530778.69"/>
        <n v="259590.1935"/>
        <n v="790368.8835"/>
        <n v="245219.99999999997"/>
        <n v="65033.549999999996"/>
        <n v="137936.24999999997"/>
        <n v="662093.9999999999"/>
        <n v="627763.2"/>
        <n v="397256.39999999997"/>
        <n v="244111.87694999998"/>
        <n v="29431.183799999995"/>
        <n v="2163626.4607499996"/>
        <n v="45978.74999999999"/>
        <n v="57099.075"/>
        <n v="1324187.9999999998"/>
        <n v="1226139.2352"/>
        <n v="363337.2680999999"/>
        <n v="367830.23114999995"/>
        <n v="103800.54059999998"/>
        <n v="12650.849549999999"/>
        <n v="344359.9033499999"/>
        <n v="4433911.852949999"/>
        <n v="53478.06"/>
        <n v="182995.425"/>
        <n v="556158.96"/>
        <n v="301681.90499999997"/>
        <n v="490439.99999999994"/>
        <n v="401609.05499999993"/>
        <n v="304072.8"/>
        <n v="1172844.3465"/>
        <n v="4787468.551499999"/>
        <n v="50024.88"/>
        <n v="459787.49999999994"/>
        <n v="636522.2171999998"/>
        <n v="383519.1655499999"/>
        <n v="579332.2499999999"/>
        <n v="223117.94955"/>
        <n v="367771.13714999997"/>
        <n v="367511.55569999997"/>
        <n v="2235877.4484"/>
        <n v="429672.53429999994"/>
        <n v="5733136.63785"/>
        <n v="302111.04"/>
        <n v="322800.54284999997"/>
        <n v="659598.7156499999"/>
        <n v="286834.88924999995"/>
        <n v="49043.99999999999"/>
        <n v="2110829.1877499996"/>
        <n v="736395.6599999999"/>
        <n v="270910.97579999996"/>
        <n v="950227.4999999999"/>
        <n v="332027.87999999995"/>
        <n v="144712.05044999998"/>
        <n v="63809.18865"/>
        <n v="250055.55749999997"/>
        <n v="2748138.8123999997"/>
        <n v="418731.36059999996"/>
        <n v="617034.05115"/>
        <n v="367700.84744999994"/>
        <n v="305874.62429999997"/>
        <n v="1709340.8835"/>
      </sharedItems>
    </cacheField>
    <cacheField name="CPM до НДС и АК">
      <sharedItems containsBlank="1" containsMixedTypes="1" containsNumber="1">
        <n v="262.0581726133076"/>
        <n v="321.0529250469659"/>
        <n v="159.46843853820596"/>
        <n v="206.13140805961498"/>
        <n v="281.6863781720139"/>
        <n v="79.22691487005045"/>
        <n v="168.42000124300296"/>
        <n v="164.1041609893052"/>
        <n v="164.23110829051987"/>
        <n v="275.91990265046877"/>
        <n v="579.9999946467644"/>
        <n v="208.88958096750056"/>
        <n v="29466.65357037619"/>
        <n v="250.00000269282646"/>
        <n v="159.99999967222467"/>
        <n v="143.60067318597103"/>
        <n v="89.0703455139431"/>
        <n v="194.43009691168996"/>
        <n v="187.74658137946943"/>
        <n v="248.58626391338967"/>
        <n v="580.0000259866199"/>
        <n v="325.0291452085935"/>
        <n v="88.14294947187547"/>
        <n v="160.0000005574266"/>
        <n v="167.3185182754011"/>
        <n v="268.95863880098443"/>
        <n v="255.20559164454642"/>
        <n v="281.86533958386354"/>
        <n v="160.00000041520886"/>
        <n v="76.92722098314792"/>
        <n v="250.0"/>
        <n v="181.21332587469468"/>
        <n v="209.07231288621952"/>
        <n v="350.7687790567915"/>
        <n v="159.9999989508159"/>
        <n v="79.48116475712926"/>
        <n v="159.7380169021028"/>
        <n v="159.9982619997099"/>
        <n v="79.54320922888807"/>
        <n v="117.81863664933853"/>
        <n v="209.13401419916602"/>
        <n v="319.70704829174133"/>
        <n v="160.00000180782948"/>
        <n v="194.5696222127601"/>
        <n v="303.2006468458724"/>
        <n v="209.65592603593058"/>
        <n v="159.99999877048822"/>
        <n v="76.35702815959718"/>
        <n v="153.52310901450062"/>
        <n v="249.19602763300625"/>
        <n v="28838.502928463473"/>
        <n v="288.4035133093364"/>
        <n v="290.0047537469292"/>
        <n v="325.6921277819203"/>
        <n v="252.07348530273165"/>
        <n v="580.0000033706742"/>
        <n v="290.9460924815143"/>
        <n v="437.4999967187529"/>
        <n v="123.44057997010567"/>
        <n v="270.00000180546874"/>
        <n v="159.99999973662287"/>
        <n v="228.246527267309"/>
        <n v="370.0"/>
        <n v="255.9533330612928"/>
        <n v="322.7647370830011"/>
        <n v="159.9998720001024"/>
        <n v="1073.4650909019726"/>
        <s v="-"/>
        <n v="1080.0"/>
        <n v="159.99860001224988"/>
        <n v="270.0"/>
        <n v="71.97905348513046"/>
        <n v="34.31305233511579"/>
        <n v="209.7012316133793"/>
        <n v="1067.793367370911"/>
        <n v="960.0"/>
        <n v="250.00000345753142"/>
        <n v="370.79999867079425"/>
        <n v="74.56351330645728"/>
        <n v="39.99999618681772"/>
        <n v="159.99909333847108"/>
        <n v="552.999474738193"/>
        <n v="402.65987289713183"/>
        <n v="1263.9135716080718"/>
        <n v="71.86793057919051"/>
        <n v="18600.836545558926"/>
        <n v="159.9998080002304"/>
        <n v="177.5338753387534"/>
        <n v="123.43479208703349"/>
        <n v="900.0000000000001"/>
        <n v="348.079825888621"/>
        <n v="321.17638723796176"/>
        <n v="208.71461911436583"/>
        <n v="89.21810277990933"/>
        <n v="315.0"/>
        <n v="299.9431290260188"/>
        <n v="399.99998906928937"/>
        <n v="199.1574179913415"/>
        <n v="197.08843087021882"/>
        <n v="112.97190900183803"/>
        <n v="192.13584974199378"/>
        <n v="209.2380643441015"/>
        <n v="80000.0"/>
        <n v="32639.99971546219"/>
        <n v="190.26307910889443"/>
        <n v="78.64036792011133"/>
        <m/>
        <n v="246.1872364698252"/>
        <n v="840.0"/>
        <n v="229.99999982935353"/>
        <n v="310.0"/>
        <n v="399.9781400425678"/>
        <n v="289.13842057493514"/>
        <n v="160.00000504002665"/>
        <n v="293.432570283523"/>
        <n v="356.83739376636566"/>
        <n v="253.46361894609464"/>
        <n v="280.3456786894451"/>
        <n v="193.13925719240865"/>
        <n v="83.65673060353848"/>
        <n v="181.59109981092962"/>
      </sharedItems>
    </cacheField>
    <cacheField name="CPС до НДС и АК">
      <sharedItems containsBlank="1" containsMixedTypes="1" containsNumber="1">
        <n v="296.7519689875923"/>
        <n v="299.878609041232"/>
        <n v="20.0"/>
        <n v="20.61435269558665"/>
        <n v="203.13003943551806"/>
        <n v="52.94838524815783"/>
        <n v="28.07162087692508"/>
        <n v="51.46565076999503"/>
        <n v="35.15227026885246"/>
        <n v="345.6028373266078"/>
        <n v="269.6987393762668"/>
        <n v="366.6666666666667"/>
        <n v="29.46665357037619"/>
        <n v="31.24907638784171"/>
        <n v="19.460804110586633"/>
        <n v="32.639067457694345"/>
        <n v="62.31668961748634"/>
        <n v="48.72294983934966"/>
        <n v="39.72411478641631"/>
        <n v="312.5534231241424"/>
        <n v="95.5529531386575"/>
        <n v="299.5178902352103"/>
        <n v="59.35436854887675"/>
        <n v="19.606100068306013"/>
        <n v="44.60259068704805"/>
        <n v="423.32027444613215"/>
        <n v="257.9339408973253"/>
        <n v="150.6573719894758"/>
        <n v="18.951552049180325"/>
        <n v="53.144421857923504"/>
        <n v="31.25"/>
        <n v="43.80910067808219"/>
        <n v="211.02379063735492"/>
        <n v="19.99992786885246"/>
        <n v="52.930812841530056"/>
        <n v="46.97993985736727"/>
        <n v="45.72814480874317"/>
        <n v="24.973223867669425"/>
        <n v="275.0"/>
        <n v="233.25803964128633"/>
        <n v="18.470834072481768"/>
        <n v="39.281321112063466"/>
        <n v="289.67532538499756"/>
        <n v="19.999941512978143"/>
        <n v="79.7001106557377"/>
        <n v="56.50229200459042"/>
        <n v="280.8847259210332"/>
        <n v="28.838502928463473"/>
        <n v="437.4654632529011"/>
        <n v="190.59499089253185"/>
        <n v="111.14721000098027"/>
        <n v="268.78706539362275"/>
        <n v="61.389750084732164"/>
        <n v="157.82114754098362"/>
        <n v="218.69606959777454"/>
        <n v="12.399999835761733"/>
        <n v="90.01084506117446"/>
        <n v="19.99983127544243"/>
        <n v="41.17711982444186"/>
        <n v="92.5"/>
        <n v="250.55650402560872"/>
        <n v="116.67334767450485"/>
        <n v="19.681255512637247"/>
        <n v="37500.0"/>
        <n v="72.0"/>
        <n v="90.0"/>
        <n v="26.546162841530055"/>
        <m/>
        <n v="36.92876648649946"/>
        <n v="21.081789104186303"/>
        <n v="85.81644815256257"/>
        <n v="319.90786948176583"/>
        <n v="71.28596442106343"/>
        <n v="185.41420798800382"/>
        <n v="50.39233021077283"/>
        <s v="-"/>
        <n v="92.1752301376791"/>
        <n v="68.46018996940911"/>
        <n v="21.75381219083439"/>
        <n v="30.0"/>
        <n v="41236.36363636364"/>
        <n v="51.38039215686275"/>
        <n v="12.4"/>
        <n v="286.9121175764847"/>
        <n v="52.50983584511327"/>
        <n v="51.97452229299363"/>
        <n v="86.52396721311476"/>
        <n v="44.68514168618267"/>
        <n v="24.23076923076923"/>
        <n v="204.23534985556844"/>
        <n v="3999.3598907103824"/>
        <n v="199.8268524590164"/>
        <n v="38.319119758009926"/>
        <n v="11.837535800434589"/>
        <n v="37.42406808086089"/>
        <n v="130.12361743656473"/>
        <n v="32.43092359015989"/>
        <n v="149.4346835154827"/>
        <n v="59.938729350688625"/>
        <n v="88.89244379699454"/>
        <n v="105.0"/>
        <n v="32.85552562618075"/>
        <n v="81.98455516767164"/>
        <n v="15.093077694794337"/>
        <n v="52.409548525172525"/>
        <n v="5.2042401639344265"/>
        <n v="2146.777394305436"/>
        <n v="42.948741395617965"/>
        <n v="345.66280613260767"/>
        <n v="203.33307832422585"/>
        <n v="199.92977595628415"/>
        <n v="58.6987193828351"/>
        <n v="151.3218758952513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80" sheet="Май 2026"/>
  </cacheSource>
  <cacheFields>
    <cacheField name="Площадка" numFmtId="3">
      <sharedItems>
        <s v="Яндекс Go"/>
        <s v="Market yandex"/>
        <s v="SOLTA"/>
        <s v="Mts.ru OLV"/>
        <s v="Video yandex"/>
        <s v="media.yandex"/>
        <s v="Segmento"/>
        <s v="Promopages.yandex.ru"/>
        <s v="ИТОГО"/>
        <s v="VK Video"/>
        <s v="Rutube"/>
        <s v="Дзен Статьи"/>
        <s v="Дзен Сообщество"/>
        <s v="VK Ads Сообщество"/>
        <s v="Ozon"/>
        <s v="МТС"/>
        <s v="VK Ads"/>
        <s v="Roxot"/>
        <s v="qbid"/>
        <s v="Adspector OLV"/>
        <s v="Pass24"/>
        <s v="q.bid OLV"/>
        <s v="Фонтанка"/>
        <s v="TargetAds (прямой, без НДС)"/>
        <s v="TargetAds (прямой, без НДС) - JS-трекинг"/>
        <s v="TargetAds (прямой, без НДС) - Видео-код"/>
      </sharedItems>
    </cacheField>
    <cacheField name="Проект" numFmtId="0">
      <sharedItems containsBlank="1">
        <s v="Мичуринский"/>
        <m/>
        <s v="Левел Групп"/>
        <s v="Южнопортовая"/>
        <s v="Звенигородская"/>
        <s v="Регионы"/>
        <s v="Остатки"/>
        <s v="Нижегородская"/>
        <s v="Селигерская"/>
        <s v="Лесной"/>
        <s v="Павелецкая Сити"/>
        <s v="Саввинская"/>
        <s v="Премиальная Коллекция"/>
        <s v="Войковская"/>
        <s v="Свободы"/>
        <s v="Воронцовская"/>
        <s v="Нижегородская Work"/>
        <s v="Мечникова"/>
        <s v="Левел Групп (немарк)"/>
      </sharedItems>
    </cacheField>
    <cacheField name="Показы">
      <sharedItems containsBlank="1" containsMixedTypes="1" containsNumber="1" containsInteger="1">
        <n v="1835395.0"/>
        <n v="668723.0"/>
        <n v="3597462.0"/>
        <n v="1600669.0"/>
        <n v="2753013.0"/>
        <n v="7061897.0"/>
        <n v="6909533.0"/>
        <n v="2550001.0"/>
        <n v="2.6976693E7"/>
        <n v="1147080.0"/>
        <n v="4500141.0"/>
        <n v="2836538.0"/>
        <n v="1406509.0"/>
        <n v="5484067.0"/>
        <n v="1626179.0"/>
        <n v="1.7000514E7"/>
        <n v="5367564.0"/>
        <n v="1024863.0"/>
        <n v="4723857.0"/>
        <n v="2548340.0"/>
        <n v="2401895.0"/>
        <n v="1.6066519E7"/>
        <n v="593459.0"/>
        <n v="1047871.0"/>
        <n v="6450240.0"/>
        <n v="3225791.0"/>
        <n v="6767775.0"/>
        <n v="1.8085136E7"/>
        <n v="4449867.0"/>
        <n v="2911785.0"/>
        <n v="2449672.0"/>
        <n v="9811324.0"/>
        <n v="2615002.0"/>
        <n v="3434947.0"/>
        <n v="6049949.0"/>
        <n v="6423443.0"/>
        <n v="4538598.0"/>
        <n v="2718763.0"/>
        <n v="7257361.0"/>
        <n v="780592.0"/>
        <n v="2517096.0"/>
        <n v="5460452.0"/>
        <n v="8758140.0"/>
        <n v="1400635.0"/>
        <n v="1915548.0"/>
        <n v="2697346.0"/>
        <n v="6013529.0"/>
        <n v="2714896.0"/>
        <n v="457833.0"/>
        <n v="1791139.0"/>
        <n v="3102439.0"/>
        <n v="5351411.0"/>
        <n v="3113127.0"/>
        <n v="3960459.0"/>
        <n v="1685573.0"/>
        <n v="8759159.0"/>
        <n v="3967722.0"/>
        <n v="5978556.0"/>
        <n v="398005.0"/>
        <n v="1.0344283E7"/>
        <n v="3370038.0"/>
        <n v="2435333.0"/>
        <n v="1734065.0"/>
        <n v="7539436.0"/>
        <n v="3126206.0"/>
        <n v="1772242.0"/>
        <n v="4898448.0"/>
        <n v="151406.0"/>
        <n v="218893.0"/>
        <n v="613365.0"/>
        <n v="86979.0"/>
        <n v="1596042.0"/>
        <n v="2666685.0"/>
        <s v="-"/>
        <m/>
      </sharedItems>
    </cacheField>
    <cacheField name="Клики">
      <sharedItems containsBlank="1" containsMixedTypes="1" containsNumber="1">
        <n v="3977.0"/>
        <n v="1570.0"/>
        <n v="8064.0"/>
        <n v="18623.0"/>
        <n v="8150.0"/>
        <n v="18680.0"/>
        <n v="136.0"/>
        <n v="21396.0"/>
        <n v="80596.0"/>
        <n v="6931.0"/>
        <n v="5449.0"/>
        <n v="49919.0"/>
        <n v="5045.0"/>
        <n v="57431.00679153"/>
        <n v="3054.0"/>
        <n v="127829.00679153"/>
        <n v="2870.0"/>
        <n v="1682.0"/>
        <n v="67196.0"/>
        <n v="7090.0"/>
        <n v="28371.0"/>
        <n v="107209.0"/>
        <n v="1083.0"/>
        <n v="1762.0"/>
        <n v="184054.0"/>
        <n v="6468.0"/>
        <n v="25601.0"/>
        <n v="218968.0"/>
        <n v="73540.0"/>
        <n v="6518.0"/>
        <n v="5153.0"/>
        <n v="85211.0"/>
        <n v="1443.0"/>
        <n v="9000.0"/>
        <n v="10443.0"/>
        <n v="16336.0"/>
        <n v="62080.0"/>
        <n v="28278.0"/>
        <n v="90358.0"/>
        <n v="1450.0"/>
        <n v="5531.0"/>
        <n v="24060.0"/>
        <n v="31041.0"/>
        <n v="2618.0"/>
        <n v="2249.0"/>
        <n v="38502.0"/>
        <n v="43369.0"/>
        <n v="6984.0"/>
        <n v="1663.0"/>
        <n v="8423.0"/>
        <n v="6824.0"/>
        <n v="16910.0"/>
        <n v="2016.0"/>
        <n v="46218.0"/>
        <n v="5833.0"/>
        <n v="54067.0"/>
        <n v="37310.0"/>
        <n v="15277.0"/>
        <n v="398.0"/>
        <n v="52985.0"/>
        <n v="7773.0"/>
        <n v="29759.0"/>
        <n v="1127.0"/>
        <n v="38659.0"/>
        <n v="33754.0"/>
        <n v="787.0"/>
        <n v="34541.0"/>
        <n v="424.0"/>
        <n v="123.0"/>
        <n v="12071.0"/>
        <n v="153.0"/>
        <n v="4606.0"/>
        <n v="17377.0"/>
        <s v="-"/>
        <m/>
      </sharedItems>
    </cacheField>
    <cacheField name="CTR">
      <sharedItems containsBlank="1" containsMixedTypes="1" containsNumber="1">
        <n v="0.0021668360216738087"/>
        <n v="0.002347758339402114"/>
        <n v="0.002241580314121456"/>
        <n v="0.011634510320372294"/>
        <n v="0.0029603928495797152"/>
        <n v="0.002645181599221852"/>
        <n v="1.9682951076433096E-5"/>
        <n v="0.00839058494486865"/>
        <n v="0.002987616013571419"/>
        <n v="0.006042298706280294"/>
        <n v="0.0012108509488924903"/>
        <n v="0.017598565575359822"/>
        <n v="0.0035868949292183695"/>
        <n v="0.010472338647855689"/>
        <n v="0.0018780220381643103"/>
        <n v="0.007519125997692187"/>
        <n v="5.346932053348595E-4"/>
        <n v="0.0016411949694739687"/>
        <n v="0.014224816712275584"/>
        <n v="0.0027822033166688903"/>
        <n v="0.011811923502068158"/>
        <n v="0.006672820665135988"/>
        <n v="0.0018248943903454156"/>
        <n v="0.001681504689031379"/>
        <n v="0.02853444212928511"/>
        <n v="0.002005089604379205"/>
        <n v="0.0037827794215972016"/>
        <n v="0.012107622524928759"/>
        <n v="0.016526336629836352"/>
        <n v="0.0022384894489119217"/>
        <n v="0.002103546923833068"/>
        <n v="0.008684964434973302"/>
        <n v="5.51816021555624E-4"/>
        <n v="0.0026201277632522425"/>
        <n v="0.0017261302533294082"/>
        <n v="0.0025431843950354974"/>
        <n v="0.013678232793474989"/>
        <n v="0.01040105371450178"/>
        <n v="0.01245053126060561"/>
        <n v="0.0018575645151372292"/>
        <n v="0.002197373481186256"/>
        <n v="0.0044062286418779986"/>
        <n v="0.003544245696003946"/>
        <n v="0.0018691522059637235"/>
        <n v="0.0011740765566824742"/>
        <n v="0.014274030843651501"/>
        <n v="0.0072119050228243685"/>
        <n v="0.0025724742310571013"/>
        <n v="0.00363232881858669"/>
        <n v="0.004702594271019726"/>
        <n v="0.0021995597657198094"/>
        <n v="0.003159914273076764"/>
        <n v="6.475803910344808E-4"/>
        <n v="0.011669859478408942"/>
        <n v="0.003460544277821251"/>
        <n v="0.006172624563613927"/>
        <n v="0.009403380579586977"/>
        <n v="0.0025552993063876965"/>
        <n v="9.99987437343752E-4"/>
        <n v="0.005122152980540072"/>
        <n v="0.002306502181874507"/>
        <n v="0.012219684125333167"/>
        <n v="6.499179673195641E-4"/>
        <n v="0.0051275718767292405"/>
        <n v="0.010797113178082315"/>
        <n v="4.440702793410832E-4"/>
        <n v="0.007051417101906563"/>
        <m/>
        <n v="0.006516330200229873"/>
        <s v="-"/>
      </sharedItems>
    </cacheField>
    <cacheField name="Показы по трекеру">
      <sharedItems containsBlank="1" containsMixedTypes="1" containsNumber="1" containsInteger="1">
        <n v="1980026.0"/>
        <n v="706659.0"/>
        <n v="2554611.0"/>
        <n v="1631499.0"/>
        <n v="2810555.0"/>
        <n v="7275265.0"/>
        <n v="5958438.0"/>
        <s v="-"/>
        <n v="2.2917053E7"/>
        <n v="1127531.0"/>
        <n v="3113048.0"/>
        <n v="4240579.0"/>
        <n v="5740083.0"/>
        <n v="1063847.0"/>
        <n v="4814584.0"/>
        <n v="2599998.0"/>
        <n v="1.4218512E7"/>
        <n v="598076.0"/>
        <n v="1095571.0"/>
        <n v="6563581.0"/>
        <n v="3393192.0"/>
        <n v="1.165042E7"/>
        <n v="4456945.0"/>
        <n v="3008764.0"/>
        <n v="2500447.0"/>
        <n v="9966156.0"/>
        <n v="2842793.0"/>
        <n v="3354851.0"/>
        <n v="6197644.0"/>
        <n v="6581881.0"/>
        <n v="4437847.0"/>
        <n v="2852622.0"/>
        <n v="7290469.0"/>
        <n v="752740.0"/>
        <n v="2567472.0"/>
        <n v="3320212.0"/>
        <n v="1427363.0"/>
        <n v="1944969.0"/>
        <n v="2684823.0"/>
        <n v="6057155.0"/>
        <n v="2669274.0"/>
        <n v="1826612.0"/>
        <n v="3274887.0"/>
        <n v="5101499.0"/>
        <n v="3356628.0"/>
        <n v="4013924.0"/>
        <n v="1646138.0"/>
        <n v="9016690.0"/>
        <n v="4092664.0"/>
        <n v="6701849.0"/>
        <n v="153511.0"/>
        <n v="1.0948024E7"/>
        <n v="3036944.0"/>
        <n v="2470789.0"/>
        <n v="1806301.0"/>
        <n v="7314034.0"/>
        <n v="3106799.0"/>
        <n v="1826608.0"/>
        <n v="4933407.0"/>
        <m/>
        <n v="0.0"/>
      </sharedItems>
    </cacheField>
    <cacheField name="Показы по МП">
      <sharedItems containsBlank="1" containsMixedTypes="1" containsNumber="1">
        <n v="1359330.0"/>
        <n v="570350.0"/>
        <n v="3597450.0"/>
        <n v="1600000.0"/>
        <n v="2286852.0"/>
        <n v="8209197.0"/>
        <n v="6909533.0"/>
        <n v="2039000.0"/>
        <n v="2.6571712E7"/>
        <n v="1298376.6233857144"/>
        <n v="4500000.0"/>
        <n v="1610000.0"/>
        <n v="1625000.0"/>
        <n v="6615384.615384616"/>
        <n v="653000.0"/>
        <n v="1.630176123877033E7"/>
        <n v="4840000.0"/>
        <n v="764263.0"/>
        <n v="6137110.0"/>
        <n v="1690320.0"/>
        <n v="2004348.0"/>
        <n v="1.5436041E7"/>
        <n v="615000.0"/>
        <n v="764000.0"/>
        <n v="7814000.0"/>
        <n v="4667333.333333333"/>
        <n v="2300000.0"/>
        <n v="1.6160333333333332E7"/>
        <n v="4451000.0"/>
        <n v="4800000.0"/>
        <n v="1500000.0"/>
        <n v="1.0751E7"/>
        <n v="2377675.0"/>
        <n v="6000000.0"/>
        <n v="8377675.0"/>
        <n v="6663146.0"/>
        <n v="4545456.0"/>
        <n v="2719318.0"/>
        <n v="7264774.0"/>
        <n v="901000.0"/>
        <n v="1690225.0"/>
        <n v="4191225.0"/>
        <n v="1110000.0"/>
        <n v="1355875.0"/>
        <n v="2696986.0"/>
        <n v="5162861.0"/>
        <n v="4654667.0"/>
        <n v="400000.0"/>
        <n v="1804000.0"/>
        <n v="3415600.0"/>
        <n v="5619600.0"/>
        <n v="2800000.0"/>
        <n v="4597000.0"/>
        <n v="1375000.0"/>
        <n v="8772000.0"/>
        <n v="3980000.0"/>
        <n v="5725120.0"/>
        <n v="398000.0"/>
        <n v="1.010312E7"/>
        <n v="3369764.0"/>
        <n v="3010433.0"/>
        <n v="1557377.0"/>
        <n v="7937574.0"/>
        <n v="3126000.0"/>
        <n v="1640000.0"/>
        <n v="4766000.0"/>
        <m/>
        <n v="0.0"/>
        <s v="-"/>
      </sharedItems>
    </cacheField>
    <cacheField name="Трекер vs Кабинет">
      <sharedItems containsBlank="1" containsMixedTypes="1" containsNumber="1">
        <n v="0.9269549995808136"/>
        <n v="0.9463163987156464"/>
        <n v="1.4082230132102305"/>
        <n v="0.9811032676084999"/>
        <n v="0.9795264636344068"/>
        <n v="0.9706721335923846"/>
        <n v="1.1596215316833036"/>
        <s v="-"/>
        <n v="1.1771449409311048"/>
        <n v="1.017337882506113"/>
        <n v="1.4455739198367645"/>
        <m/>
        <n v="0.9351021579304689"/>
        <n v="0.9633556329058596"/>
        <n v="0.9811557966378819"/>
        <n v="0.9801315231780947"/>
        <n v="0.9922802453199928"/>
        <n v="0.9564610600317095"/>
        <n v="0.9827318349541203"/>
        <n v="0.9506656269377035"/>
        <n v="0.9984119166828399"/>
        <n v="0.9677678275863444"/>
        <n v="0.9796936307788168"/>
        <n v="0.9844642207085661"/>
        <n v="0.9198707046204209"/>
        <n v="1.0238746817667908"/>
        <n v="0.9761691700910863"/>
        <n v="0.9759281579232442"/>
        <n v="1.0227026754189588"/>
        <n v="0.9530751007318881"/>
        <n v="0.9954587283753624"/>
        <n v="1.037000823657571"/>
        <n v="0.9803791433752734"/>
        <n v="0.9812745601504312"/>
        <n v="0.9848732807566599"/>
        <n v="1.0046643670737325"/>
        <n v="0.9927976087783786"/>
        <n v="1.017091538747989"/>
        <n v="0.9805798932668788"/>
        <n v="0.947342305245952"/>
        <n v="0.927456661864228"/>
        <n v="0.9866801165144133"/>
        <n v="1.0239560717266718"/>
        <n v="0.9714384103257404"/>
        <n v="0.9694717181767182"/>
        <n v="0.8920756048069719"/>
        <n v="2.592680654806496"/>
        <n v="0.9448538841347078"/>
        <n v="1.1096806526560912"/>
        <n v="0.9856499280189446"/>
        <n v="0.9600088800260864"/>
        <n v="1.0308177402511391"/>
        <n v="1.0062466223273536"/>
        <n v="0.9702366353371933"/>
        <n v="0.9929138220300899"/>
      </sharedItems>
    </cacheField>
    <cacheField name="IVT">
      <sharedItems containsBlank="1" containsMixedTypes="1" containsNumber="1">
        <n v="0.1105"/>
        <n v="0.045"/>
        <n v="0.0401"/>
        <n v="0.0"/>
        <n v="0.0698"/>
        <s v="-"/>
        <n v="0.03791428571428571"/>
        <n v="0.0208"/>
        <n v="0.173"/>
        <n v="0.09689999999999999"/>
        <n v="0.0452"/>
        <n v="0.0419"/>
        <n v="0.0567"/>
        <n v="0.035949999999999996"/>
        <n v="0.1216"/>
        <n v="0.0405"/>
        <n v="0.0637"/>
        <n v="0.0252"/>
        <n v="0.06275"/>
        <n v="0.05745"/>
        <n v="0.010450000000000001"/>
        <n v="0.03395"/>
        <n v="0.0476"/>
        <n v="0.0445"/>
        <n v="0.04605"/>
        <n v="0.0678"/>
        <n v="0.0395"/>
        <n v="0.05365"/>
        <n v="0.0583"/>
        <n v="0.124"/>
        <n v="0.07816666666666666"/>
        <n v="0.0432"/>
        <n v="0.038"/>
        <n v="0.0149"/>
        <n v="0.02645"/>
        <n v="0.0587"/>
        <n v="0.039"/>
        <n v="0.03256666666666667"/>
        <n v="0.1478"/>
        <n v="0.0487"/>
        <n v="0.0703"/>
        <n v="0.08893333333333332"/>
        <n v="0.0534"/>
        <n v="0.14129999999999998"/>
        <n v="0.09734999999999999"/>
        <m/>
        <e v="#DIV/0!"/>
      </sharedItems>
    </cacheField>
    <cacheField name="GIVT">
      <sharedItems containsBlank="1" containsMixedTypes="1" containsNumber="1">
        <n v="0.1105"/>
        <n v="0.0403"/>
        <n v="0.0373"/>
        <n v="0.0"/>
        <n v="0.0698"/>
        <s v="-"/>
        <n v="0.03684285714285714"/>
        <n v="0.0157"/>
        <n v="0.031"/>
        <n v="0.02335"/>
        <n v="0.0444"/>
        <n v="0.0341"/>
        <n v="0.0255"/>
        <n v="0.026"/>
        <n v="0.1033"/>
        <n v="0.0302"/>
        <n v="0.029"/>
        <n v="0.0156"/>
        <n v="0.044525"/>
        <n v="0.022199999999999998"/>
        <n v="0.006"/>
        <n v="0.014099999999999998"/>
        <n v="0.0468"/>
        <n v="0.0287"/>
        <n v="0.03775"/>
        <n v="0.0324"/>
        <n v="0.029199999999999997"/>
        <n v="0.0547"/>
        <s v="-%"/>
        <n v="0.046"/>
        <n v="0.07825"/>
        <n v="0.0217"/>
        <n v="0.0098"/>
        <n v="0.01275"/>
        <n v="0.0564"/>
        <n v="0.0237"/>
        <n v="0.0267"/>
        <n v="0.0695"/>
        <n v="0.032"/>
        <n v="0.0386"/>
        <n v="0.0467"/>
        <n v="0.0441"/>
        <n v="0.049"/>
        <n v="0.04655"/>
        <n v="0.058"/>
        <m/>
        <e v="#DIV/0!"/>
      </sharedItems>
    </cacheField>
    <cacheField name="SIVT">
      <sharedItems containsBlank="1" containsMixedTypes="1" containsNumber="1">
        <n v="0.0"/>
        <n v="0.0047"/>
        <n v="0.002799999999999997"/>
        <s v="-"/>
        <n v="0.001071428571428571"/>
        <n v="0.0051"/>
        <n v="0.142"/>
        <n v="0.07354999999999999"/>
        <n v="8.0E-4"/>
        <n v="0.0078"/>
        <n v="0.0312"/>
        <n v="0.00995"/>
        <n v="0.0183"/>
        <n v="0.0103"/>
        <n v="0.0347"/>
        <n v="0.0096"/>
        <n v="0.018224999999999998"/>
        <n v="0.035250000000000004"/>
        <n v="0.00445"/>
        <n v="0.019850000000000003"/>
        <n v="0.0158"/>
        <n v="0.0083"/>
        <n v="0.0418"/>
        <n v="0.0071"/>
        <n v="0.02445"/>
        <n v="0.0035"/>
        <s v="-%"/>
        <n v="0.078"/>
        <n v="0.039"/>
        <n v="0.0215"/>
        <n v="0.0223"/>
        <n v="0.0137"/>
        <n v="0.0023"/>
        <n v="0.0153"/>
        <n v="0.005866666666666666"/>
        <n v="0.0783"/>
        <n v="0.0167"/>
        <n v="0.0317"/>
        <n v="0.04223333333333334"/>
        <n v="0.0093"/>
        <n v="0.0923"/>
        <n v="0.0508"/>
        <n v="7.0E-4"/>
        <m/>
        <e v="#DIV/0!"/>
      </sharedItems>
    </cacheField>
    <cacheField name="IVT по кликам">
      <sharedItems containsBlank="1" containsMixedTypes="1" containsNumber="1">
        <n v="0.0849"/>
        <n v="0.027"/>
        <n v="0.0233"/>
        <n v="0.062"/>
        <n v="0.0262"/>
        <n v="0.0288"/>
        <s v="-"/>
        <n v="0.04203333333333333"/>
        <n v="0.4991"/>
        <n v="0.057"/>
        <n v="0.27805"/>
        <n v="0.0478"/>
        <n v="0.0366"/>
        <n v="0.0381"/>
        <n v="0.0317"/>
        <n v="0.03855"/>
        <n v="0.071"/>
        <n v="0.0336"/>
        <n v="0.0225"/>
        <n v="0.1397"/>
        <n v="0.0667"/>
        <n v="0.0841"/>
        <n v="0.0375"/>
        <n v="0.0483"/>
        <n v="0.0526"/>
        <n v="0.0505"/>
        <n v="0.05155"/>
        <n v="0.0228"/>
        <n v="0.0364"/>
        <n v="0.0334"/>
        <n v="0.0349"/>
        <n v="0.0694"/>
        <n v="0.0614"/>
        <n v="0.0654"/>
        <n v="0.0595"/>
        <n v="0.178"/>
        <n v="0.0356"/>
        <n v="0.09103333333333334"/>
        <n v="0.0562"/>
        <n v="0.0741"/>
        <n v="0.1304"/>
        <n v="0.10225"/>
        <n v="0.0582"/>
        <n v="0.0534"/>
        <n v="0.0253"/>
        <n v="0.04563333333333333"/>
        <n v="0.0707"/>
        <n v="0.2262"/>
        <n v="0.0567"/>
        <n v="0.11786666666666668"/>
        <n v="0.022"/>
        <n v="0.076"/>
        <n v="0.1469"/>
        <n v="0.08163333333333334"/>
        <n v="0.1042"/>
        <n v="0.3666"/>
        <n v="0.2354"/>
        <m/>
        <e v="#DIV/0!"/>
      </sharedItems>
    </cacheField>
    <cacheField name="ВсеЗвонки&#10;Comagic" numFmtId="0">
      <sharedItems containsString="0" containsBlank="1" containsNumber="1" containsInteger="1">
        <m/>
        <n v="0.0"/>
        <n v="8.0"/>
      </sharedItems>
    </cacheField>
    <cacheField name="ПКзвонки&#10;Comagic" numFmtId="0">
      <sharedItems containsString="0" containsBlank="1" containsNumber="1" containsInteger="1">
        <m/>
        <n v="0.0"/>
      </sharedItems>
    </cacheField>
    <cacheField name="ПК звонки Comagic (по тегу &quot;первичный&quot;)" numFmtId="0">
      <sharedItems containsString="0" containsBlank="1" containsNumber="1" containsInteger="1">
        <m/>
        <n v="0.0"/>
      </sharedItems>
    </cacheField>
    <cacheField name="CPC" numFmtId="164">
      <sharedItems containsString="0" containsBlank="1" containsNumber="1">
        <n v="74.99122441601398"/>
        <n v="184.69134581867735"/>
        <n v="48.933112216694305"/>
        <n v="11.45403306188277"/>
        <n v="81.34644812746086"/>
        <n v="0.0"/>
        <n v="26.591791463322764"/>
        <n v="41.6912348772787"/>
        <n v="51.67345820227962"/>
        <n v="165.4144400040539"/>
        <n v="7.356501264047757"/>
        <n v="28.293359762140735"/>
        <n v="22.25337305053977"/>
        <n v="45.207918293991746"/>
        <n v="24.920476894943825"/>
        <n v="269.2793350321563"/>
        <n v="237.59870090688057"/>
        <n v="9.434216500093735"/>
        <n v="69.66846164101916"/>
        <n v="22.797327380930465"/>
        <n v="27.4897320800228"/>
        <n v="230.4938476239381"/>
        <n v="226.7326783607689"/>
        <n v="4.703088201288753"/>
        <n v="17.951766202844773"/>
        <n v="23.807319034412725"/>
        <n v="10.23141833714698"/>
        <n v="8.120371593690509"/>
        <n v="18.324491715250076"/>
        <n v="26.807803648360174"/>
        <n v="10.031002760207015"/>
        <n v="263.1040066862334"/>
        <n v="39.82079999999999"/>
        <n v="70.67377972309056"/>
        <n v="28.739147674945553"/>
        <n v="9.422098111247884"/>
        <n v="17.358183972280898"/>
        <n v="242.13479499056444"/>
        <n v="88.34939747115085"/>
        <n v="17.622403361414047"/>
        <n v="40.71231580892612"/>
        <n v="165.86205336951608"/>
        <n v="171.92653008855237"/>
        <n v="10.543780500127797"/>
        <n v="28.288553084149225"/>
        <n v="39.80940230120874"/>
        <n v="201.10511782638224"/>
        <n v="28.537439833953822"/>
        <n v="17.84725697421451"/>
        <n v="41.19446175391523"/>
        <n v="263.63774382057966"/>
        <n v="8.4764405502885"/>
        <n v="67.16340294072242"/>
        <n v="25.338452649545662"/>
        <n v="14.271464174704077"/>
        <n v="29.718008764842416"/>
        <n v="43.1641541038526"/>
        <n v="18.942147430254604"/>
        <n v="47.00630771269089"/>
        <n v="10.982280706417843"/>
        <n v="392.4350827936626"/>
        <n v="29.345716642993676"/>
        <n v="16.72188659121882"/>
        <n v="629.7864805578208"/>
        <n v="63.534598879606776"/>
        <m/>
        <n v="8.078437014444381"/>
      </sharedItems>
    </cacheField>
    <cacheField name="PVCзвонки(30дней)">
      <sharedItems containsBlank="1" containsMixedTypes="1" containsNumber="1" containsInteger="1">
        <m/>
        <n v="0.0"/>
        <s v="-"/>
      </sharedItems>
    </cacheField>
    <cacheField name="Отказы">
      <sharedItems containsBlank="1" containsMixedTypes="1" containsNumber="1">
        <n v="0.5"/>
        <n v="0.38"/>
        <n v="0.2125"/>
        <n v="0.1814"/>
        <n v="0.4948"/>
        <n v="0.4765"/>
        <s v="-"/>
        <n v="0.42"/>
        <n v="0.38074285714285716"/>
        <n v="0.6696409986859395"/>
        <n v="0.4510432682870902"/>
        <n v="0.40362203941443414"/>
        <n v="0.3242691526988636"/>
        <n v="0.46214386477158187"/>
        <n v="0.51"/>
        <n v="0.39"/>
        <n v="0.4793"/>
        <n v="0.5072"/>
        <n v="0.41"/>
        <n v="0.4593"/>
        <n v="0.5034175057208238"/>
        <n v="0.408546110721794"/>
        <n v="0.6972921162655498"/>
        <n v="0.4754098349846875"/>
        <n v="0.5211663919232138"/>
        <n v="0.5437973853847395"/>
        <n v="0.5114699899064048"/>
        <n v="0.3443270703125"/>
        <n v="0.4665314818678814"/>
        <n v="0.4818"/>
        <n v="0.24891060332761128"/>
        <n v="0.36535530166380564"/>
        <n v="0.4923"/>
        <n v="0.4589"/>
        <n v="0.2896"/>
        <n v="0.37424999999999997"/>
        <n v="0.47"/>
        <n v="0.5406"/>
        <n v="0.5053"/>
        <n v="0.3371"/>
        <n v="29.4"/>
        <n v="10.069033333333332"/>
        <n v="0.1977"/>
        <n v="0.48445000000000005"/>
        <n v="0.4537"/>
        <n v="0.5247"/>
        <n v="0.48761666666666664"/>
        <n v="0.3296"/>
        <n v="0.4714"/>
        <n v="0.42366666666666664"/>
        <n v="0.3068"/>
        <n v="0.5299"/>
        <n v="0.2651"/>
        <n v="0.36726666666666663"/>
        <n v="0.2235"/>
        <n v="0.2577"/>
        <n v="0.5435"/>
        <n v="0.34156666666666663"/>
        <n v="0.3531"/>
        <n v="0.5407"/>
        <n v="0.44689999999999996"/>
        <m/>
        <e v="#DIV/0!"/>
      </sharedItems>
    </cacheField>
    <cacheField name="Глубина просмотра">
      <sharedItems containsBlank="1" containsMixedTypes="1" containsNumber="1">
        <n v="1.12"/>
        <n v="1.8"/>
        <n v="2.43"/>
        <n v="1.15"/>
        <n v="1.05"/>
        <s v="-"/>
        <n v="1.41"/>
        <n v="1.43"/>
        <n v="1.1376452036793692"/>
        <n v="1.2900710846136207"/>
        <n v="1.6703354884252466"/>
        <n v="1.8163478778121935"/>
        <n v="1.4785999136326073"/>
        <n v="1.36"/>
        <n v="1.56"/>
        <n v="1.46"/>
        <n v="1.03"/>
        <n v="1.39"/>
        <n v="1.3599999999999999"/>
        <n v="1.1294519450800917"/>
        <n v="1.7531282410651716"/>
        <n v="1.1211966266950577"/>
        <n v="1.1199783822734641"/>
        <n v="1.2809387987784464"/>
        <n v="1.275850943700597"/>
        <n v="1.0785465222976693"/>
        <n v="1.062439453125"/>
        <n v="1.1389456397077555"/>
        <n v="1.223"/>
        <n v="1.5954047273207448"/>
        <n v="1.4092023636603725"/>
        <n v="1.55"/>
        <n v="1.51"/>
        <n v="1.53"/>
        <n v="1.22"/>
        <n v="1.125"/>
        <n v="1.19"/>
        <n v="1.69"/>
        <n v="1.3333333333333333"/>
        <n v="1.38"/>
        <n v="1.0899999999999999"/>
        <n v="1.35"/>
        <n v="1.21"/>
        <n v="1.45"/>
        <n v="1.04"/>
        <n v="1.3"/>
        <n v="2.06"/>
        <n v="1.06"/>
        <n v="1.11"/>
        <n v="1.4100000000000001"/>
        <n v="2.03"/>
        <n v="2.31"/>
        <n v="1.4"/>
        <n v="1.09"/>
        <n v="1.245"/>
        <m/>
        <e v="#DIV/0!"/>
      </sharedItems>
    </cacheField>
    <cacheField name="Время на сайте">
      <sharedItems containsDate="1" containsBlank="1" containsMixedTypes="1">
        <d v="1899-12-30T00:01:44Z"/>
        <d v="1899-12-30T00:02:23Z"/>
        <d v="1899-12-30T00:01:52Z"/>
        <d v="1899-12-30T00:03:02Z"/>
        <d v="1899-12-30T00:01:31Z"/>
        <d v="1899-12-30T00:01:40Z"/>
        <s v="-"/>
        <d v="1899-12-30T00:01:51Z"/>
        <d v="1899-12-30T00:02:00Z"/>
        <d v="1899-12-30T00:01:21Z"/>
        <d v="1899-12-30T00:01:40Z"/>
        <d v="1899-12-30T00:01:37Z"/>
        <d v="1899-12-30T00:02:57Z"/>
        <d v="1899-12-30T00:01:54Z"/>
        <d v="1899-12-30T00:02:03Z"/>
        <d v="1899-12-30T00:01:05Z"/>
        <d v="1899-12-30T00:01:48Z"/>
        <d v="1899-12-30T00:01:39Z"/>
        <d v="1899-12-30T00:01:32Z"/>
        <d v="1899-12-30T00:02:12Z"/>
        <d v="1899-12-30T00:00:27Z"/>
        <d v="1899-12-30T00:00:56Z"/>
        <d v="1899-12-30T00:01:17Z"/>
        <d v="1899-12-30T00:00:54Z"/>
        <d v="1899-12-30T00:01:01Z"/>
        <d v="1899-12-30T00:01:31Z"/>
        <d v="1899-12-30T00:01:09Z"/>
        <d v="1899-12-30T00:02:00Z"/>
        <d v="1899-12-30T00:01:34Z"/>
        <d v="1899-12-30T00:01:47Z"/>
        <d v="1899-12-30T00:01:34Z"/>
        <d v="1899-12-30T00:01:09Z"/>
        <d v="1899-12-30T00:01:04Z"/>
        <d v="1899-12-30T00:01:06Z"/>
        <d v="1899-12-30T00:01:55Z"/>
        <d v="1899-12-30T00:01:17Z"/>
        <d v="1899-12-30T00:01:36Z"/>
        <d v="1899-12-30T00:01:46Z"/>
        <d v="1899-12-30T00:02:25Z"/>
        <d v="1899-12-30T00:01:06Z"/>
        <n v="0.0012229938271604939"/>
        <d v="1899-12-30T00:01:08Z"/>
        <d v="1899-12-30T00:01:15Z"/>
        <d v="1899-12-30T00:01:09Z"/>
        <d v="1899-12-30T00:02:02Z"/>
        <d v="1899-12-30T00:01:33Z"/>
        <d v="1899-12-30T00:01:42Z"/>
        <d v="1899-12-30T00:01:32Z"/>
        <d v="1899-12-30T00:00:56Z"/>
        <d v="1899-12-30T00:01:25Z"/>
        <d v="1899-12-30T00:01:17Z"/>
        <d v="1899-12-30T00:02:06Z"/>
        <d v="1899-12-30T00:01:23Z"/>
        <d v="1899-12-30T00:01:45Z"/>
        <d v="1899-12-30T00:00:55Z"/>
        <d v="1899-12-30T00:01:30Z"/>
        <d v="1899-12-30T00:01:12Z"/>
        <m/>
        <e v="#DIV/0!"/>
      </sharedItems>
    </cacheField>
    <cacheField name="Расход без НДС" numFmtId="164">
      <sharedItems containsSemiMixedTypes="0" containsString="0" containsNumber="1">
        <n v="244459.09795285866"/>
        <n v="237676.5679797733"/>
        <n v="323439.84993067454"/>
        <n v="174842.99812413345"/>
        <n v="543420.9444580377"/>
        <n v="440096.19117527123"/>
        <n v="323924.01924802223"/>
        <n v="466358.9919256179"/>
        <n v="2754218.660794389"/>
        <n v="293564.54000000004"/>
        <n v="738805.9701492538"/>
        <n v="301007.52999999997"/>
        <n v="117000.0"/>
        <n v="1047568.5400000003"/>
        <n v="113168.0184179105"/>
        <n v="2611114.5985671645"/>
        <n v="633468.5996248268"/>
        <n v="327574.6023978468"/>
        <n v="519624.272082212"/>
        <n v="404876.5516678901"/>
        <n v="530149.9796101461"/>
        <n v="2415694.0053829215"/>
        <n v="204610.52211206965"/>
        <n v="327461.45841940556"/>
        <n v="709526.3900000001"/>
        <n v="95173.79"/>
        <n v="499582.9300000001"/>
        <n v="1836355.0905314756"/>
        <n v="489485.35"/>
        <n v="97900.85"/>
        <n v="113230.00999999998"/>
        <n v="700616.21"/>
        <n v="311195.9685641269"/>
        <n v="293759.99999999994"/>
        <n v="384821.89870320534"/>
        <n v="479445.7793002202"/>
        <n v="402339.9396460322"/>
        <n v="0.0"/>
        <n v="287783.1579805889"/>
        <n v="400541.4077155208"/>
        <n v="347536.9056357557"/>
        <n v="1035861.4713318654"/>
        <n v="355923.65223065007"/>
        <n v="316936.693581274"/>
        <n v="332751.3416523938"/>
        <n v="1005611.6874643178"/>
        <n v="227892.51284560806"/>
        <n v="274129.3532338309"/>
        <n v="197025.29157491235"/>
        <n v="99827.60786232773"/>
        <n v="570982.252671071"/>
        <n v="435650.56683794153"/>
        <n v="321118.13881412614"/>
        <n v="1122929.6060680207"/>
        <n v="436449.44947394193"/>
        <n v="372132.80319712916"/>
        <n v="14081.420765027324"/>
        <n v="822663.6734360985"/>
        <n v="299491.82774651336"/>
        <n v="267886.63241171197"/>
        <n v="362519.9494331621"/>
        <n v="929898.4095913874"/>
        <n v="462648.00000000006"/>
        <n v="406263.90180246317"/>
        <n v="1798810.3113938505"/>
        <n v="41576.02153168584"/>
        <n v="28604.94262295082"/>
        <n v="67470.14754098361"/>
        <n v="18989.66393442623"/>
        <n v="66569.09836065574"/>
        <n v="115064.75409836066"/>
        <n v="229716.09"/>
        <n v="18562.77"/>
        <n v="151060.25"/>
        <n v="399339.11"/>
      </sharedItems>
    </cacheField>
    <cacheField name="Расход с НДС" numFmtId="164">
      <sharedItems containsString="0" containsBlank="1" containsNumber="1">
        <n v="298240.0995024876"/>
        <n v="289965.41293532343"/>
        <n v="394596.6169154229"/>
        <n v="213308.4577114428"/>
        <n v="662973.552238806"/>
        <n v="536917.3532338309"/>
        <n v="395187.3034825871"/>
        <n v="568957.9701492538"/>
        <n v="3360146.7661691546"/>
        <n v="358148.73880000005"/>
        <n v="901343.2835820897"/>
        <n v="367229.18659999996"/>
        <n v="142740.0"/>
        <n v="1278033.6188000003"/>
        <n v="138064.9824698508"/>
        <n v="3185559.8102519405"/>
        <n v="772831.6915422886"/>
        <n v="399641.01492537314"/>
        <n v="633941.6119402986"/>
        <n v="493949.3930348259"/>
        <n v="646782.9751243782"/>
        <n v="2947146.6865671645"/>
        <n v="249624.83697672497"/>
        <n v="399502.97927167476"/>
        <n v="865622.1958000001"/>
        <n v="116112.0238"/>
        <n v="609491.1746000001"/>
        <n v="2240353.2104484"/>
        <n v="597172.127"/>
        <n v="119439.037"/>
        <n v="138140.61219999997"/>
        <n v="854751.7762"/>
        <n v="379659.0816482348"/>
        <n v="358387.19999999995"/>
        <n v="738046.2816482347"/>
        <n v="469482.71641791053"/>
        <n v="584923.8507462686"/>
        <n v="490854.72636815923"/>
        <m/>
        <n v="351095.45273631846"/>
        <n v="488660.5174129354"/>
        <n v="423995.02487562195"/>
        <n v="1263750.9950248757"/>
        <n v="434226.8557213931"/>
        <n v="386662.76616915426"/>
        <n v="405956.6368159204"/>
        <n v="1226846.2587064677"/>
        <n v="278028.86567164183"/>
        <n v="334437.81094527367"/>
        <n v="240370.85572139305"/>
        <n v="121789.68159203982"/>
        <n v="696598.3482587065"/>
        <n v="446716.2985074627"/>
        <n v="531493.6915422886"/>
        <n v="391764.1293532339"/>
        <n v="1369974.1194029853"/>
        <n v="532468.3283582091"/>
        <n v="454002.0199004976"/>
        <n v="17179.333333333336"/>
        <n v="1003649.6815920401"/>
        <n v="365380.0298507463"/>
        <n v="326821.6915422886"/>
        <n v="442274.33830845775"/>
        <n v="1134476.0597014925"/>
        <n v="564430.56"/>
        <n v="495641.960199005"/>
        <n v="2194548.5799004976"/>
        <n v="50722.74626865672"/>
        <n v="34898.03"/>
        <n v="82313.58"/>
        <n v="23167.39"/>
        <n v="81214.3"/>
        <n v="140379.0"/>
        <n v="280253.6298"/>
        <n v="22646.5794"/>
        <n v="184293.505"/>
        <n v="487193.7142"/>
      </sharedItems>
    </cacheField>
    <cacheField name="Расход с НДС и АК" numFmtId="164">
      <sharedItems containsString="0" containsBlank="1" containsNumber="1">
        <n v="299731.3"/>
        <n v="291415.24"/>
        <n v="396569.6"/>
        <n v="214375.0"/>
        <n v="666288.42"/>
        <n v="539601.94"/>
        <n v="397163.24"/>
        <n v="571802.76"/>
        <n v="3376947.5"/>
        <n v="359939.482494"/>
        <n v="905850.0"/>
        <n v="369065.3325329999"/>
        <n v="143453.69999999998"/>
        <n v="1284423.7868940001"/>
        <n v="138755.30738220003"/>
        <n v="3201487.6093031997"/>
        <n v="776695.85"/>
        <n v="401639.22"/>
        <n v="637111.32"/>
        <n v="496419.14"/>
        <n v="650016.89"/>
        <n v="2961882.42"/>
        <n v="250872.96116160857"/>
        <n v="401500.49416803307"/>
        <n v="869950.306779"/>
        <n v="116692.58391899998"/>
        <n v="612538.6304730001"/>
        <n v="2251554.9765006416"/>
        <n v="600157.9876349999"/>
        <n v="120036.23218499999"/>
        <n v="138831.31526099995"/>
        <n v="859025.5350809998"/>
        <n v="381557.37705647596"/>
        <n v="360179.13599999994"/>
        <n v="741736.5130564759"/>
        <n v="471830.13"/>
        <n v="587848.47"/>
        <n v="493309.0"/>
        <m/>
        <n v="352850.93"/>
        <n v="491103.82"/>
        <n v="426115.0"/>
        <n v="1270069.75"/>
        <n v="436397.99"/>
        <n v="388596.08"/>
        <n v="407986.42"/>
        <n v="1232980.49"/>
        <n v="279419.01"/>
        <n v="336110.0"/>
        <n v="241572.71"/>
        <n v="122398.63"/>
        <n v="700081.34"/>
        <n v="448949.88"/>
        <n v="534151.16"/>
        <n v="393722.95"/>
        <n v="1376823.99"/>
        <n v="535130.67"/>
        <n v="456272.03"/>
        <n v="17265.23"/>
        <n v="1008667.93"/>
        <n v="367206.93"/>
        <n v="328455.8"/>
        <n v="444485.71"/>
        <n v="1140148.44"/>
        <n v="567252.7128"/>
        <n v="498120.17"/>
        <n v="2205521.3227999997"/>
        <n v="50976.36"/>
        <n v="35072.52015"/>
        <n v="82725.1479"/>
        <n v="23283.226949999997"/>
        <n v="81620.3715"/>
        <n v="273677.6265"/>
        <n v="291739.4343"/>
        <n v="23574.7179"/>
        <n v="191846.51750000002"/>
        <n v="492065.651342"/>
      </sharedItems>
    </cacheField>
    <cacheField name="CPM до НДС и АК">
      <sharedItems containsBlank="1" containsMixedTypes="1" containsNumber="1">
        <n v="133.19154620823238"/>
        <n v="355.4185634108193"/>
        <n v="89.90778774888366"/>
        <n v="109.23120153144308"/>
        <n v="197.39134702888717"/>
        <n v="62.31982584499197"/>
        <n v="46.880739877502904"/>
        <n v="182.88580746659233"/>
        <n v="103.6522848356323"/>
        <n v="255.92333577431393"/>
        <n v="164.17396036018735"/>
        <n v="106.11792614800153"/>
        <n v="83.18467923063415"/>
        <n v="191.02037593632616"/>
        <n v="69.59136627512132"/>
        <n v="160.17377265697982"/>
        <n v="118.01789408096984"/>
        <n v="319.6276989196086"/>
        <n v="110.00000044078641"/>
        <n v="158.87854511874008"/>
        <n v="220.72154678291355"/>
        <n v="156.49699332768822"/>
        <n v="344.77617175250464"/>
        <n v="312.50169001661993"/>
        <n v="109.9999984496701"/>
        <n v="29.504016224237713"/>
        <n v="73.8178987924392"/>
        <n v="113.63349088497405"/>
        <n v="109.99999550548364"/>
        <n v="33.62227980431248"/>
        <n v="46.22251876985979"/>
        <n v="65.16753883359686"/>
        <n v="119.0041034630669"/>
        <n v="85.52097019255316"/>
        <n v="37.145863090192314"/>
        <n v="59.908976961919855"/>
        <n v="57.75378457911704"/>
        <n v="105.637419154598"/>
        <n v="147.98639662450614"/>
        <n v="0.0"/>
        <n v="368.67295332336084"/>
        <n v="159.12837957532045"/>
        <n v="63.64617904081121"/>
        <n v="247.15005072069988"/>
        <n v="254.11592044369164"/>
        <n v="165.45484299076503"/>
        <n v="123.36249841599624"/>
        <n v="194.77798985181235"/>
        <n v="83.94152588003666"/>
        <n v="48.96000355033089"/>
        <n v="598.7540287262624"/>
        <n v="110.0000008792798"/>
        <n v="32.17713800733156"/>
        <n v="101.60549730782813"/>
        <n v="139.93986330719613"/>
        <n v="81.08104106471653"/>
        <n v="190.50977846354098"/>
        <n v="128.01295098814646"/>
        <n v="110.00000742842919"/>
        <n v="62.24459605247976"/>
        <n v="35.38000971100193"/>
        <n v="81.4266952620674"/>
        <n v="88.86897647638197"/>
        <n v="110.0000009903007"/>
        <n v="209.05787812634597"/>
        <n v="117.15146335535107"/>
        <n v="147.99024760364483"/>
        <n v="229.23726093979442"/>
        <n v="377.4255793944294"/>
        <n v="274.599563634769"/>
        <n v="130.68002459169924"/>
        <n v="109.99999599094114"/>
        <n v="218.32469831138815"/>
        <n v="41.708863777178635"/>
        <e v="#DIV/0!"/>
        <m/>
      </sharedItems>
    </cacheField>
    <cacheField name="CPС до НДС и АК" numFmtId="164">
      <sharedItems containsString="0" containsBlank="1" containsNumber="1">
        <n v="61.46821673443768"/>
        <n v="151.38634903170274"/>
        <n v="40.1091083743396"/>
        <n v="9.388551690067843"/>
        <n v="66.67741649791874"/>
        <n v="23.559753274907454"/>
        <n v="2381.794259176634"/>
        <n v="21.796550379772757"/>
        <n v="34.17314334203173"/>
        <n v="42.35529360842592"/>
        <n v="135.58560656069992"/>
        <n v="6.029919068891604"/>
        <n v="23.191278493557977"/>
        <n v="18.24046971355719"/>
        <n v="37.05567073278012"/>
        <n v="20.42662040569166"/>
        <n v="220.72076641980027"/>
        <n v="194.75303353022997"/>
        <n v="7.732964344339127"/>
        <n v="57.10529642706489"/>
        <n v="18.686333918795466"/>
        <n v="22.532567278707212"/>
        <n v="188.92938329830992"/>
        <n v="185.84645767276137"/>
        <n v="3.8549903289252074"/>
        <n v="14.714562461348175"/>
        <n v="19.514195929846494"/>
        <n v="8.386408473071297"/>
        <n v="6.6560422899102525"/>
        <n v="15.02007517643449"/>
        <n v="21.973609547836208"/>
        <n v="8.22213341000575"/>
        <n v="215.6590218739618"/>
        <n v="32.63999999999999"/>
        <n v="29.799479896976624"/>
        <n v="23.556678422086517"/>
        <n v="7.723031238727773"/>
        <n v="14.228019649410573"/>
        <n v="0.0"/>
        <n v="198.4711434348889"/>
        <n v="72.4175389107794"/>
        <n v="14.444592919191841"/>
        <n v="33.3707506630542"/>
        <n v="135.95250276189842"/>
        <n v="140.92338531848554"/>
        <n v="8.642443032891636"/>
        <n v="23.187338593564938"/>
        <n v="32.63065762394159"/>
        <n v="164.84026051342806"/>
        <n v="23.391344126191658"/>
        <n v="14.628899159192223"/>
        <n v="33.76595225730757"/>
        <n v="216.096511328344"/>
        <n v="6.94790209040041"/>
        <n v="55.051969623542966"/>
        <n v="20.76922348323415"/>
        <n v="11.697921454675473"/>
        <n v="24.359023577739684"/>
        <n v="35.38045418348574"/>
        <n v="15.526350352667707"/>
        <n v="38.52976042023843"/>
        <n v="9.001869431490036"/>
        <n v="321.6681006505431"/>
        <n v="24.05386610081449"/>
        <n v="13.70646441903182"/>
        <n v="516.2184266867384"/>
        <n v="52.077540065251455"/>
        <n v="98.05665455586282"/>
        <n v="232.56050912968146"/>
        <n v="5.589441433268463"/>
        <n v="124.11545055180542"/>
        <n v="14.452691784771112"/>
        <n v="6.621669683970804"/>
        <m/>
      </sharedItems>
    </cacheField>
    <cacheField name="Расход с НДС и АК с учетом компенсации" numFmtId="0">
      <sharedItems containsString="0" containsBlank="1" containsNumber="1">
        <m/>
        <n v="183661.89"/>
        <n v="536169.51"/>
        <n v="774893.7"/>
        <n v="102983.32"/>
        <n v="516497.76"/>
        <n v="101174.76"/>
        <n v="39.82079999999999"/>
        <n v="485552.03"/>
        <n v="241572.71"/>
        <n v="463147.78"/>
        <n v="535130.67"/>
        <n v="17265.23"/>
        <n v="328455.8"/>
        <n v="82725.1479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18" sheet="Июнь 2026"/>
  </cacheSource>
  <cacheFields>
    <cacheField name="Площадка" numFmtId="3">
      <sharedItems>
        <s v="Яндекс Go"/>
        <s v="Ozon"/>
        <s v="SOLTA"/>
        <s v="Mts.ru OLV"/>
        <s v="Video yandex"/>
        <s v="media.yandex"/>
        <s v="Adsheads"/>
        <s v="Promopages.yandex.ru"/>
        <s v="ИТОГО"/>
        <s v="Aviasales"/>
        <s v="2Gis"/>
        <s v="Buzzoola"/>
        <s v="Rutube"/>
        <s v="Дзен Статьи"/>
        <s v="Дзен Сообщество"/>
        <s v="VK Ads Сообщество"/>
        <s v="Avito"/>
        <s v="Market yandex"/>
        <s v="Т-Банк"/>
        <s v="МТС"/>
        <s v="Plazkart"/>
        <s v="VK Ads"/>
        <s v="Adspector OLV"/>
        <s v="Roxot"/>
        <s v="qbid"/>
        <s v="Avito OLV"/>
        <s v="Astralab"/>
        <s v="Pass24"/>
        <s v="q.bid OLV"/>
        <s v="TargetAds (прямой, без НДС)"/>
        <s v="TargetAds (прямой, без НДС) - JS-трекинг"/>
        <s v="TargetAds (прямой, без НДС) - Видео-код"/>
      </sharedItems>
    </cacheField>
    <cacheField name="Проект" numFmtId="0">
      <sharedItems containsBlank="1">
        <s v="Мичуринский"/>
        <m/>
        <s v="Левел Групп"/>
        <s v="Южнопортовая"/>
        <s v="Звенигородская"/>
        <s v="Регионы"/>
        <s v="Остатки"/>
        <s v="Нижегородская"/>
        <s v="Селигерская"/>
        <s v="Лесной"/>
        <s v="Мечникова"/>
        <s v="Павелецкая Сити"/>
        <s v="Саввинская"/>
        <s v="Премиальная Коллекция"/>
        <s v="Войковская"/>
        <s v="Свободы"/>
        <s v="Воронцовская"/>
        <s v="Нижегородская Work"/>
        <s v="Левел Групп (немарк)"/>
      </sharedItems>
    </cacheField>
    <cacheField name="Показы">
      <sharedItems containsMixedTypes="1" containsNumber="1">
        <n v="1163534.0"/>
        <n v="2187702.0"/>
        <n v="2400518.0"/>
        <n v="1934324.0"/>
        <n v="1676209.0"/>
        <n v="3554331.0"/>
        <n v="1019805.0"/>
        <n v="3026962.0"/>
        <n v="1.6963385E7"/>
        <n v="1250540.0"/>
        <n v="258288.0"/>
        <n v="123766.0"/>
        <n v="1081679.0"/>
        <n v="1502493.0"/>
        <n v="2342641.0"/>
        <n v="2034729.0"/>
        <n v="930241.0"/>
        <n v="1.0419154E7"/>
        <n v="573143.0"/>
        <n v="2.0516674E7"/>
        <n v="1404626.0"/>
        <n v="531161.0"/>
        <n v="651449.0"/>
        <n v="1740930.0"/>
        <n v="2150000.0"/>
        <n v="2470101.0"/>
        <n v="2618813.0"/>
        <n v="53299.0"/>
        <n v="3284188.0"/>
        <n v="2669218.0"/>
        <n v="5032099.0"/>
        <n v="2.2605884E7"/>
        <n v="1230776.0"/>
        <n v="1485988.0"/>
        <n v="1615609.0"/>
        <n v="1840236.0"/>
        <n v="8980602.0"/>
        <n v="2159262.0"/>
        <n v="726791.0"/>
        <n v="2000026.0"/>
        <n v="1805840.0"/>
        <n v="645289.0"/>
        <n v="4683408.0"/>
        <n v="2.7173827E7"/>
        <n v="1062436.0"/>
        <n v="1485484.0"/>
        <n v="2505397.0"/>
        <n v="186472.0"/>
        <n v="1958827.0"/>
        <n v="2488694.0"/>
        <n v="9687310.0"/>
        <n v="843080.0"/>
        <n v="1273765.0"/>
        <n v="3740353.0"/>
        <n v="122615.08831499997"/>
        <n v="4380862.0"/>
        <n v="1.0360675088314999E7"/>
        <n v="1480693.0"/>
        <n v="3511577.0"/>
        <n v="4992270.0"/>
        <n v="1373915.0"/>
        <n v="2466304.0"/>
        <n v="2456848.0"/>
        <n v="2400000.0"/>
        <n v="8697067.0"/>
        <n v="1667124.0"/>
        <n v="5583038.0"/>
        <n v="7250162.0"/>
        <n v="1260629.0"/>
        <n v="1137877.0"/>
        <n v="1102799.0"/>
        <n v="2026495.0"/>
        <n v="664280.0"/>
        <n v="600015.0"/>
        <n v="5009239.0"/>
        <n v="1.1801334E7"/>
        <n v="773842.0"/>
        <n v="2737741.0"/>
        <n v="3477078.0"/>
        <n v="4033351.0"/>
        <n v="1812216.0"/>
        <n v="1.2834228E7"/>
        <n v="3453651.0"/>
        <n v="1180837.0"/>
        <n v="4634488.0"/>
        <n v="261727.0"/>
        <n v="1939158.0"/>
        <n v="1116037.0"/>
        <n v="49028.0"/>
        <n v="1145419.0"/>
        <n v="4511369.0"/>
        <n v="1221704.0"/>
        <n v="1273930.0"/>
        <n v="878935.0"/>
        <n v="431464.0"/>
        <n v="4033275.0"/>
        <n v="1869475.0"/>
        <n v="9708783.0"/>
        <n v="307929.0"/>
        <n v="660895.0"/>
        <n v="4833747.0"/>
        <n v="653781.0"/>
        <n v="34002.0"/>
        <n v="6456352.0"/>
        <n v="45312.0"/>
        <n v="2727120.0"/>
        <n v="3393662.0"/>
        <n v="57809.0"/>
        <n v="2399329.0"/>
        <n v="8623232.0"/>
        <n v="2796860.0"/>
        <n v="40056.0"/>
        <n v="2836916.0"/>
        <s v="-"/>
      </sharedItems>
    </cacheField>
    <cacheField name="Клики">
      <sharedItems containsMixedTypes="1" containsNumber="1">
        <n v="2713.0"/>
        <n v="1595.0"/>
        <n v="21211.0"/>
        <n v="25737.0"/>
        <n v="14016.0"/>
        <n v="9055.0"/>
        <n v="6549.0"/>
        <n v="19369.0"/>
        <n v="100245.0"/>
        <n v="2839.0"/>
        <n v="472.0"/>
        <n v="764.0"/>
        <n v="18972.0"/>
        <n v="6358.0"/>
        <n v="39069.0"/>
        <n v="29493.0"/>
        <n v="3409.0"/>
        <n v="116305.00100464003"/>
        <n v="2459.0"/>
        <n v="220140.00100464"/>
        <n v="3456.0"/>
        <n v="1176.0"/>
        <n v="1648.0"/>
        <n v="2069.0"/>
        <n v="12264.0"/>
        <n v="3278.0"/>
        <n v="34404.0"/>
        <n v="134.0"/>
        <n v="8507.0"/>
        <n v="14602.0"/>
        <n v="53356.0"/>
        <n v="134894.0"/>
        <n v="3668.0"/>
        <n v="2022.0"/>
        <n v="3551.0"/>
        <n v="10204.0"/>
        <n v="17851.0"/>
        <n v="15351.0"/>
        <n v="4375.0"/>
        <n v="48703.0"/>
        <n v="22614.0"/>
        <n v="3407.0"/>
        <n v="29056.0"/>
        <n v="160802.0"/>
        <n v="1926.0"/>
        <n v="1786.0"/>
        <n v="22511.0"/>
        <n v="163.0"/>
        <n v="4097.0"/>
        <n v="41821.0"/>
        <n v="72304.0"/>
        <n v="1656.0"/>
        <n v="3023.0"/>
        <n v="9307.0"/>
        <n v="3266.0"/>
        <n v="6680.0"/>
        <n v="23932.0"/>
        <n v="8502.0"/>
        <n v="7263.0"/>
        <n v="15765.0"/>
        <n v="16397.0"/>
        <n v="1823.0"/>
        <n v="37329.0"/>
        <n v="33771.0"/>
        <n v="89320.0"/>
        <n v="8713.0"/>
        <n v="30657.0"/>
        <n v="39370.0"/>
        <n v="2802.0"/>
        <n v="2643.0"/>
        <n v="1630.0"/>
        <n v="3958.0"/>
        <n v="8721.0"/>
        <n v="15065.0"/>
        <n v="28071.0"/>
        <n v="62890.0"/>
        <n v="1696.0"/>
        <n v="4544.0"/>
        <n v="4840.0"/>
        <n v="56877.0"/>
        <n v="2740.0"/>
        <n v="70697.0"/>
        <n v="7198.0"/>
        <n v="4334.0"/>
        <n v="11532.0"/>
        <n v="1606.0"/>
        <n v="23545.0"/>
        <n v="4363.0"/>
        <n v="57.0"/>
        <n v="2571.0"/>
        <n v="32142.0"/>
        <n v="1740.0"/>
        <n v="2962.0"/>
        <n v="12868.0"/>
        <n v="1415.0"/>
        <n v="39544.0"/>
        <n v="7746.0"/>
        <n v="66275.0"/>
        <n v="3064.0"/>
        <n v="1143.0"/>
        <n v="5367.0"/>
        <n v="1784.0"/>
        <n v="1849.0"/>
        <n v="11358.0"/>
        <n v="2786.0"/>
        <n v="7137.0"/>
        <n v="56561.0"/>
        <n v="208.0"/>
        <n v="9382.0"/>
        <n v="76074.0"/>
        <n v="30839.0"/>
        <n v="2033.0"/>
        <n v="32872.0"/>
        <s v="-"/>
      </sharedItems>
    </cacheField>
    <cacheField name="Расход без НДС" numFmtId="164">
      <sharedItems containsSemiMixedTypes="0" containsString="0" containsNumber="1">
        <n v="326181.632819509"/>
        <n v="298532.7787293043"/>
        <n v="328537.6396705"/>
        <n v="306579.3980915097"/>
        <n v="431848.95196150406"/>
        <n v="228540.08645298105"/>
        <n v="171755.55737704918"/>
        <n v="439346.4480874318"/>
        <n v="2531322.4931897884"/>
        <n v="300720.3358527037"/>
        <n v="576239.6643014437"/>
        <n v="40800.09787129925"/>
        <n v="270419.75"/>
        <n v="311497.43"/>
        <n v="737931.9150000003"/>
        <n v="245509.14208955228"/>
        <n v="108708.59262131964"/>
        <n v="1930431.4299999997"/>
        <n v="114553.58"/>
        <n v="4636811.937736318"/>
        <n v="426633.5616996983"/>
        <n v="183733.59432346467"/>
        <n v="225696.68053176743"/>
        <n v="327503.53152271436"/>
        <n v="1804379.7406410573"/>
        <n v="407566.2670255281"/>
        <n v="408342.71266617737"/>
        <n v="1821.2217600521985"/>
        <n v="295573.77049180336"/>
        <n v="705811.108392464"/>
        <n v="1000000.3588614307"/>
        <n v="5787062.547916157"/>
        <n v="414977.1888363606"/>
        <n v="325744.100663282"/>
        <n v="496416.44674681546"/>
        <n v="496893.42"/>
        <n v="153025.26"/>
        <n v="734149.0800000002"/>
        <n v="122406.1393442623"/>
        <n v="500006.50000000006"/>
        <n v="269121.1"/>
        <n v="62653.04000000001"/>
        <n v="281487.83"/>
        <n v="3856880.10559072"/>
        <n v="315694.47826141026"/>
        <n v="311967.3504926189"/>
        <n v="331185.2785254058"/>
        <n v="2215.1639344262294"/>
        <n v="144231.77"/>
        <n v="300089.73999999993"/>
        <n v="1405383.7812138612"/>
        <n v="251682.88429966973"/>
        <n v="409556.44968677114"/>
        <n v="293750.72"/>
        <n v="418896.53"/>
        <n v="171433.38000000003"/>
        <n v="311570.0187586657"/>
        <n v="185028.9535926923"/>
        <n v="496598.97235135804"/>
        <n v="198210.58641220132"/>
        <n v="318890.7919419297"/>
        <n v="300072.58788027085"/>
        <n v="355204.30633716664"/>
        <n v="1172378.2725715686"/>
        <n v="485341.1956610391"/>
        <n v="278870.4020879211"/>
        <n v="764211.5977489601"/>
        <n v="383100.84353828814"/>
        <n v="232134.0121483419"/>
        <n v="182733.9564536335"/>
        <n v="81957.88999999998"/>
        <n v="100004.14999999998"/>
        <n v="149257.4626865672"/>
        <n v="403267.85"/>
        <n v="1532456.1648268308"/>
        <n v="242850.1916646277"/>
        <n v="132600.0"/>
        <n v="573704.999592203"/>
        <n v="493442.6229508198"/>
        <n v="330000.00000000006"/>
        <n v="1772597.8142076505"/>
        <n v="227892.4802218416"/>
        <n v="318600.00000000006"/>
        <n v="546492.4802218417"/>
        <n v="123880.59701492538"/>
        <n v="262204.8772530789"/>
        <n v="774.6268656716419"/>
        <n v="266161.00644319394"/>
        <n v="705460.1011336759"/>
        <n v="367679.4062474513"/>
        <n v="409587.54587717156"/>
        <n v="133775.3853682408"/>
        <n v="27273.90098686894"/>
        <n v="500088.89976347773"/>
        <n v="449459.26107169077"/>
        <n v="1887864.399314901"/>
        <n v="33872.188239132214"/>
        <n v="129796.11777179675"/>
        <n v="386675.524019248"/>
        <n v="86435.38047467581"/>
        <n v="43616.39344262295"/>
        <n v="636779.2105048528"/>
        <n v="53040.98360655738"/>
        <n v="245440.79601990053"/>
        <n v="400039.37688606157"/>
        <n v="6338.993556806134"/>
        <n v="492815.57784846274"/>
        <n v="1144634.744311231"/>
        <n v="413935.26629149343"/>
        <n v="46569.67620911835"/>
        <n v="460504.9425006118"/>
        <n v="332137.598890792"/>
        <n v="11537.99037598891"/>
        <n v="28725.903270532588"/>
        <n v="372401.4925373135"/>
      </sharedItems>
    </cacheField>
    <cacheField name="Расход с НДС" numFmtId="164">
      <sharedItems containsSemiMixedTypes="0" containsString="0" containsNumber="1">
        <n v="397941.592039801"/>
        <n v="364209.99004975124"/>
        <n v="400815.92039801"/>
        <n v="374026.86567164183"/>
        <n v="526855.7213930349"/>
        <n v="278818.90547263686"/>
        <n v="209541.78"/>
        <n v="536002.6666666667"/>
        <n v="3088213.441691542"/>
        <n v="366878.80974029854"/>
        <n v="703012.3904477613"/>
        <n v="49776.11940298508"/>
        <n v="329912.095"/>
        <n v="380026.8646"/>
        <n v="900276.9363000003"/>
        <n v="299521.15334925376"/>
        <n v="132624.48299800995"/>
        <n v="2355126.3445999995"/>
        <n v="139755.3676"/>
        <n v="5656910.564038308"/>
        <n v="520492.9452736319"/>
        <n v="224154.9850746269"/>
        <n v="275349.9502487563"/>
        <n v="399554.3084577115"/>
        <n v="2201343.28358209"/>
        <n v="497230.8457711443"/>
        <n v="498178.1094527364"/>
        <n v="2221.890547263682"/>
        <n v="360600.00000000006"/>
        <n v="861089.552238806"/>
        <n v="1220000.4378109453"/>
        <n v="7060216.308457712"/>
        <n v="506272.1703803599"/>
        <n v="397407.802809204"/>
        <n v="605628.0650311148"/>
        <n v="606209.9724"/>
        <n v="186690.8172"/>
        <n v="895661.8776000002"/>
        <n v="149335.49"/>
        <n v="610007.93"/>
        <n v="328327.74199999997"/>
        <n v="76436.70880000001"/>
        <n v="343415.15260000003"/>
        <n v="4705393.728820679"/>
        <n v="385147.2634789205"/>
        <n v="380600.1676009951"/>
        <n v="404046.0398009951"/>
        <n v="2702.5"/>
        <n v="175962.75939999998"/>
        <n v="366109.48279999994"/>
        <n v="1714568.2130809105"/>
        <n v="307053.1188455971"/>
        <n v="499658.8686178608"/>
        <n v="358375.8783999999"/>
        <n v="511053.76660000003"/>
        <n v="209148.72360000003"/>
        <n v="1885290.3560634577"/>
        <n v="380115.4228855722"/>
        <n v="225735.32338308461"/>
        <n v="605850.7462686568"/>
        <n v="241816.9154228856"/>
        <n v="389046.76616915426"/>
        <n v="366088.5572139304"/>
        <n v="433349.2537313433"/>
        <n v="1430301.4925373136"/>
        <n v="592116.2587064677"/>
        <n v="340221.8905472637"/>
        <n v="932338.1492537314"/>
        <n v="467383.0291167115"/>
        <n v="283203.4948209771"/>
        <n v="222935.42687343285"/>
        <n v="99988.62579999998"/>
        <n v="122005.06299999998"/>
        <n v="182094.10447761198"/>
        <n v="491986.77699999994"/>
        <n v="1869596.5210887336"/>
        <n v="296277.2338308458"/>
        <n v="161772.0"/>
        <n v="699920.0995024876"/>
        <n v="602000.0000000001"/>
        <n v="402600.00000000006"/>
        <n v="2162569.3333333335"/>
        <n v="278028.82587064675"/>
        <n v="388692.00000000006"/>
        <n v="666720.8258706469"/>
        <n v="151134.32835820896"/>
        <n v="319889.9502487563"/>
        <n v="945.0447761194031"/>
        <n v="324716.42786069657"/>
        <n v="860661.3233830846"/>
        <n v="448568.8756218906"/>
        <n v="499696.8059701493"/>
        <n v="163205.97014925376"/>
        <n v="33274.1592039801"/>
        <n v="610108.4577114428"/>
        <n v="548340.2985074627"/>
        <n v="2303194.5671641794"/>
        <n v="41324.0696517413"/>
        <n v="158351.26368159204"/>
        <n v="471744.1393034826"/>
        <n v="105451.16417910448"/>
        <n v="53212.0"/>
        <n v="776870.6368159205"/>
        <n v="64710.00000000001"/>
        <n v="299437.77114427864"/>
        <n v="488048.0398009951"/>
        <n v="7733.572139303483"/>
        <n v="601235.0049751245"/>
        <n v="1396454.3880597018"/>
        <n v="505001.02487562195"/>
        <n v="56815.004975124386"/>
        <n v="561816.0298507464"/>
        <n v="405207.8706467662"/>
        <n v="14076.348258706468"/>
        <n v="35045.601990049756"/>
        <n v="454329.8208955224"/>
      </sharedItems>
    </cacheField>
    <cacheField name="Расход с НДС и АК" numFmtId="164">
      <sharedItems containsSemiMixedTypes="0" containsString="0" containsNumber="1">
        <n v="399931.3"/>
        <n v="366031.04"/>
        <n v="402820.0"/>
        <n v="375897.0"/>
        <n v="529490.0"/>
        <n v="280213.0"/>
        <n v="210589.48889999997"/>
        <n v="538682.68"/>
        <n v="3103654.5089"/>
        <n v="368713.203789"/>
        <n v="706527.4524000001"/>
        <n v="50025.0"/>
        <n v="331561.6554749999"/>
        <n v="381926.99892299995"/>
        <n v="904778.3209815002"/>
        <n v="301018.759116"/>
        <n v="133287.60541299998"/>
        <n v="2366901.976322999"/>
        <n v="140454.144438"/>
        <n v="5685195.116858499"/>
        <n v="523095.41"/>
        <n v="225275.76"/>
        <n v="276726.7"/>
        <n v="401552.08"/>
        <n v="2212350.0"/>
        <n v="499717.0"/>
        <n v="500669.0"/>
        <n v="2233.0"/>
        <n v="362403.0"/>
        <n v="865395.0"/>
        <n v="1226100.44"/>
        <n v="7095517.390000001"/>
        <n v="508803.5312322617"/>
        <n v="399394.84182324994"/>
        <n v="608656.2053562703"/>
        <n v="609241.0222619999"/>
        <n v="187624.27128599997"/>
        <n v="900140.1869880002"/>
        <n v="150082.16744999998"/>
        <n v="613057.96965"/>
        <n v="329969.38070999994"/>
        <n v="76818.89234399999"/>
        <n v="345132.228363"/>
        <n v="4728920.697464782"/>
        <n v="387072.99979631504"/>
        <n v="382503.16843900003"/>
        <n v="406066.27"/>
        <n v="2716.0125"/>
        <n v="176842.57319699996"/>
        <n v="367940.0302139999"/>
        <n v="1723141.054146315"/>
        <n v="308588.384439825"/>
        <n v="502157.16296095005"/>
        <n v="360167.7577919999"/>
        <n v="513609.03543299995"/>
        <n v="210194.467218"/>
        <n v="1894716.807843775"/>
        <n v="382016.0"/>
        <n v="226864.0"/>
        <n v="608880.0"/>
        <n v="243026.0"/>
        <n v="390992.0"/>
        <n v="367919.0"/>
        <n v="435516.0"/>
        <n v="1437453.0"/>
        <n v="595076.84"/>
        <n v="341923.0"/>
        <n v="936999.84"/>
        <n v="469719.94426229503"/>
        <n v="284619.512295082"/>
        <n v="224050.1040078"/>
        <n v="100488.56892899997"/>
        <n v="122615.08831499997"/>
        <n v="183004.575"/>
        <n v="494446.7108849999"/>
        <n v="1878944.503694177"/>
        <n v="297758.62"/>
        <n v="162580.86"/>
        <n v="703419.7"/>
        <n v="605010.0"/>
        <n v="404613.0"/>
        <n v="2173382.1799999997"/>
        <n v="279418.97"/>
        <n v="390635.46"/>
        <n v="670054.4299999999"/>
        <n v="151890.0"/>
        <n v="321489.4"/>
        <n v="949.77"/>
        <n v="326340.01"/>
        <n v="1191304.6400000001"/>
        <n v="450811.72"/>
        <n v="502195.29"/>
        <n v="164022.0"/>
        <n v="33440.53"/>
        <n v="613159.0"/>
        <n v="551082.0"/>
        <n v="2314710.54"/>
        <n v="41530.69"/>
        <n v="159143.02"/>
        <n v="474102.86"/>
        <n v="105978.42"/>
        <n v="53478.06"/>
        <n v="780754.99"/>
        <n v="65033.55"/>
        <n v="300934.96"/>
        <n v="490488.28"/>
        <n v="7772.24"/>
        <n v="604241.18"/>
        <n v="1468470.21"/>
        <n v="507526.03"/>
        <n v="57099.08"/>
        <n v="564625.11"/>
        <n v="407233.91"/>
        <n v="14146.73"/>
        <n v="35220.83"/>
        <n v="458873.11910447764"/>
      </sharedItems>
    </cacheField>
    <cacheField name="CPM до НДС и АК">
      <sharedItems containsMixedTypes="1" containsNumber="1">
        <n v="280.33700159987507"/>
        <n v="136.4595263565624"/>
        <n v="136.86114399912853"/>
        <n v="158.49433605306544"/>
        <n v="257.6343116887596"/>
        <n v="64.29904430762949"/>
        <n v="168.41999929108917"/>
        <n v="145.14435532637404"/>
        <n v="149.22272253974006"/>
        <n v="240.4723846120106"/>
        <n v="2230.9966560639427"/>
        <n v="329.6551384976427"/>
        <n v="250.0"/>
        <n v="207.320386850388"/>
        <n v="315.0000000000001"/>
        <n v="120.6593812195886"/>
        <n v="116.86067655727885"/>
        <n v="185.2771760547929"/>
        <n v="199.8691077095943"/>
        <n v="226.00212577030365"/>
        <n v="303.73463235031835"/>
        <n v="345.9094216696344"/>
        <n v="346.45333791558113"/>
        <n v="188.11987358636725"/>
        <n v="839.2463909958406"/>
        <n v="164.9998388833202"/>
        <n v="155.9266403008452"/>
        <n v="34.16990487724345"/>
        <n v="89.99904100855473"/>
        <n v="264.42617590337846"/>
        <n v="198.72430150150677"/>
        <n v="255.99806439403818"/>
        <n v="337.16711151042966"/>
        <n v="219.21045167476586"/>
        <n v="307.2627391570705"/>
        <n v="270.01613923431563"/>
        <n v="17.03953253913268"/>
        <n v="340.00000000000006"/>
        <n v="168.41999879506253"/>
        <n v="250.00000000000006"/>
        <n v="149.02820847915652"/>
        <n v="97.09299244214608"/>
        <n v="60.10320476029422"/>
        <n v="141.93363730440765"/>
        <n v="297.1421132768565"/>
        <n v="210.0105760093134"/>
        <n v="132.18874235317028"/>
        <n v="11.879338101303302"/>
        <n v="73.63170407595975"/>
        <n v="120.58121247529827"/>
        <n v="145.07471952625252"/>
        <n v="298.527879085816"/>
        <n v="321.53218975774274"/>
        <n v="78.53556068103731"/>
        <n v="3416.3538578861408"/>
        <n v="39.132339708486604"/>
        <n v="24.292131753414733"/>
        <n v="210.42175438032442"/>
        <n v="52.691128115001405"/>
        <n v="99.47358062591927"/>
        <n v="144.26699352740258"/>
        <n v="129.2990612438409"/>
        <n v="122.13722130155014"/>
        <n v="148.00179430715278"/>
        <n v="134.80156845653468"/>
        <n v="291.12483274251895"/>
        <n v="49.949579796505255"/>
        <n v="105.40614095918961"/>
        <n v="303.89658141950423"/>
        <n v="204.00624333591583"/>
        <n v="165.7001470382486"/>
        <n v="40.443174051749445"/>
        <n v="150.54517673270303"/>
        <n v="248.75621890547268"/>
        <n v="80.50481320615765"/>
        <n v="129.8544863510202"/>
        <n v="313.8239998147266"/>
        <n v="48.434092194988494"/>
        <n v="164.9962984989704"/>
        <n v="122.3406103140589"/>
        <n v="182.09749831145962"/>
        <n v="138.11487642323718"/>
        <n v="65.98596100817414"/>
        <n v="269.80861880174825"/>
        <n v="117.91863097322545"/>
        <n v="473.3198982715783"/>
        <n v="135.21583968561558"/>
        <n v="285.4744063144861"/>
        <n v="15.799683153945539"/>
        <n v="232.3699942494353"/>
        <n v="156.37384153982438"/>
        <n v="300.95621054482206"/>
        <n v="321.51495441442745"/>
        <n v="152.20168199951166"/>
        <n v="63.21246033705927"/>
        <n v="123.99077666746695"/>
        <n v="240.42004363347505"/>
        <n v="194.44912913543348"/>
        <n v="109.9999942815786"/>
        <n v="196.394461709949"/>
        <n v="79.99498608827645"/>
        <n v="132.20846196918512"/>
        <n v="1282.7596448039221"/>
        <n v="98.62832920275301"/>
        <n v="1170.5725548763546"/>
        <n v="89.99999854054846"/>
        <n v="117.87837942790459"/>
        <n v="109.65409463588946"/>
        <n v="205.3972497512691"/>
        <n v="132.73848416825976"/>
        <n v="147.99999509860822"/>
        <n v="1162.6142452845602"/>
        <n v="162.3258998506166"/>
        <s v="-"/>
      </sharedItems>
    </cacheField>
    <cacheField name="CPС до НДС и АК">
      <sharedItems containsMixedTypes="1" containsNumber="1">
        <n v="120.22913115352341"/>
        <n v="187.167886350661"/>
        <n v="15.489021718471548"/>
        <n v="11.912009872615679"/>
        <n v="30.81114097898859"/>
        <n v="25.239103970511437"/>
        <n v="26.226226504359317"/>
        <n v="22.68297011138581"/>
        <n v="25.251359102097744"/>
        <n v="105.92473964519328"/>
        <n v="1220.8467464013638"/>
        <n v="53.40326946505137"/>
        <n v="14.25362376133249"/>
        <n v="48.99298993394149"/>
        <n v="18.88791407509791"/>
        <n v="8.324319061796096"/>
        <n v="31.888704201032454"/>
        <n v="16.598008798632694"/>
        <n v="46.58543310288735"/>
        <n v="21.063014066392167"/>
        <n v="123.447211139959"/>
        <n v="156.23604959478288"/>
        <n v="136.95186925471324"/>
        <n v="158.29073539038876"/>
        <n v="147.1281588911495"/>
        <n v="124.3338215453106"/>
        <n v="11.869047571973532"/>
        <n v="13.591207164568646"/>
        <n v="34.74477142257004"/>
        <n v="48.33660514946336"/>
        <n v="18.74204136107337"/>
        <n v="42.90081506898866"/>
        <n v="113.13445715277005"/>
        <n v="161.09995087204845"/>
        <n v="139.7962395795031"/>
        <n v="48.695944727557816"/>
        <n v="8.572363453027842"/>
        <n v="47.82418604651164"/>
        <n v="27.978546135831383"/>
        <n v="10.266441492310536"/>
        <n v="11.900641195719464"/>
        <n v="18.389503962430293"/>
        <n v="9.687769479625551"/>
        <n v="23.98527447165284"/>
        <n v="163.91198248255984"/>
        <n v="174.67376847291092"/>
        <n v="14.712153104056052"/>
        <n v="13.589962787890977"/>
        <n v="35.204239687576276"/>
        <n v="7.175575428612418"/>
        <n v="19.437151211742936"/>
        <n v="151.9824180553561"/>
        <n v="135.4801355232455"/>
        <n v="31.562342322982698"/>
        <n v="128.25980710349052"/>
        <n v="25.663679640718566"/>
        <n v="10.51658383334739"/>
        <n v="36.646673577824714"/>
        <n v="25.475554673370823"/>
        <n v="31.500093393679546"/>
        <n v="12.088222626834257"/>
        <n v="174.92638065931416"/>
        <n v="8.038591654752896"/>
        <n v="10.518027489182039"/>
        <n v="13.125596423774839"/>
        <n v="55.70310979697453"/>
        <n v="9.096467432818642"/>
        <n v="19.411013404850397"/>
        <n v="136.7240697852563"/>
        <n v="87.8297435294521"/>
        <n v="112.1067217506954"/>
        <n v="20.706894896412326"/>
        <n v="11.467050796926955"/>
        <n v="9.907564731932771"/>
        <n v="14.365995155142317"/>
        <n v="24.36724701585039"/>
        <n v="143.1899715003701"/>
        <n v="29.181338028169016"/>
        <n v="118.53409082483532"/>
        <n v="8.67560917331821"/>
        <n v="120.43795620437959"/>
        <n v="25.0731687936921"/>
        <n v="31.660527955243346"/>
        <n v="73.51176742039688"/>
        <n v="47.38921958219231"/>
        <n v="77.13611271165964"/>
        <n v="11.136329464985302"/>
        <n v="73.0231492092597"/>
        <n v="13.589945011783191"/>
        <n v="103.52431211326096"/>
        <n v="21.948232877035526"/>
        <n v="211.31000359048926"/>
        <n v="138.28073797338675"/>
        <n v="10.395973373347902"/>
        <n v="19.274841686833174"/>
        <n v="12.6463913555401"/>
        <n v="58.024691592007585"/>
        <n v="28.485317228440604"/>
        <n v="11.054891722954379"/>
        <n v="113.55740837427537"/>
        <n v="72.04686491880902"/>
        <n v="48.45032537818151"/>
        <n v="23.589179795902083"/>
        <n v="56.06437845614129"/>
        <n v="19.038400433078746"/>
        <n v="34.38991116994543"/>
        <n v="7.072706933860108"/>
        <n v="30.47593056156795"/>
        <n v="52.52777423240916"/>
        <n v="15.046333100812774"/>
        <n v="13.422460724780098"/>
        <n v="22.906874672463527"/>
        <n v="14.00903329583268"/>
        <s v="-"/>
      </sharedItems>
    </cacheField>
    <cacheField name=" " numFmtId="0">
      <sharedItems containsString="0" containsBlank="1" containsNumber="1">
        <m/>
        <n v="205.4723991351288"/>
        <n v="41.687283950237"/>
        <n v="4992270.0"/>
        <n v="15765.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24" sheet="Июль 2026"/>
  </cacheSource>
  <cacheFields>
    <cacheField name="Площадка" numFmtId="3">
      <sharedItems>
        <s v="Ozon"/>
        <s v="Mts.ru OLV"/>
        <s v="Video yandex"/>
        <s v="media.yandex"/>
        <s v="Adsheads"/>
        <s v="Promopages.yandex.ru"/>
        <s v="Adspector OLV"/>
        <s v="Market yandex"/>
        <s v="Avito"/>
        <s v="ИТОГО"/>
        <s v="Aviasales"/>
        <s v="2Gis"/>
        <s v="Buzzoola"/>
        <s v="Rutube"/>
        <s v="Дзен Статьи"/>
        <s v="Дзен Сообщество"/>
        <s v="Яндекс Go"/>
        <s v="Roxot"/>
        <s v="Wildberries"/>
        <s v="Astralab"/>
        <s v="qbid video"/>
        <s v="qbid banner"/>
        <s v="Пятерочка"/>
        <s v="Avito OLV"/>
        <s v="Яндекс Погода"/>
        <s v="Astralab Video"/>
        <s v="Innovation Lab"/>
        <s v="Video yandex (Connected TV)"/>
        <s v="Т-Банк"/>
        <s v="МТС"/>
        <s v="Marketcall"/>
        <s v="Amberdata"/>
        <s v="VOX"/>
        <s v="Mobidriven"/>
        <s v="TargetAds"/>
      </sharedItems>
    </cacheField>
    <cacheField name="Проект" numFmtId="0">
      <sharedItems containsBlank="1">
        <s v="Мичуринский"/>
        <m/>
        <s v="Левел Групп"/>
        <s v="Южнопортовая"/>
        <s v="Звенигородская"/>
        <s v="Регионы"/>
        <s v="Остатки"/>
        <s v="Нижегородская"/>
        <s v="Селигерская"/>
        <s v="Лесной"/>
        <s v="Мечникова"/>
        <s v="Павелецкая Сити"/>
        <s v="Саввинская"/>
        <s v="Премиальная Коллекция"/>
        <s v="Войковская"/>
        <s v="Свободы"/>
        <s v="Воронцовская"/>
        <s v="Нижегородская Work"/>
        <s v="Волга"/>
        <s v="Академическая"/>
        <s v="Левел Групп (немарк)"/>
      </sharedItems>
    </cacheField>
    <cacheField name="Показы">
      <sharedItems containsMixedTypes="1" containsNumber="1" containsInteger="1">
        <n v="1706540.0"/>
        <n v="2500005.0"/>
        <n v="1413399.0"/>
        <n v="2442268.0"/>
        <n v="868568.0"/>
        <n v="2203872.0"/>
        <n v="3211934.0"/>
        <n v="523185.0"/>
        <n v="1286910.0"/>
        <n v="1.6156681E7"/>
        <n v="41750.0"/>
        <n v="125210.0"/>
        <n v="1200031.0"/>
        <n v="1073030.0"/>
        <n v="2512000.0"/>
        <n v="2245053.0"/>
        <n v="1276160.0"/>
        <n v="8878603.0"/>
        <n v="1909913.0"/>
        <n v="1.926175E7"/>
        <n v="940492.0"/>
        <n v="1379126.0"/>
        <n v="2570023.0"/>
        <n v="2138109.0"/>
        <n v="930601.0"/>
        <n v="3497523.0"/>
        <n v="1641096.0"/>
        <n v="7562356.0"/>
        <n v="8338268.0"/>
        <n v="2.8997594E7"/>
        <n v="2504845.0"/>
        <n v="2667296.0"/>
        <n v="1677880.0"/>
        <n v="3878242.0"/>
        <n v="1874995.0"/>
        <n v="1167742.0"/>
        <n v="1.3771E7"/>
        <n v="1303405.0"/>
        <n v="2301681.0"/>
        <n v="1653917.0"/>
        <n v="1429945.0"/>
        <n v="6688948.0"/>
        <n v="6823646.0"/>
        <n v="1802085.0"/>
        <n v="2190284.0"/>
        <n v="1759692.0"/>
        <n v="3331275.0"/>
        <n v="1.5906982E7"/>
        <n v="434094.0"/>
        <n v="1401429.0"/>
        <n v="3646100.0"/>
        <n v="5481623.0"/>
        <n v="2155841.0"/>
        <n v="963358.0"/>
        <n v="1004012.0"/>
        <n v="3001440.0"/>
        <n v="1616263.0"/>
        <n v="8740914.0"/>
        <n v="994878.0"/>
        <n v="1391996.0"/>
        <n v="1880859.0"/>
        <n v="737949.0"/>
        <n v="1476838.0"/>
        <n v="6482520.0"/>
        <n v="596345.0"/>
        <n v="756912.0"/>
        <n v="1244264.0"/>
        <n v="819680.0"/>
        <n v="485930.0"/>
        <n v="435876.0"/>
        <n v="4339007.0"/>
        <n v="894261.0"/>
        <n v="2043657.0"/>
        <n v="1202515.0"/>
        <n v="1220823.0"/>
        <n v="2689012.0"/>
        <n v="1643746.0"/>
        <n v="300042.0"/>
        <n v="921246.0"/>
        <n v="1.0915302E7"/>
        <n v="2606317.0"/>
        <n v="516110.0"/>
        <n v="2000596.0"/>
        <n v="5123023.0"/>
        <n v="1848013.0"/>
        <n v="1429552.0"/>
        <n v="720005.0"/>
        <n v="1750122.0"/>
        <n v="285368.0"/>
        <n v="719849.0"/>
        <n v="6752909.0"/>
        <n v="1618967.0"/>
        <n v="2376572.0"/>
        <n v="1581008.0"/>
        <n v="5576547.0"/>
        <n v="2837793.0"/>
        <n v="1040797.0"/>
        <n v="32847.0"/>
        <s v="-"/>
        <n v="3911437.0"/>
        <n v="47184.0"/>
        <n v="3010424.0"/>
        <n v="2894593.0"/>
        <n v="2151840.0"/>
        <n v="8104041.0"/>
        <n v="41623.0"/>
        <n v="2996796.0"/>
        <n v="844470.0"/>
        <n v="805560.0"/>
        <n v="1350365.0"/>
        <n v="3419070.0"/>
        <n v="9457884.0"/>
        <n v="796726.0"/>
        <n v="545299.0"/>
        <n v="414132.0"/>
        <n v="1756157.0"/>
        <n v="620005.0"/>
      </sharedItems>
    </cacheField>
    <cacheField name="Клики">
      <sharedItems containsMixedTypes="1" containsNumber="1" containsInteger="1">
        <n v="825.0"/>
        <n v="25191.0"/>
        <n v="12740.0"/>
        <n v="5824.0"/>
        <n v="5443.0"/>
        <n v="19330.0"/>
        <n v="43317.0"/>
        <n v="1244.0"/>
        <n v="2696.0"/>
        <n v="116610.0"/>
        <n v="47.0"/>
        <n v="788.0"/>
        <n v="20999.0"/>
        <n v="5228.0"/>
        <n v="40883.0"/>
        <n v="32396.0"/>
        <n v="4376.0"/>
        <n v="111990.0"/>
        <n v="5798.0"/>
        <n v="222505.0"/>
        <n v="2237.0"/>
        <n v="1532.0"/>
        <n v="43839.0"/>
        <n v="4988.0"/>
        <n v="7902.0"/>
        <n v="38176.0"/>
        <n v="21245.0"/>
        <n v="26253.0"/>
        <n v="10275.0"/>
        <n v="156447.0"/>
        <n v="5356.0"/>
        <n v="3118.0"/>
        <n v="10669.0"/>
        <n v="9259.0"/>
        <n v="17809.0"/>
        <n v="2092.0"/>
        <n v="48303.0"/>
        <n v="2297.0"/>
        <n v="3795.0"/>
        <n v="3329.0"/>
        <n v="3455.0"/>
        <n v="12876.0"/>
        <n v="18391.0"/>
        <n v="4407.0"/>
        <n v="3279.0"/>
        <n v="5200.0"/>
        <n v="1965.0"/>
        <n v="33242.0"/>
        <n v="4114.0"/>
        <n v="16266.0"/>
        <n v="11168.0"/>
        <n v="31548.0"/>
        <n v="16910.0"/>
        <n v="531.0"/>
        <n v="11942.0"/>
        <n v="7923.0"/>
        <n v="3297.0"/>
        <n v="40603.0"/>
        <n v="8127.0"/>
        <n v="14267.0"/>
        <n v="5438.0"/>
        <n v="356.0"/>
        <n v="1769.0"/>
        <n v="29957.0"/>
        <n v="1583.0"/>
        <n v="1617.0"/>
        <n v="16602.0"/>
        <n v="12457.0"/>
        <n v="2721.0"/>
        <n v="828.0"/>
        <n v="35808.0"/>
        <n v="1654.0"/>
        <n v="4220.0"/>
        <n v="2295.0"/>
        <n v="4343.0"/>
        <n v="21871.0"/>
        <n v="3751.0"/>
        <n v="375.0"/>
        <n v="2320.0"/>
        <n v="40829.0"/>
        <n v="13797.0"/>
        <n v="976.0"/>
        <n v="6218.0"/>
        <n v="20991.0"/>
        <n v="25288.0"/>
        <n v="5278.0"/>
        <n v="5529.0"/>
        <n v="17375.0"/>
        <n v="22.0"/>
        <n v="6356.0"/>
        <n v="59848.0"/>
        <n v="1540.0"/>
        <n v="4502.0"/>
        <n v="3018.0"/>
        <n v="9060.0"/>
        <n v="52498.0"/>
        <n v="3837.0"/>
        <n v="1917.0"/>
        <n v="1.0"/>
        <n v="58252.0"/>
        <n v="2691.0"/>
        <n v="56627.0"/>
        <n v="11880.0"/>
        <s v="-"/>
        <n v="5413.0"/>
        <n v="76611.0"/>
        <n v="2108.0"/>
        <n v="31414.0"/>
        <n v="2351.0"/>
        <n v="5171.0"/>
        <n v="3382.0"/>
        <n v="5912.0"/>
        <n v="50339.0"/>
        <n v="5941.0"/>
        <n v="501.0"/>
        <n v="1021.0"/>
        <n v="7463.0"/>
        <n v="7257.0"/>
      </sharedItems>
    </cacheField>
    <cacheField name="Расход без НДС" numFmtId="164">
      <sharedItems containsSemiMixedTypes="0" containsString="0" containsNumber="1">
        <n v="356619.6721311475"/>
        <n v="400000.8032786885"/>
        <n v="377326.0491803279"/>
        <n v="193411.82786885244"/>
        <n v="168418.03278688525"/>
        <n v="368972.7950819672"/>
        <n v="396800.0"/>
        <n v="199350.0"/>
        <n v="362706.737704918"/>
        <n v="2823605.918032787"/>
        <n v="88485.75409836066"/>
        <n v="40800.0"/>
        <n v="300000.0"/>
        <n v="234089.0573770492"/>
        <n v="740250.0"/>
        <n v="248068.9754098361"/>
        <n v="107972.51639344262"/>
        <n v="1953761.68852459"/>
        <n v="159854.7868852459"/>
        <n v="3873282.778688525"/>
        <n v="299250.0"/>
        <n v="304000.0"/>
        <n v="411203.68032786885"/>
        <n v="192463.16393442624"/>
        <n v="233735.73770491802"/>
        <n v="653363.4180327869"/>
        <n v="410000.0"/>
        <n v="409427.9262295082"/>
        <n v="3213443.926229508"/>
        <n v="791700.0"/>
        <n v="846879.5081967213"/>
        <n v="454586.83606557373"/>
        <n v="348841.01639344264"/>
        <n v="299999.1967213115"/>
        <n v="165000.0"/>
        <n v="2907006.5573770492"/>
        <n v="365918.7131147541"/>
        <n v="199766.40983606558"/>
        <n v="373538.90983606555"/>
        <n v="367031.9672131148"/>
        <n v="1306256.0"/>
        <n v="274763.51639344264"/>
        <n v="540031.0491803279"/>
        <n v="149938.52459016393"/>
        <n v="400400.0"/>
        <n v="696675.6639344263"/>
        <n v="2061808.754098361"/>
        <n v="106266.7131147541"/>
        <n v="224228.6393442623"/>
        <n v="169985.69672131148"/>
        <n v="500481.04918032786"/>
        <n v="344934.5573770492"/>
        <n v="201300.0"/>
        <n v="148000.0"/>
        <n v="113050.03278688526"/>
        <n v="526350.0"/>
        <n v="1333634.5901639345"/>
        <n v="265070.237704918"/>
        <n v="222719.3606557377"/>
        <n v="157434.02459016396"/>
        <n v="154000.0"/>
        <n v="515375.0"/>
        <n v="1314598.6229508198"/>
        <n v="169209.14754098363"/>
        <n v="199800.0"/>
        <n v="199081.18032786887"/>
        <n v="204918.0"/>
        <n v="123012.1393442623"/>
        <n v="131672.131147541"/>
        <n v="1027692.5983606557"/>
        <n v="208124.59016393442"/>
        <n v="222435.83606557376"/>
        <n v="361333.6721311476"/>
        <n v="318600.0"/>
        <n v="430241.9180327869"/>
        <n v="486323.20491803286"/>
        <n v="600300.0"/>
        <n v="403083.75409836066"/>
        <n v="3030442.975409836"/>
        <n v="212159.5163934426"/>
        <n v="123209.83606557378"/>
        <n v="513000.0"/>
        <n v="848369.3524590164"/>
        <n v="295682.08196721313"/>
        <n v="369999.9016393443"/>
        <n v="250490.0"/>
        <n v="402500.0"/>
        <n v="98746.4262295082"/>
        <n v="500500.0"/>
        <n v="1917918.4098360655"/>
        <n v="525000.0"/>
        <n v="567000.0"/>
        <n v="457670.2786885246"/>
        <n v="1549670.2786885246"/>
        <n v="454046.8770491803"/>
        <n v="191850.0"/>
        <n v="43616.39344262295"/>
        <n v="37500.0"/>
        <n v="727013.2704918033"/>
        <n v="53040.983606557376"/>
        <n v="481667.8360655738"/>
        <n v="688329.131147541"/>
        <n v="28908.540983606556"/>
        <n v="182198.5"/>
        <n v="1434144.9918032787"/>
        <n v="46569.67213114754"/>
        <n v="479487.3606557377"/>
        <n v="76588.95081967213"/>
        <n v="10026.918032786885"/>
        <n v="278348.61475409835"/>
        <n v="299997.09016393445"/>
        <n v="300040.0"/>
        <n v="51875.0"/>
        <n v="1542933.6065573771"/>
        <n v="127476.16393442624"/>
        <n v="114109.88524590163"/>
        <n v="123122.95081967213"/>
        <n v="364709.0"/>
        <n v="99200.80327868853"/>
        <n v="343596.2786885246"/>
      </sharedItems>
    </cacheField>
    <cacheField name="Расход с НДС" numFmtId="164">
      <sharedItems containsSemiMixedTypes="0" containsString="0" containsNumber="1">
        <n v="435076.0"/>
        <n v="488000.98"/>
        <n v="460337.78"/>
        <n v="235962.43"/>
        <n v="205470.0"/>
        <n v="450146.81"/>
        <n v="484096.0"/>
        <n v="243207.0"/>
        <n v="442502.22"/>
        <n v="3444799.2199999997"/>
        <n v="107952.62"/>
        <n v="49776.0"/>
        <n v="366000.0"/>
        <n v="285588.65"/>
        <n v="903105.0"/>
        <n v="302644.15"/>
        <n v="131726.47"/>
        <n v="2383589.26"/>
        <n v="195022.84"/>
        <n v="4725404.99"/>
        <n v="365085.0"/>
        <n v="370880.0"/>
        <n v="501668.49"/>
        <n v="234805.06"/>
        <n v="285157.6"/>
        <n v="797103.37"/>
        <n v="500200.0"/>
        <n v="499502.07"/>
        <n v="3920401.59"/>
        <n v="965874.0"/>
        <n v="1033193.0"/>
        <n v="554595.94"/>
        <n v="425586.04"/>
        <n v="365999.02"/>
        <n v="201300.0"/>
        <n v="3546548.0"/>
        <n v="446420.83"/>
        <n v="243715.02"/>
        <n v="455717.47"/>
        <n v="447779.0"/>
        <n v="1593632.3199999998"/>
        <n v="335211.49"/>
        <n v="658837.88"/>
        <n v="182925.0"/>
        <n v="488488.0"/>
        <n v="849944.31"/>
        <n v="2515406.68"/>
        <n v="129645.39"/>
        <n v="273558.94"/>
        <n v="207382.55"/>
        <n v="610586.88"/>
        <n v="420820.16"/>
        <n v="245586.0"/>
        <n v="180560.0"/>
        <n v="137921.04"/>
        <n v="642147.0"/>
        <n v="1627034.2"/>
        <n v="323385.69"/>
        <n v="271717.62"/>
        <n v="192069.51"/>
        <n v="187880.0"/>
        <n v="628757.5"/>
        <n v="1603810.32"/>
        <n v="206435.16"/>
        <n v="243756.0"/>
        <n v="242879.04"/>
        <n v="249999.96"/>
        <n v="150074.81"/>
        <n v="160640.0"/>
        <n v="1253784.97"/>
        <n v="253912.0"/>
        <n v="271371.72"/>
        <n v="440827.08"/>
        <n v="388692.0"/>
        <n v="524895.14"/>
        <n v="593314.31"/>
        <n v="732366.0"/>
        <n v="491762.18"/>
        <n v="3697140.43"/>
        <n v="258834.61"/>
        <n v="150316.0"/>
        <n v="625860.0"/>
        <n v="1035010.61"/>
        <n v="360732.14"/>
        <n v="451399.88"/>
        <n v="305597.8"/>
        <n v="491050.0"/>
        <n v="120470.64"/>
        <n v="610610.0"/>
        <n v="2339860.46"/>
        <n v="640500.0"/>
        <n v="691740.0"/>
        <n v="558357.74"/>
        <n v="1890597.74"/>
        <n v="553937.19"/>
        <n v="234057.0"/>
        <n v="53212.0"/>
        <n v="45750.0"/>
        <n v="886956.19"/>
        <n v="64710.0"/>
        <n v="587634.76"/>
        <n v="839761.54"/>
        <n v="35268.42"/>
        <n v="222282.17"/>
        <n v="1749656.89"/>
        <n v="56815.0"/>
        <n v="584974.58"/>
        <n v="93438.52"/>
        <n v="12232.84"/>
        <n v="339585.31"/>
        <n v="365996.45"/>
        <n v="366048.8"/>
        <n v="63287.5"/>
        <n v="1882379.0"/>
        <n v="155520.92"/>
        <n v="139214.06"/>
        <n v="150210.0"/>
        <n v="444944.98"/>
        <n v="121024.98"/>
        <n v="419187.46"/>
      </sharedItems>
    </cacheField>
    <cacheField name="Расход с НДС и АК" numFmtId="164">
      <sharedItems containsSemiMixedTypes="0" containsString="0" containsNumber="1">
        <n v="437251.37999999995"/>
        <n v="490440.9848999999"/>
        <n v="462639.4689"/>
        <n v="237142.24214999998"/>
        <n v="206497.34999999998"/>
        <n v="452397.54404999997"/>
        <n v="486516.4799999999"/>
        <n v="244423.03499999997"/>
        <n v="444714.7310999999"/>
        <n v="3462023.2161000003"/>
        <n v="108492.38309999998"/>
        <n v="50024.88"/>
        <n v="367829.99999999994"/>
        <n v="287016.59325"/>
        <n v="907620.5249999999"/>
        <n v="304157.37075"/>
        <n v="132385.10235"/>
        <n v="2395507.2062999997"/>
        <n v="195997.95419999998"/>
        <n v="4749032.014949999"/>
        <n v="366910.425"/>
        <n v="372734.39999999997"/>
        <n v="504176.8324499999"/>
        <n v="235979.08529999998"/>
        <n v="286583.3879999999"/>
        <n v="801088.8868499999"/>
        <n v="502700.99999999994"/>
        <n v="501999.58034999995"/>
        <n v="3940003.5979499994"/>
        <n v="970703.3699999999"/>
        <n v="1038358.9649999999"/>
        <n v="557368.9196999999"/>
        <n v="427713.9701999999"/>
        <n v="367829.01509999996"/>
        <n v="202306.49999999997"/>
        <n v="3564280.7399999993"/>
        <n v="448652.93415"/>
        <n v="244933.59509999998"/>
        <n v="457996.0573499999"/>
        <n v="450017.89499999996"/>
        <n v="1601600.4815999998"/>
        <n v="336887.54744999995"/>
        <n v="662132.0693999999"/>
        <n v="183839.62499999997"/>
        <n v="490930.43999999994"/>
        <n v="854194.03155"/>
        <n v="2527983.7134"/>
        <n v="130293.61694999998"/>
        <n v="274926.7347"/>
        <n v="208419.46274999998"/>
        <n v="613639.8143999999"/>
        <n v="422924.26079999993"/>
        <n v="246813.92999999996"/>
        <n v="181462.8"/>
        <n v="138610.6452"/>
        <n v="645357.735"/>
        <n v="1635169.3709999998"/>
        <n v="325002.61844999995"/>
        <n v="273076.2081"/>
        <n v="193029.85755"/>
        <n v="188819.4"/>
        <n v="631901.2875"/>
        <n v="1611829.3715999997"/>
        <n v="207467.33579999997"/>
        <n v="244974.77999999997"/>
        <n v="244093.43519999998"/>
        <n v="251249.95979999995"/>
        <n v="150825.18404999998"/>
        <n v="161443.19999999998"/>
        <n v="1260053.8948499998"/>
        <n v="255181.55999999997"/>
        <n v="272728.57859999995"/>
        <n v="443031.2154"/>
        <n v="390635.45999999996"/>
        <n v="527519.6157"/>
        <n v="596280.88155"/>
        <n v="736027.83"/>
        <n v="494220.9908999999"/>
        <n v="3715626.13215"/>
        <n v="260128.78304999997"/>
        <n v="151067.58"/>
        <n v="628989.2999999999"/>
        <n v="1040185.6630499999"/>
        <n v="362535.80069999996"/>
        <n v="453656.8794"/>
        <n v="307125.78899999993"/>
        <n v="493505.24999999994"/>
        <n v="121072.99319999998"/>
        <n v="613663.0499999999"/>
        <n v="2351559.7622999996"/>
        <n v="643702.4999999999"/>
        <n v="695198.7"/>
        <n v="561149.5286999999"/>
        <n v="1900050.7286999996"/>
        <n v="556706.8759499999"/>
        <n v="235227.28499999997"/>
        <n v="53478.06"/>
        <n v="45978.74999999999"/>
        <n v="845412.22095"/>
        <n v="65033.549999999996"/>
        <n v="590572.9338"/>
        <n v="843960.3476999999"/>
        <n v="35444.76209999999"/>
        <n v="223393.58085"/>
        <n v="1758405.1744499998"/>
        <n v="57099.075"/>
        <n v="587899.4528999999"/>
        <n v="93905.7126"/>
        <n v="12294.0042"/>
        <n v="341283.23655"/>
        <n v="367826.43224999995"/>
        <n v="367879.04399999994"/>
        <n v="63603.93749999999"/>
        <n v="1828186.9574999998"/>
        <n v="156298.5246"/>
        <n v="139910.1303"/>
        <n v="150961.05"/>
        <n v="447169.70489999995"/>
        <n v="121630.10489999998"/>
        <n v="421283.39729999995"/>
      </sharedItems>
    </cacheField>
    <cacheField name="CPM до НДС и АК">
      <sharedItems containsMixedTypes="1" containsNumber="1">
        <n v="208.9723488058572"/>
        <n v="160.0000013114728"/>
        <n v="266.9635744615129"/>
        <n v="79.19353153251504"/>
        <n v="193.90310578663414"/>
        <n v="167.42024722033185"/>
        <n v="123.53927571363546"/>
        <n v="381.0315662719688"/>
        <n v="281.84312632967186"/>
        <n v="174.7639826541594"/>
        <n v="2119.4192598409736"/>
        <n v="325.85256768628705"/>
        <n v="249.99354183350263"/>
        <n v="218.15704815061017"/>
        <n v="294.68550955414014"/>
        <n v="110.49582143933178"/>
        <n v="84.60735048382853"/>
        <n v="220.0528268382526"/>
        <n v="83.69741809456552"/>
        <n v="201.0867537315418"/>
        <n v="318.1845246955849"/>
        <n v="220.42946039738212"/>
        <n v="160.00000012757428"/>
        <n v="90.01559973529237"/>
        <n v="251.16643728613874"/>
        <n v="186.8074686092949"/>
        <n v="249.83303840847822"/>
        <n v="54.14026081680208"/>
        <n v="35.97869485605404"/>
        <n v="110.81760528923566"/>
        <n v="316.06746126007795"/>
        <n v="317.5048844210471"/>
        <n v="270.92928938039296"/>
        <n v="89.94823334733692"/>
        <n v="159.99999825136146"/>
        <n v="141.29833473489865"/>
        <n v="211.09625716193807"/>
        <n v="280.7406087246513"/>
        <n v="86.7915275123119"/>
        <n v="225.85106135076038"/>
        <n v="256.6755834756685"/>
        <n v="195.28571607971836"/>
        <n v="40.26637905797614"/>
        <n v="299.67013164214114"/>
        <n v="68.45620229621544"/>
        <n v="227.539819468407"/>
        <n v="209.13183809034865"/>
        <n v="129.61658937555603"/>
        <n v="244.8011562351797"/>
        <n v="159.99999953209354"/>
        <n v="46.62123823299182"/>
        <n v="91.30161800261125"/>
        <n v="159.99999878332827"/>
        <n v="208.95658727077577"/>
        <n v="147.40859670999947"/>
        <n v="37.665264935126224"/>
        <n v="325.65863352684556"/>
        <n v="152.57381438187522"/>
        <n v="266.43491735159284"/>
        <n v="160.0000004710773"/>
        <n v="83.70325717672827"/>
        <n v="208.6865081462269"/>
        <n v="348.9719251536052"/>
        <n v="202.79129458155467"/>
        <n v="283.7437180507653"/>
        <n v="263.96727756991567"/>
        <n v="159.99914835426316"/>
        <n v="249.99756002342377"/>
        <n v="253.1478594535474"/>
        <n v="302.08621522529575"/>
        <n v="236.84972122899453"/>
        <n v="232.73360927507116"/>
        <n v="108.8420591447458"/>
        <n v="300.4816340179936"/>
        <n v="260.97149218191333"/>
        <n v="159.9999992684253"/>
        <n v="295.8627457758272"/>
        <n v="2000.71989921411"/>
        <n v="437.54193136074474"/>
        <n v="277.6325359948663"/>
        <n v="81.40203835275702"/>
        <n v="238.7278604669039"/>
        <n v="256.4235857714401"/>
        <n v="165.59936437119575"/>
        <n v="160.0000010645018"/>
        <n v="258.82227553761203"/>
        <n v="347.90036180304304"/>
        <n v="229.98396683202657"/>
        <n v="346.0318824448018"/>
        <n v="695.2847055424124"/>
        <n v="284.0136613474379"/>
        <n v="324.28085316130597"/>
        <n v="238.57892796851937"/>
        <n v="289.4800524023437"/>
        <n v="277.89065145304517"/>
        <n v="159.9999989601709"/>
        <n v="184.32989334135283"/>
        <n v="1327.865358864522"/>
        <s v="-"/>
        <n v="185.86858755281074"/>
        <n v="1124.1307139402631"/>
        <n v="159.99999869306575"/>
        <n v="237.79824353459745"/>
        <n v="84.67102572681983"/>
        <n v="176.96665056399377"/>
        <n v="1118.8446803725712"/>
        <n v="160.00000021881291"/>
        <n v="90.69469705220094"/>
        <n v="345.5343050227151"/>
        <n v="222.16000130626492"/>
        <n v="87.75485731500086"/>
        <n v="163.13729440510977"/>
        <n v="160.00000493824254"/>
        <n v="209.26113058322431"/>
        <n v="297.30363946681763"/>
        <n v="207.6744846844559"/>
        <n v="160.00000528816466"/>
      </sharedItems>
    </cacheField>
    <cacheField name="CPС до НДС и АК">
      <sharedItems containsMixedTypes="1" containsNumber="1">
        <n v="432.2662692498758"/>
        <n v="15.87871872012578"/>
        <n v="29.61742929201946"/>
        <n v="33.209448466492525"/>
        <n v="30.94213352689422"/>
        <n v="19.08809079575619"/>
        <n v="9.160375833968189"/>
        <n v="160.2491961414791"/>
        <n v="134.53514009826335"/>
        <n v="24.214097573388106"/>
        <n v="1882.6756191140566"/>
        <n v="51.776649746192895"/>
        <n v="14.286394590218581"/>
        <n v="44.77602474694897"/>
        <n v="18.106547953917275"/>
        <n v="7.657395215762319"/>
        <n v="24.673792594479576"/>
        <n v="17.445858456331727"/>
        <n v="27.570677282726095"/>
        <n v="17.407621305986495"/>
        <n v="133.77291014751899"/>
        <n v="198.43342036553526"/>
        <n v="9.379859949539654"/>
        <n v="38.585237356540944"/>
        <n v="29.57931380725361"/>
        <n v="17.114506968587254"/>
        <n v="19.29865850788421"/>
        <n v="15.595471992896362"/>
        <n v="29.197080291970803"/>
        <n v="20.540144114169706"/>
        <n v="147.81553398058253"/>
        <n v="271.609848684003"/>
        <n v="42.60819533841726"/>
        <n v="37.67588469526327"/>
        <n v="16.84537013427545"/>
        <n v="78.87189292543022"/>
        <n v="60.18273310926959"/>
        <n v="159.3028790225312"/>
        <n v="52.63937018078144"/>
        <n v="112.20754275640299"/>
        <n v="106.23211786197244"/>
        <n v="101.4488971730351"/>
        <n v="14.940107465251625"/>
        <n v="122.53938034498024"/>
        <n v="45.72690594393532"/>
        <n v="77.0"/>
        <n v="354.5423226129396"/>
        <n v="62.02420895548887"/>
        <n v="25.830508778501237"/>
        <n v="13.785112464297448"/>
        <n v="15.220782299544366"/>
        <n v="15.864113388497776"/>
        <n v="20.39825886321994"/>
        <n v="379.0960451977401"/>
        <n v="12.393233964160107"/>
        <n v="14.268589270085227"/>
        <n v="159.64513193812556"/>
        <n v="32.84571559155566"/>
        <n v="32.61600070197096"/>
        <n v="15.610805400976918"/>
        <n v="28.95072169734534"/>
        <n v="432.5842696629214"/>
        <n v="291.33691351045786"/>
        <n v="43.88285285411823"/>
        <n v="106.89143874983174"/>
        <n v="123.56215213358071"/>
        <n v="11.991397441746107"/>
        <n v="16.450028096652485"/>
        <n v="45.20843048300709"/>
        <n v="159.02431298012198"/>
        <n v="28.700083734379348"/>
        <n v="125.8310702321248"/>
        <n v="52.709913759614636"/>
        <n v="157.44386585235188"/>
        <n v="73.35942896615244"/>
        <n v="19.671799096190707"/>
        <n v="129.6516142143516"/>
        <n v="1600.8"/>
        <n v="173.74299745618993"/>
        <n v="74.22280671605564"/>
        <n v="15.37722087362779"/>
        <n v="126.23958613276002"/>
        <n v="82.50241235123833"/>
        <n v="40.41586167686229"/>
        <n v="11.69258470291099"/>
        <n v="70.10229284565068"/>
        <n v="45.30475673720383"/>
        <n v="23.165467625899282"/>
        <n v="4488.4739195231"/>
        <n v="78.74449339207048"/>
        <n v="32.04649127516484"/>
        <n v="340.90909090909093"/>
        <n v="125.94402487783208"/>
        <n v="151.64687829308303"/>
        <n v="171.04528462345746"/>
        <n v="8.648841423467186"/>
        <n v="50.0"/>
        <n v="22.75242224445642"/>
        <s v="-"/>
        <n v="12.480486000339958"/>
        <n v="19.71051044465157"/>
        <n v="8.505974818824479"/>
        <n v="57.94016255450682"/>
        <n v="33.65943099944578"/>
        <n v="18.71983124881908"/>
        <n v="22.091874825022554"/>
        <n v="15.263492731130633"/>
        <n v="32.57718027208512"/>
        <n v="53.82877871864211"/>
        <n v="88.70404794912314"/>
        <n v="50.7510148849797"/>
        <n v="30.650859305059242"/>
        <n v="21.457021365835086"/>
        <n v="227.7642420077877"/>
        <n v="120.59054928469357"/>
        <n v="48.86895350395283"/>
        <n v="13.66967111460500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Сводная таблица август" cacheId="0" dataCaption="" compact="0" compactData="0">
  <location ref="A1:D39" firstHeaderRow="0" firstDataRow="2" firstDataCol="0"/>
  <pivotFields>
    <pivotField name="Площадка" axis="axisRow" compact="0" numFmtId="3" outline="0" multipleItemSelectionAllowed="1" showAll="0" sortType="ascending">
      <items>
        <item x="17"/>
        <item x="20"/>
        <item x="31"/>
        <item x="8"/>
        <item x="14"/>
        <item x="23"/>
        <item x="10"/>
        <item x="15"/>
        <item x="9"/>
        <item x="6"/>
        <item x="3"/>
        <item x="19"/>
        <item x="16"/>
        <item x="4"/>
        <item x="12"/>
        <item x="24"/>
        <item x="28"/>
        <item x="35"/>
        <item x="34"/>
        <item x="22"/>
        <item x="33"/>
        <item x="1"/>
        <item x="18"/>
        <item x="5"/>
        <item x="30"/>
        <item x="2"/>
        <item x="0"/>
        <item x="7"/>
        <item x="13"/>
        <item x="27"/>
        <item x="25"/>
        <item x="32"/>
        <item x="26"/>
        <item x="36"/>
        <item x="29"/>
        <item x="21"/>
        <item x="11"/>
        <item t="default"/>
      </items>
    </pivotField>
    <pivotField name="Проек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Показы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Клики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Расход без НДС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Расход с НДС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Расход с НДС и АК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CPM до НДС и АК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CPС до НДС и АК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</pivotFields>
  <rowFields>
    <field x="0"/>
  </rowFields>
  <colFields>
    <field x="-2"/>
  </colFields>
  <dataFields>
    <dataField name="SUM of Показы" fld="2" baseField="0"/>
    <dataField name="SUM of Клики" fld="3" baseField="0"/>
    <dataField name="SUM of Расход с НДС" fld="5" baseField="0"/>
  </dataFields>
</pivotTableDefinition>
</file>

<file path=xl/pivotTables/pivotTable2.xml><?xml version="1.0" encoding="utf-8"?>
<pivotTableDefinition xmlns="http://schemas.openxmlformats.org/spreadsheetml/2006/main" name="Сводная таблица май" cacheId="1" dataCaption="" compact="0" compactData="0">
  <location ref="A3:A4" firstHeaderRow="0" firstDataRow="0" firstDataCol="0" rowPageCount="1" colPageCount="1"/>
  <pivotFields>
    <pivotField name="Площадка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Проект" axis="axisPage" compact="0" outline="0" multipleItemSelectionAllowed="1" showAll="0">
      <items>
        <item x="0"/>
        <item h="1"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Показы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Клик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CT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Показы по трекеру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Показы по МП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Трекер vs Кабине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IV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GIV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SIV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IVT по кликам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ВсеЗвонки&#10;Comagic" compact="0" outline="0" multipleItemSelectionAllowed="1" showAll="0">
      <items>
        <item x="0"/>
        <item x="1"/>
        <item x="2"/>
        <item t="default"/>
      </items>
    </pivotField>
    <pivotField name="ПКзвонки&#10;Comagic" compact="0" outline="0" multipleItemSelectionAllowed="1" showAll="0">
      <items>
        <item x="0"/>
        <item x="1"/>
        <item t="default"/>
      </items>
    </pivotField>
    <pivotField name="ПК звонки Comagic (по тегу &quot;первичный&quot;)" compact="0" outline="0" multipleItemSelectionAllowed="1" showAll="0">
      <items>
        <item x="0"/>
        <item x="1"/>
        <item t="default"/>
      </items>
    </pivotField>
    <pivotField name="CPC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PVCзвонки(30дней)" compact="0" outline="0" multipleItemSelectionAllowed="1" showAll="0">
      <items>
        <item x="0"/>
        <item x="1"/>
        <item x="2"/>
        <item t="default"/>
      </items>
    </pivotField>
    <pivotField name="Отказы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Глубина просмотр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Время на сайте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Расход без НДС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Расход с НДС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Расход с НДС и АК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CPM до НДС и АК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CPС до НДС и АК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Расход с НДС и АК с учетом компенсаци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pageFields>
    <pageField fld="1"/>
  </pageFields>
  <dataFields>
    <dataField name="SUM of Расход без НДС" fld="20" baseField="0"/>
  </dataFields>
</pivotTableDefinition>
</file>

<file path=xl/pivotTables/pivotTable3.xml><?xml version="1.0" encoding="utf-8"?>
<pivotTableDefinition xmlns="http://schemas.openxmlformats.org/spreadsheetml/2006/main" name="Сводная таблица июнь" cacheId="2" dataCaption="" compact="0" compactData="0">
  <location ref="A1:B34" firstHeaderRow="0" firstDataRow="1" firstDataCol="0"/>
  <pivotFields>
    <pivotField name="Площадка" axis="axisRow" compact="0" numFmtId="3" outline="0" multipleItemSelectionAllowed="1" showAll="0" sortType="ascending">
      <items>
        <item x="10"/>
        <item x="14"/>
        <item x="13"/>
        <item x="8"/>
        <item x="19"/>
        <item x="18"/>
        <item x="0"/>
        <item x="6"/>
        <item x="22"/>
        <item x="26"/>
        <item x="9"/>
        <item x="16"/>
        <item x="25"/>
        <item x="11"/>
        <item x="17"/>
        <item x="5"/>
        <item x="3"/>
        <item x="1"/>
        <item x="27"/>
        <item x="20"/>
        <item x="7"/>
        <item x="28"/>
        <item x="24"/>
        <item x="23"/>
        <item x="12"/>
        <item x="2"/>
        <item x="29"/>
        <item x="31"/>
        <item x="30"/>
        <item x="4"/>
        <item x="21"/>
        <item x="15"/>
        <item t="default"/>
      </items>
    </pivotField>
    <pivotField name="Проек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Показы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Клик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Расход без НДС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Расход с НДС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Расход с НДС и АК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CPM до НДС и АК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CPС до НДС и АК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SUM of Расход без НДС" fld="4" baseField="0"/>
  </dataFields>
</pivotTableDefinition>
</file>

<file path=xl/pivotTables/pivotTable4.xml><?xml version="1.0" encoding="utf-8"?>
<pivotTableDefinition xmlns="http://schemas.openxmlformats.org/spreadsheetml/2006/main" name="Сводная таблица июль" cacheId="3" dataCaption="" compact="0" compactData="0">
  <location ref="A1:B37" firstHeaderRow="0" firstDataRow="1" firstDataCol="0"/>
  <pivotFields>
    <pivotField name="Площадка" axis="axisRow" compact="0" numFmtId="3" outline="0" multipleItemSelectionAllowed="1" showAll="0" sortType="ascending">
      <items>
        <item x="11"/>
        <item x="15"/>
        <item x="14"/>
        <item x="9"/>
        <item x="29"/>
        <item x="22"/>
        <item x="28"/>
        <item x="24"/>
        <item x="16"/>
        <item x="4"/>
        <item x="6"/>
        <item x="31"/>
        <item x="19"/>
        <item x="25"/>
        <item x="10"/>
        <item x="8"/>
        <item x="23"/>
        <item x="12"/>
        <item x="26"/>
        <item x="7"/>
        <item x="30"/>
        <item x="3"/>
        <item x="33"/>
        <item x="1"/>
        <item x="0"/>
        <item x="5"/>
        <item x="21"/>
        <item x="20"/>
        <item x="17"/>
        <item x="13"/>
        <item x="34"/>
        <item x="2"/>
        <item x="27"/>
        <item x="32"/>
        <item x="18"/>
        <item t="default"/>
      </items>
    </pivotField>
    <pivotField name="Проек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Показы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Клики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Расход без НДС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Расход с НДС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Расход с НДС и АК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CPM до НДС и АК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CPС до НДС и АК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</pivotFields>
  <rowFields>
    <field x="0"/>
  </rowFields>
  <dataFields>
    <dataField name="SUM of Расход без НДС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W68" dT="2026-06-10T15:30:49.00" personId="{c56d7952-45a7-4430-a561-04eec023e34a}" id="{fc63e1fb-0673-4a53-9de9-206985d5ea6e}" done="0">
    <x18tc:text xml:space="preserve">в мп меньше бюджет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48" dT="2026-07-20T08:08:05.00" personId="{c56d7952-45a7-4430-a561-04eec023e34a}" id="{4e654728-f061-460c-aeb8-0c59b167375c}" done="0">
    <x18tc:text xml:space="preserve">тут сумма с компенсацией?</x18tc:text>
  </x18tc:threadedComment>
  <x18tc:threadedComment ref="G62" dT="2026-07-17T13:50:54.00" personId="{c56d7952-45a7-4430-a561-04eec023e34a}" id="{1a32b4fc-8004-4088-afcd-6bc819262bec}" done="0">
    <x18tc:text xml:space="preserve">сумма учитывает компенсацию?</x18tc:text>
  </x18tc:threadedComment>
  <x18tc:threadedComment ref="G109" dT="2026-07-21T10:54:42.00" personId="{c56d7952-45a7-4430-a561-04eec023e34a}" id="{5b0c7e83-b39f-4627-8f2e-7d65ae7693b2}" done="0">
    <x18tc:text xml:space="preserve">точно ли эта вся сумма? в мп больше заложено</x18tc:text>
  </x18tc:threadedComment>
  <x18tc:threadedComment ref="G8" dT="2026-07-20T07:57:38.00" personId="{c56d7952-45a7-4430-a561-04eec023e34a}" id="{af6b2932-1503-4280-8b90-15beafd26afe}" done="1">
    <x18tc:text xml:space="preserve">подскажите, пожалуйста, откуда расход - в мп не нашла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15" dT="2026-08-17T14:12:31.00" personId="{a1cd9ea6-4a6b-4871-884d-fdc3cd9c660b}" id="{a67a17b0-43ad-497f-91ba-cb26f0446c48}" done="0">
    <x18tc:text xml:space="preserve">Лиды</x18tc:text>
  </x18tc:threadedComment>
  <x18tc:threadedComment ref="B44" dT="2026-08-12T09:07:49.00" personId="{c56d7952-45a7-4430-a561-04eec023e34a}" id="{3cf4f336-f5e5-424c-99f6-0d8b9d7ef0e3}" done="1">
    <x18tc:text xml:space="preserve">на какое юр лицо будет выставлен счет?</x18tc:text>
  </x18tc:threadedComment>
  <x18tc:threadedComment ref="D100" dT="2026-08-17T14:14:53.00" personId="{a1cd9ea6-4a6b-4871-884d-fdc3cd9c660b}" id="{155b4a87-26ce-41dd-8359-56ba6ebf0ad5}" done="0">
    <x18tc:text xml:space="preserve">Лиды</x18tc:text>
  </x18tc:threadedComment>
  <x18tc:threadedComment ref="B39" dT="2026-08-12T09:07:37.00" personId="{c56d7952-45a7-4430-a561-04eec023e34a}" id="{5dfea72e-e10f-46cc-85fb-2f17bc2434ee}" done="1">
    <x18tc:text xml:space="preserve">на какое юр лицо будет выставлен счет?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100" dT="2026-09-22T12:10:53.00" personId="{c56d7952-45a7-4430-a561-04eec023e34a}" id="{0f07ca52-b57c-443f-b2d3-243295cd3a2a}" done="0">
    <x18tc:text xml:space="preserve">сумма по ЛГ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mts.ru" TargetMode="External"/><Relationship Id="rId10" Type="http://schemas.openxmlformats.org/officeDocument/2006/relationships/hyperlink" Target="http://vendor.market.yandex.ru" TargetMode="External"/><Relationship Id="rId13" Type="http://schemas.openxmlformats.org/officeDocument/2006/relationships/hyperlink" Target="http://vendor.market.yandex.ru" TargetMode="External"/><Relationship Id="rId12" Type="http://schemas.openxmlformats.org/officeDocument/2006/relationships/hyperlink" Target="http://mts.ru" TargetMode="External"/><Relationship Id="rId1" Type="http://schemas.openxmlformats.org/officeDocument/2006/relationships/hyperlink" Target="http://mts.ru/" TargetMode="External"/><Relationship Id="rId2" Type="http://schemas.openxmlformats.org/officeDocument/2006/relationships/hyperlink" Target="http://amberdata.ru" TargetMode="External"/><Relationship Id="rId3" Type="http://schemas.openxmlformats.org/officeDocument/2006/relationships/hyperlink" Target="http://mts.ru" TargetMode="External"/><Relationship Id="rId4" Type="http://schemas.openxmlformats.org/officeDocument/2006/relationships/hyperlink" Target="http://vendor.market.yandex.ru" TargetMode="External"/><Relationship Id="rId9" Type="http://schemas.openxmlformats.org/officeDocument/2006/relationships/hyperlink" Target="http://amberdata.ru" TargetMode="External"/><Relationship Id="rId15" Type="http://schemas.openxmlformats.org/officeDocument/2006/relationships/hyperlink" Target="http://ads-heads.ru" TargetMode="External"/><Relationship Id="rId14" Type="http://schemas.openxmlformats.org/officeDocument/2006/relationships/hyperlink" Target="http://mts.ru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://amberdata.ru" TargetMode="External"/><Relationship Id="rId5" Type="http://schemas.openxmlformats.org/officeDocument/2006/relationships/hyperlink" Target="http://promopages.yandex.ru" TargetMode="External"/><Relationship Id="rId6" Type="http://schemas.openxmlformats.org/officeDocument/2006/relationships/hyperlink" Target="http://mts.ru" TargetMode="External"/><Relationship Id="rId7" Type="http://schemas.openxmlformats.org/officeDocument/2006/relationships/hyperlink" Target="http://vendor.market.yandex.ru" TargetMode="External"/><Relationship Id="rId8" Type="http://schemas.openxmlformats.org/officeDocument/2006/relationships/hyperlink" Target="http://amberdata.ru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promopages.yandex.ru" TargetMode="External"/><Relationship Id="rId5" Type="http://schemas.openxmlformats.org/officeDocument/2006/relationships/drawing" Target="../drawings/drawing2.xml"/><Relationship Id="rId6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mts.ru" TargetMode="External"/><Relationship Id="rId2" Type="http://schemas.openxmlformats.org/officeDocument/2006/relationships/hyperlink" Target="http://mts.ru" TargetMode="External"/><Relationship Id="rId3" Type="http://schemas.openxmlformats.org/officeDocument/2006/relationships/hyperlink" Target="http://mts.ru" TargetMode="External"/><Relationship Id="rId4" Type="http://schemas.openxmlformats.org/officeDocument/2006/relationships/hyperlink" Target="http://mts.ru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://promopages.yandex.ru" TargetMode="External"/><Relationship Id="rId5" Type="http://schemas.openxmlformats.org/officeDocument/2006/relationships/hyperlink" Target="http://promopages.yandex.ru" TargetMode="External"/><Relationship Id="rId6" Type="http://schemas.openxmlformats.org/officeDocument/2006/relationships/hyperlink" Target="http://promopages.yandex.ru" TargetMode="External"/><Relationship Id="rId7" Type="http://schemas.openxmlformats.org/officeDocument/2006/relationships/drawing" Target="../drawings/drawing5.xml"/><Relationship Id="rId8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://promopages.yandex.ru" TargetMode="External"/><Relationship Id="rId5" Type="http://schemas.openxmlformats.org/officeDocument/2006/relationships/hyperlink" Target="http://promopages.yandex.ru" TargetMode="External"/><Relationship Id="rId6" Type="http://schemas.openxmlformats.org/officeDocument/2006/relationships/hyperlink" Target="http://promopages.yandex.ru" TargetMode="Externa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://promopages.yandex.ru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hyperlink" Target="http://promopages.yandex.ru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hyperlink" Target="http://promopages.yandex.ru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1.75"/>
    <col customWidth="1" min="2" max="2" width="15.0"/>
  </cols>
  <sheetData>
    <row r="1">
      <c r="A1" s="13" t="s">
        <v>0</v>
      </c>
      <c r="B1" s="16" t="s">
        <v>1</v>
      </c>
      <c r="C1" s="16" t="s">
        <v>2</v>
      </c>
      <c r="D1" s="16" t="s">
        <v>3</v>
      </c>
      <c r="E1" s="20" t="s">
        <v>4</v>
      </c>
      <c r="F1" s="16" t="s">
        <v>6</v>
      </c>
      <c r="G1" s="16" t="s">
        <v>8</v>
      </c>
      <c r="H1" s="16" t="s">
        <v>10</v>
      </c>
      <c r="I1" s="16" t="s">
        <v>11</v>
      </c>
      <c r="J1" s="16" t="s">
        <v>12</v>
      </c>
      <c r="K1" s="16" t="s">
        <v>14</v>
      </c>
      <c r="L1" s="16" t="s">
        <v>15</v>
      </c>
      <c r="M1" s="16" t="s">
        <v>16</v>
      </c>
      <c r="N1" s="16" t="s">
        <v>17</v>
      </c>
      <c r="O1" s="16" t="s">
        <v>18</v>
      </c>
      <c r="P1" s="23" t="s">
        <v>19</v>
      </c>
      <c r="Q1" s="25" t="s">
        <v>26</v>
      </c>
      <c r="R1" s="20" t="s">
        <v>27</v>
      </c>
      <c r="S1" s="25" t="s">
        <v>29</v>
      </c>
      <c r="T1" s="16" t="s">
        <v>30</v>
      </c>
      <c r="U1" s="28" t="s">
        <v>5</v>
      </c>
      <c r="V1" s="23" t="s">
        <v>9</v>
      </c>
      <c r="W1" s="28" t="s">
        <v>13</v>
      </c>
      <c r="X1" s="31" t="s">
        <v>20</v>
      </c>
    </row>
    <row r="2">
      <c r="A2" s="33" t="s">
        <v>25</v>
      </c>
      <c r="B2" s="34" t="s">
        <v>24</v>
      </c>
      <c r="C2" s="35">
        <v>4839169.0</v>
      </c>
      <c r="D2" s="35">
        <v>9317.0</v>
      </c>
      <c r="E2" s="40">
        <f t="shared" ref="E2:E24" si="1">IFERROR(D2/C2,"-")</f>
        <v>0.001925330568</v>
      </c>
      <c r="F2" s="43">
        <v>5126234.0</v>
      </c>
      <c r="G2" s="46"/>
      <c r="H2" s="47">
        <f t="shared" ref="H2:H21" si="2">IFERROR(C2/F2,"-")</f>
        <v>0.9440008006</v>
      </c>
      <c r="I2" s="47">
        <v>0.0</v>
      </c>
      <c r="J2" s="48"/>
      <c r="K2" s="48"/>
      <c r="L2" s="48"/>
      <c r="M2" s="46"/>
      <c r="N2" s="43">
        <v>0.0</v>
      </c>
      <c r="O2" s="43">
        <v>0.0</v>
      </c>
      <c r="P2" s="50">
        <f t="shared" ref="P2:P6" si="3">IFERROR(V2/D2,"-")</f>
        <v>0</v>
      </c>
      <c r="Q2" s="51"/>
      <c r="R2" s="47">
        <v>0.405</v>
      </c>
      <c r="S2" s="53">
        <v>1.04</v>
      </c>
      <c r="T2" s="55">
        <v>0.0011574074074074073</v>
      </c>
      <c r="U2" s="50">
        <f t="shared" ref="U2:U17" si="4">V2/1.22</f>
        <v>0</v>
      </c>
      <c r="V2" s="50"/>
      <c r="W2" s="50"/>
      <c r="X2" s="63"/>
    </row>
    <row r="3">
      <c r="A3" s="68" t="s">
        <v>40</v>
      </c>
      <c r="B3" s="34" t="s">
        <v>24</v>
      </c>
      <c r="C3" s="35">
        <v>1.1043398E7</v>
      </c>
      <c r="D3" s="35">
        <v>17572.0</v>
      </c>
      <c r="E3" s="40">
        <f t="shared" si="1"/>
        <v>0.001591176919</v>
      </c>
      <c r="F3" s="43">
        <v>1.1313438E7</v>
      </c>
      <c r="G3" s="46"/>
      <c r="H3" s="47">
        <f t="shared" si="2"/>
        <v>0.9761310399</v>
      </c>
      <c r="I3" s="47">
        <v>1.0E-4</v>
      </c>
      <c r="J3" s="48"/>
      <c r="K3" s="48"/>
      <c r="L3" s="48"/>
      <c r="M3" s="46"/>
      <c r="N3" s="43">
        <v>1.0</v>
      </c>
      <c r="O3" s="43">
        <v>0.0</v>
      </c>
      <c r="P3" s="50">
        <f t="shared" si="3"/>
        <v>0</v>
      </c>
      <c r="Q3" s="51"/>
      <c r="R3" s="47">
        <v>0.3684</v>
      </c>
      <c r="S3" s="53">
        <v>1.04</v>
      </c>
      <c r="T3" s="55">
        <v>0.0013425925925925925</v>
      </c>
      <c r="U3" s="50">
        <f t="shared" si="4"/>
        <v>0</v>
      </c>
      <c r="V3" s="50"/>
      <c r="W3" s="50"/>
      <c r="X3" s="63"/>
    </row>
    <row r="4">
      <c r="A4" s="68" t="s">
        <v>43</v>
      </c>
      <c r="B4" s="34" t="s">
        <v>24</v>
      </c>
      <c r="C4" s="35">
        <v>1467033.0</v>
      </c>
      <c r="D4" s="35">
        <v>9205.0</v>
      </c>
      <c r="E4" s="40">
        <f t="shared" si="1"/>
        <v>0.006274569147</v>
      </c>
      <c r="F4" s="43">
        <v>1504008.0</v>
      </c>
      <c r="G4" s="46"/>
      <c r="H4" s="47">
        <f t="shared" si="2"/>
        <v>0.9754156893</v>
      </c>
      <c r="I4" s="47">
        <v>0.0401</v>
      </c>
      <c r="J4" s="48"/>
      <c r="K4" s="48"/>
      <c r="L4" s="48"/>
      <c r="M4" s="46"/>
      <c r="N4" s="43">
        <v>1.0</v>
      </c>
      <c r="O4" s="43">
        <v>1.0</v>
      </c>
      <c r="P4" s="50">
        <f t="shared" si="3"/>
        <v>0</v>
      </c>
      <c r="Q4" s="51"/>
      <c r="R4" s="47">
        <v>0.3321</v>
      </c>
      <c r="S4" s="53">
        <v>1.53</v>
      </c>
      <c r="T4" s="55">
        <v>0.0013425925925925925</v>
      </c>
      <c r="U4" s="50">
        <f t="shared" si="4"/>
        <v>0</v>
      </c>
      <c r="V4" s="50"/>
      <c r="W4" s="50"/>
      <c r="X4" s="63"/>
    </row>
    <row r="5">
      <c r="A5" s="68" t="s">
        <v>44</v>
      </c>
      <c r="B5" s="34" t="s">
        <v>24</v>
      </c>
      <c r="C5" s="35">
        <v>1911230.0</v>
      </c>
      <c r="D5" s="35">
        <v>24648.0</v>
      </c>
      <c r="E5" s="40">
        <f t="shared" si="1"/>
        <v>0.01289640703</v>
      </c>
      <c r="F5" s="43">
        <v>2110511.0</v>
      </c>
      <c r="G5" s="46"/>
      <c r="H5" s="47">
        <f t="shared" si="2"/>
        <v>0.9055768958</v>
      </c>
      <c r="I5" s="47">
        <v>0.0692</v>
      </c>
      <c r="J5" s="48"/>
      <c r="K5" s="48"/>
      <c r="L5" s="48"/>
      <c r="M5" s="46"/>
      <c r="N5" s="43">
        <v>0.0</v>
      </c>
      <c r="O5" s="43">
        <v>0.0</v>
      </c>
      <c r="P5" s="50">
        <f t="shared" si="3"/>
        <v>0</v>
      </c>
      <c r="Q5" s="51"/>
      <c r="R5" s="47">
        <v>0.2165</v>
      </c>
      <c r="S5" s="53">
        <v>1.32</v>
      </c>
      <c r="T5" s="55">
        <v>0.0016782407407407408</v>
      </c>
      <c r="U5" s="50">
        <f t="shared" si="4"/>
        <v>0</v>
      </c>
      <c r="V5" s="50"/>
      <c r="W5" s="50"/>
      <c r="X5" s="63"/>
    </row>
    <row r="6">
      <c r="A6" s="68" t="s">
        <v>35</v>
      </c>
      <c r="B6" s="34" t="s">
        <v>24</v>
      </c>
      <c r="C6" s="35">
        <v>1786421.0</v>
      </c>
      <c r="D6" s="35">
        <v>1426.0</v>
      </c>
      <c r="E6" s="40">
        <f t="shared" si="1"/>
        <v>0.0007982440869</v>
      </c>
      <c r="F6" s="43">
        <v>1926131.0</v>
      </c>
      <c r="G6" s="46"/>
      <c r="H6" s="47">
        <f t="shared" si="2"/>
        <v>0.9274659927</v>
      </c>
      <c r="I6" s="47">
        <v>0.0624</v>
      </c>
      <c r="J6" s="48"/>
      <c r="K6" s="48"/>
      <c r="L6" s="48"/>
      <c r="M6" s="46"/>
      <c r="N6" s="43">
        <v>0.0</v>
      </c>
      <c r="O6" s="43">
        <v>0.0</v>
      </c>
      <c r="P6" s="50">
        <f t="shared" si="3"/>
        <v>0</v>
      </c>
      <c r="Q6" s="51"/>
      <c r="R6" s="47">
        <v>0.4275</v>
      </c>
      <c r="S6" s="53">
        <v>1.88</v>
      </c>
      <c r="T6" s="55">
        <v>0.0015393518518518519</v>
      </c>
      <c r="U6" s="50">
        <f t="shared" si="4"/>
        <v>0</v>
      </c>
      <c r="V6" s="50"/>
      <c r="W6" s="50"/>
      <c r="X6" s="63"/>
    </row>
    <row r="7">
      <c r="A7" s="68" t="s">
        <v>47</v>
      </c>
      <c r="B7" s="34" t="s">
        <v>24</v>
      </c>
      <c r="C7" s="35" t="s">
        <v>49</v>
      </c>
      <c r="D7" s="35" t="s">
        <v>50</v>
      </c>
      <c r="E7" s="40" t="str">
        <f t="shared" si="1"/>
        <v>-</v>
      </c>
      <c r="F7" s="43">
        <v>1749866.0</v>
      </c>
      <c r="G7" s="46"/>
      <c r="H7" s="47" t="str">
        <f t="shared" si="2"/>
        <v>-</v>
      </c>
      <c r="I7" s="47">
        <v>0.1236</v>
      </c>
      <c r="J7" s="48"/>
      <c r="K7" s="48"/>
      <c r="L7" s="48"/>
      <c r="M7" s="46"/>
      <c r="N7" s="43">
        <v>0.0</v>
      </c>
      <c r="O7" s="43">
        <v>0.0</v>
      </c>
      <c r="P7" s="50">
        <v>0.0</v>
      </c>
      <c r="Q7" s="51"/>
      <c r="R7" s="47">
        <v>0.47</v>
      </c>
      <c r="S7" s="53">
        <v>1.38</v>
      </c>
      <c r="T7" s="55">
        <v>0.0014583333333333334</v>
      </c>
      <c r="U7" s="50">
        <f t="shared" si="4"/>
        <v>0</v>
      </c>
      <c r="V7" s="50"/>
      <c r="W7" s="50"/>
      <c r="X7" s="63"/>
    </row>
    <row r="8">
      <c r="A8" s="68" t="s">
        <v>51</v>
      </c>
      <c r="B8" s="34" t="s">
        <v>24</v>
      </c>
      <c r="C8" s="35">
        <v>1926970.0</v>
      </c>
      <c r="D8" s="35">
        <v>2525.0</v>
      </c>
      <c r="E8" s="40">
        <f t="shared" si="1"/>
        <v>0.001310347333</v>
      </c>
      <c r="F8" s="43">
        <v>478681.0</v>
      </c>
      <c r="G8" s="43">
        <v>2066667.0</v>
      </c>
      <c r="H8" s="47">
        <f t="shared" si="2"/>
        <v>4.025582799</v>
      </c>
      <c r="I8" s="47">
        <v>0.11</v>
      </c>
      <c r="J8" s="48"/>
      <c r="K8" s="48"/>
      <c r="L8" s="48"/>
      <c r="M8" s="46"/>
      <c r="N8" s="43">
        <v>0.0</v>
      </c>
      <c r="O8" s="43">
        <v>0.0</v>
      </c>
      <c r="P8" s="50">
        <v>0.0</v>
      </c>
      <c r="Q8" s="51"/>
      <c r="R8" s="47">
        <v>0.4346</v>
      </c>
      <c r="S8" s="53">
        <v>1.25</v>
      </c>
      <c r="T8" s="55">
        <v>8.564814814814815E-4</v>
      </c>
      <c r="U8" s="50">
        <f t="shared" si="4"/>
        <v>0</v>
      </c>
      <c r="V8" s="85"/>
      <c r="W8" s="50"/>
      <c r="X8" s="63"/>
    </row>
    <row r="9">
      <c r="A9" s="68" t="s">
        <v>45</v>
      </c>
      <c r="B9" s="34" t="s">
        <v>24</v>
      </c>
      <c r="C9" s="35">
        <v>1.0717521E7</v>
      </c>
      <c r="D9" s="35">
        <v>20102.0</v>
      </c>
      <c r="E9" s="40">
        <f t="shared" si="1"/>
        <v>0.001875620304</v>
      </c>
      <c r="F9" s="43">
        <v>50437.0</v>
      </c>
      <c r="G9" s="46"/>
      <c r="H9" s="47">
        <f t="shared" si="2"/>
        <v>212.4932292</v>
      </c>
      <c r="I9" s="47">
        <v>0.026</v>
      </c>
      <c r="J9" s="48"/>
      <c r="K9" s="48"/>
      <c r="L9" s="48"/>
      <c r="M9" s="46"/>
      <c r="N9" s="43">
        <v>0.0</v>
      </c>
      <c r="O9" s="43">
        <v>0.0</v>
      </c>
      <c r="P9" s="50">
        <f>IFERROR(V9/D9,"-")</f>
        <v>0</v>
      </c>
      <c r="Q9" s="51"/>
      <c r="R9" s="47">
        <v>0.4153</v>
      </c>
      <c r="S9" s="53">
        <v>1.64</v>
      </c>
      <c r="T9" s="55">
        <v>0.0013425925925925925</v>
      </c>
      <c r="U9" s="50">
        <f t="shared" si="4"/>
        <v>0</v>
      </c>
      <c r="V9" s="50"/>
      <c r="W9" s="50"/>
      <c r="X9" s="63"/>
    </row>
    <row r="10">
      <c r="A10" s="97" t="s">
        <v>46</v>
      </c>
      <c r="C10" s="98">
        <f t="shared" ref="C10:D10" si="5">SUM(C2:C9)</f>
        <v>33691742</v>
      </c>
      <c r="D10" s="98">
        <f t="shared" si="5"/>
        <v>84795</v>
      </c>
      <c r="E10" s="99">
        <f t="shared" si="1"/>
        <v>0.002516788832</v>
      </c>
      <c r="F10" s="98">
        <f t="shared" ref="F10:G10" si="6">SUM(F2:F9)</f>
        <v>24259306</v>
      </c>
      <c r="G10" s="98">
        <f t="shared" si="6"/>
        <v>2066667</v>
      </c>
      <c r="H10" s="99">
        <f t="shared" si="2"/>
        <v>1.388817223</v>
      </c>
      <c r="I10" s="99">
        <f t="shared" ref="I10:L10" si="7">AVERAGE(I2:I9)</f>
        <v>0.053925</v>
      </c>
      <c r="J10" s="99" t="str">
        <f t="shared" si="7"/>
        <v>#DIV/0!</v>
      </c>
      <c r="K10" s="99" t="str">
        <f t="shared" si="7"/>
        <v>#DIV/0!</v>
      </c>
      <c r="L10" s="99" t="str">
        <f t="shared" si="7"/>
        <v>#DIV/0!</v>
      </c>
      <c r="M10" s="98">
        <f t="shared" ref="M10:O10" si="8">SUM(M2:M9)</f>
        <v>0</v>
      </c>
      <c r="N10" s="98">
        <f t="shared" si="8"/>
        <v>2</v>
      </c>
      <c r="O10" s="98">
        <f t="shared" si="8"/>
        <v>1</v>
      </c>
      <c r="P10" s="101">
        <f>V10/D10</f>
        <v>0</v>
      </c>
      <c r="Q10" s="98">
        <f>SUM(Q2:Q9)</f>
        <v>0</v>
      </c>
      <c r="R10" s="99">
        <f t="shared" ref="R10:T10" si="9">AVERAGE(R2:R9)</f>
        <v>0.383675</v>
      </c>
      <c r="S10" s="103">
        <f t="shared" si="9"/>
        <v>1.385</v>
      </c>
      <c r="T10" s="104">
        <f t="shared" si="9"/>
        <v>0.001339699074</v>
      </c>
      <c r="U10" s="105">
        <f t="shared" si="4"/>
        <v>0</v>
      </c>
      <c r="V10" s="101"/>
      <c r="W10" s="105"/>
      <c r="X10" s="107">
        <f>U10/(G10/1000)</f>
        <v>0</v>
      </c>
    </row>
    <row r="11">
      <c r="A11" s="68" t="s">
        <v>68</v>
      </c>
      <c r="B11" s="34" t="s">
        <v>53</v>
      </c>
      <c r="C11" s="35">
        <v>36495.0</v>
      </c>
      <c r="D11" s="35">
        <v>16.0</v>
      </c>
      <c r="E11" s="40">
        <f t="shared" si="1"/>
        <v>0.0004384162214</v>
      </c>
      <c r="F11" s="43">
        <v>27907.0</v>
      </c>
      <c r="G11" s="43">
        <v>153800.0</v>
      </c>
      <c r="H11" s="47">
        <f t="shared" si="2"/>
        <v>1.30773641</v>
      </c>
      <c r="I11" s="47">
        <v>0.0268</v>
      </c>
      <c r="J11" s="48"/>
      <c r="K11" s="48"/>
      <c r="L11" s="48"/>
      <c r="M11" s="46"/>
      <c r="N11" s="43">
        <v>0.0</v>
      </c>
      <c r="O11" s="43">
        <v>0.0</v>
      </c>
      <c r="P11" s="50">
        <f t="shared" ref="P11:P21" si="10">IFERROR(V11/D11,"-")</f>
        <v>0</v>
      </c>
      <c r="Q11" s="51"/>
      <c r="R11" s="47">
        <v>0.2143</v>
      </c>
      <c r="S11" s="53">
        <v>2.14</v>
      </c>
      <c r="T11" s="55">
        <v>8.449074074074074E-4</v>
      </c>
      <c r="U11" s="50">
        <f t="shared" si="4"/>
        <v>0</v>
      </c>
      <c r="V11" s="50"/>
      <c r="W11" s="50"/>
      <c r="X11" s="63"/>
    </row>
    <row r="12">
      <c r="A12" s="68" t="s">
        <v>70</v>
      </c>
      <c r="B12" s="34" t="s">
        <v>53</v>
      </c>
      <c r="C12" s="35">
        <v>2380953.0</v>
      </c>
      <c r="D12" s="35">
        <v>14330.0</v>
      </c>
      <c r="E12" s="40">
        <f t="shared" si="1"/>
        <v>0.006018598435</v>
      </c>
      <c r="F12" s="43">
        <v>0.0</v>
      </c>
      <c r="G12" s="43">
        <v>2380953.0</v>
      </c>
      <c r="H12" s="47" t="str">
        <f t="shared" si="2"/>
        <v>-</v>
      </c>
      <c r="I12" s="47" t="s">
        <v>71</v>
      </c>
      <c r="J12" s="48"/>
      <c r="K12" s="48"/>
      <c r="L12" s="48"/>
      <c r="M12" s="46"/>
      <c r="N12" s="43">
        <v>0.0</v>
      </c>
      <c r="O12" s="43">
        <v>0.0</v>
      </c>
      <c r="P12" s="50">
        <f t="shared" si="10"/>
        <v>0</v>
      </c>
      <c r="Q12" s="51"/>
      <c r="R12" s="47">
        <v>0.5933</v>
      </c>
      <c r="S12" s="53">
        <v>1.31</v>
      </c>
      <c r="T12" s="55">
        <v>8.680555555555555E-4</v>
      </c>
      <c r="U12" s="50">
        <f t="shared" si="4"/>
        <v>0</v>
      </c>
      <c r="V12" s="50"/>
      <c r="W12" s="50"/>
      <c r="X12" s="63"/>
    </row>
    <row r="13">
      <c r="A13" s="68" t="s">
        <v>73</v>
      </c>
      <c r="B13" s="34" t="s">
        <v>53</v>
      </c>
      <c r="C13" s="35">
        <v>1503727.0</v>
      </c>
      <c r="D13" s="35">
        <v>26320.0</v>
      </c>
      <c r="E13" s="40">
        <f t="shared" si="1"/>
        <v>0.01750317711</v>
      </c>
      <c r="F13" s="43">
        <v>1735697.0</v>
      </c>
      <c r="G13" s="43">
        <v>929000.0</v>
      </c>
      <c r="H13" s="47">
        <f t="shared" si="2"/>
        <v>0.8663534015</v>
      </c>
      <c r="I13" s="47">
        <v>0.09708964881777836</v>
      </c>
      <c r="J13" s="48"/>
      <c r="K13" s="48"/>
      <c r="L13" s="48"/>
      <c r="M13" s="46"/>
      <c r="N13" s="43">
        <v>3.0</v>
      </c>
      <c r="O13" s="43">
        <v>0.0</v>
      </c>
      <c r="P13" s="50">
        <f t="shared" si="10"/>
        <v>0</v>
      </c>
      <c r="Q13" s="51"/>
      <c r="R13" s="47">
        <v>0.1867</v>
      </c>
      <c r="S13" s="53">
        <v>1.53</v>
      </c>
      <c r="T13" s="55">
        <v>0.0014930555555555556</v>
      </c>
      <c r="U13" s="50">
        <f t="shared" si="4"/>
        <v>0</v>
      </c>
      <c r="V13" s="50"/>
      <c r="W13" s="50"/>
      <c r="X13" s="63"/>
    </row>
    <row r="14">
      <c r="A14" s="68" t="s">
        <v>74</v>
      </c>
      <c r="B14" s="34" t="s">
        <v>53</v>
      </c>
      <c r="C14" s="35">
        <v>923398.0</v>
      </c>
      <c r="D14" s="35">
        <v>16816.0</v>
      </c>
      <c r="E14" s="40">
        <f t="shared" si="1"/>
        <v>0.01821099894</v>
      </c>
      <c r="F14" s="43">
        <v>1063301.0</v>
      </c>
      <c r="G14" s="43">
        <v>1494256.0</v>
      </c>
      <c r="H14" s="47">
        <f t="shared" si="2"/>
        <v>0.8684257797</v>
      </c>
      <c r="I14" s="47">
        <v>0.11766012226295197</v>
      </c>
      <c r="J14" s="48"/>
      <c r="K14" s="48"/>
      <c r="L14" s="48"/>
      <c r="M14" s="46"/>
      <c r="N14" s="43">
        <v>0.0</v>
      </c>
      <c r="O14" s="43">
        <v>0.0</v>
      </c>
      <c r="P14" s="50">
        <f t="shared" si="10"/>
        <v>0</v>
      </c>
      <c r="Q14" s="51"/>
      <c r="R14" s="47">
        <v>0.1889</v>
      </c>
      <c r="S14" s="53">
        <v>1.35</v>
      </c>
      <c r="T14" s="55">
        <v>0.0013194444444444445</v>
      </c>
      <c r="U14" s="50">
        <f t="shared" si="4"/>
        <v>0</v>
      </c>
      <c r="V14" s="50"/>
      <c r="W14" s="50"/>
      <c r="X14" s="63"/>
    </row>
    <row r="15">
      <c r="A15" s="120" t="s">
        <v>44</v>
      </c>
      <c r="B15" s="34" t="s">
        <v>53</v>
      </c>
      <c r="C15" s="35">
        <v>3331337.0</v>
      </c>
      <c r="D15" s="35">
        <v>44503.0</v>
      </c>
      <c r="E15" s="40">
        <f t="shared" si="1"/>
        <v>0.01335890065</v>
      </c>
      <c r="F15" s="43">
        <v>3680186.0</v>
      </c>
      <c r="G15" s="43">
        <v>3333334.0</v>
      </c>
      <c r="H15" s="47">
        <f t="shared" si="2"/>
        <v>0.9052088672</v>
      </c>
      <c r="I15" s="47">
        <v>0.07265904049496624</v>
      </c>
      <c r="J15" s="48"/>
      <c r="K15" s="48"/>
      <c r="L15" s="48"/>
      <c r="M15" s="46"/>
      <c r="N15" s="43">
        <v>1.0</v>
      </c>
      <c r="O15" s="43">
        <v>1.0</v>
      </c>
      <c r="P15" s="50">
        <f t="shared" si="10"/>
        <v>0</v>
      </c>
      <c r="Q15" s="51"/>
      <c r="R15" s="47">
        <v>0.2202</v>
      </c>
      <c r="S15" s="53">
        <v>1.68</v>
      </c>
      <c r="T15" s="55">
        <v>0.0012962962962962963</v>
      </c>
      <c r="U15" s="50">
        <f t="shared" si="4"/>
        <v>0</v>
      </c>
      <c r="V15" s="50"/>
      <c r="W15" s="50"/>
      <c r="X15" s="63"/>
    </row>
    <row r="16">
      <c r="A16" s="68" t="s">
        <v>58</v>
      </c>
      <c r="B16" s="34" t="s">
        <v>53</v>
      </c>
      <c r="C16" s="35">
        <v>1309234.0</v>
      </c>
      <c r="D16" s="35">
        <v>2206.0</v>
      </c>
      <c r="E16" s="40">
        <f t="shared" si="1"/>
        <v>0.001684954714</v>
      </c>
      <c r="F16" s="43">
        <v>1295278.0</v>
      </c>
      <c r="G16" s="43">
        <v>1309130.0</v>
      </c>
      <c r="H16" s="47">
        <f t="shared" si="2"/>
        <v>1.010774521</v>
      </c>
      <c r="I16" s="47">
        <v>0.0581</v>
      </c>
      <c r="J16" s="48"/>
      <c r="K16" s="48"/>
      <c r="L16" s="48"/>
      <c r="M16" s="46"/>
      <c r="N16" s="43">
        <v>0.0</v>
      </c>
      <c r="O16" s="43">
        <v>0.0</v>
      </c>
      <c r="P16" s="50">
        <f t="shared" si="10"/>
        <v>0</v>
      </c>
      <c r="Q16" s="51"/>
      <c r="R16" s="47">
        <v>0.5273</v>
      </c>
      <c r="S16" s="53">
        <v>1.42</v>
      </c>
      <c r="T16" s="55">
        <v>0.0014236111111111112</v>
      </c>
      <c r="U16" s="50">
        <f t="shared" si="4"/>
        <v>0</v>
      </c>
      <c r="V16" s="50"/>
      <c r="W16" s="50"/>
      <c r="X16" s="63"/>
    </row>
    <row r="17">
      <c r="A17" s="68" t="s">
        <v>35</v>
      </c>
      <c r="B17" s="34" t="s">
        <v>53</v>
      </c>
      <c r="C17" s="35">
        <v>2267696.0</v>
      </c>
      <c r="D17" s="35">
        <v>1553.0</v>
      </c>
      <c r="E17" s="40">
        <f t="shared" si="1"/>
        <v>0.0006848360627</v>
      </c>
      <c r="F17" s="43">
        <v>2465945.0</v>
      </c>
      <c r="G17" s="43">
        <v>1900353.0</v>
      </c>
      <c r="H17" s="47">
        <f t="shared" si="2"/>
        <v>0.9196052629</v>
      </c>
      <c r="I17" s="47">
        <v>0.0541</v>
      </c>
      <c r="J17" s="48"/>
      <c r="K17" s="48"/>
      <c r="L17" s="48"/>
      <c r="M17" s="46"/>
      <c r="N17" s="43">
        <v>0.0</v>
      </c>
      <c r="O17" s="43">
        <v>0.0</v>
      </c>
      <c r="P17" s="50">
        <f t="shared" si="10"/>
        <v>0</v>
      </c>
      <c r="Q17" s="51"/>
      <c r="R17" s="47">
        <v>0.5422</v>
      </c>
      <c r="S17" s="53">
        <v>1.67</v>
      </c>
      <c r="T17" s="55">
        <v>0.0013425925925925925</v>
      </c>
      <c r="U17" s="50">
        <f t="shared" si="4"/>
        <v>0</v>
      </c>
      <c r="V17" s="50"/>
      <c r="W17" s="50"/>
      <c r="X17" s="63"/>
    </row>
    <row r="18">
      <c r="A18" s="68" t="s">
        <v>47</v>
      </c>
      <c r="B18" s="34" t="s">
        <v>53</v>
      </c>
      <c r="C18" s="35">
        <v>2609041.0</v>
      </c>
      <c r="D18" s="35">
        <v>3368.0</v>
      </c>
      <c r="E18" s="40">
        <f t="shared" si="1"/>
        <v>0.001290895774</v>
      </c>
      <c r="F18" s="43">
        <v>2692316.0</v>
      </c>
      <c r="G18" s="43">
        <v>3998661.0</v>
      </c>
      <c r="H18" s="47">
        <f t="shared" si="2"/>
        <v>0.9690693812</v>
      </c>
      <c r="I18" s="47">
        <v>0.131</v>
      </c>
      <c r="J18" s="48"/>
      <c r="K18" s="48"/>
      <c r="L18" s="48"/>
      <c r="M18" s="46"/>
      <c r="N18" s="43">
        <v>0.0</v>
      </c>
      <c r="O18" s="43">
        <v>0.0</v>
      </c>
      <c r="P18" s="50">
        <f t="shared" si="10"/>
        <v>0</v>
      </c>
      <c r="Q18" s="51"/>
      <c r="R18" s="47">
        <v>0.4839</v>
      </c>
      <c r="S18" s="53">
        <v>1.63</v>
      </c>
      <c r="T18" s="55">
        <v>0.0016087962962962963</v>
      </c>
      <c r="U18" s="134"/>
      <c r="V18" s="50"/>
      <c r="W18" s="134"/>
      <c r="X18" s="63"/>
    </row>
    <row r="19">
      <c r="A19" s="68" t="s">
        <v>61</v>
      </c>
      <c r="B19" s="34" t="s">
        <v>53</v>
      </c>
      <c r="C19" s="35">
        <v>777277.0</v>
      </c>
      <c r="D19" s="35">
        <v>2084.0</v>
      </c>
      <c r="E19" s="40">
        <f t="shared" si="1"/>
        <v>0.002681154852</v>
      </c>
      <c r="F19" s="43">
        <v>0.0</v>
      </c>
      <c r="G19" s="43">
        <v>597989.0</v>
      </c>
      <c r="H19" s="47" t="str">
        <f t="shared" si="2"/>
        <v>-</v>
      </c>
      <c r="I19" s="47" t="s">
        <v>71</v>
      </c>
      <c r="J19" s="48"/>
      <c r="K19" s="48"/>
      <c r="L19" s="48"/>
      <c r="M19" s="46"/>
      <c r="N19" s="43">
        <v>0.0</v>
      </c>
      <c r="O19" s="43">
        <v>0.0</v>
      </c>
      <c r="P19" s="50">
        <f t="shared" si="10"/>
        <v>0</v>
      </c>
      <c r="Q19" s="51"/>
      <c r="R19" s="47" t="s">
        <v>71</v>
      </c>
      <c r="S19" s="53" t="s">
        <v>67</v>
      </c>
      <c r="T19" s="55" t="s">
        <v>67</v>
      </c>
      <c r="U19" s="134"/>
      <c r="V19" s="50"/>
      <c r="W19" s="134"/>
      <c r="X19" s="63"/>
    </row>
    <row r="20">
      <c r="A20" s="68" t="s">
        <v>45</v>
      </c>
      <c r="B20" s="34" t="s">
        <v>53</v>
      </c>
      <c r="C20" s="35">
        <v>2.1266667E7</v>
      </c>
      <c r="D20" s="35">
        <v>69274.0</v>
      </c>
      <c r="E20" s="40">
        <f t="shared" si="1"/>
        <v>0.003257398068</v>
      </c>
      <c r="F20" s="43">
        <v>164809.0</v>
      </c>
      <c r="G20" s="43">
        <v>1.2614646E7</v>
      </c>
      <c r="H20" s="47">
        <f t="shared" si="2"/>
        <v>129.0382625</v>
      </c>
      <c r="I20" s="47">
        <v>0.0234</v>
      </c>
      <c r="J20" s="48"/>
      <c r="K20" s="48"/>
      <c r="L20" s="48"/>
      <c r="M20" s="46"/>
      <c r="N20" s="43">
        <v>4.0</v>
      </c>
      <c r="O20" s="43">
        <v>0.0</v>
      </c>
      <c r="P20" s="50">
        <f t="shared" si="10"/>
        <v>0</v>
      </c>
      <c r="Q20" s="51"/>
      <c r="R20" s="47">
        <v>0.4821</v>
      </c>
      <c r="S20" s="53">
        <v>1.33</v>
      </c>
      <c r="T20" s="55">
        <v>0.0010185185185185184</v>
      </c>
      <c r="U20" s="134"/>
      <c r="V20" s="50"/>
      <c r="W20" s="134"/>
      <c r="X20" s="63"/>
    </row>
    <row r="21">
      <c r="A21" s="68" t="s">
        <v>79</v>
      </c>
      <c r="B21" s="34" t="s">
        <v>53</v>
      </c>
      <c r="C21" s="35">
        <v>3832519.0</v>
      </c>
      <c r="D21" s="35">
        <v>36187.0</v>
      </c>
      <c r="E21" s="40">
        <f t="shared" si="1"/>
        <v>0.009442092785</v>
      </c>
      <c r="F21" s="43">
        <v>33294.0</v>
      </c>
      <c r="G21" s="43">
        <v>3249335.0</v>
      </c>
      <c r="H21" s="47">
        <f t="shared" si="2"/>
        <v>115.1114015</v>
      </c>
      <c r="I21" s="47">
        <v>0.0157</v>
      </c>
      <c r="J21" s="48"/>
      <c r="K21" s="48"/>
      <c r="L21" s="48"/>
      <c r="M21" s="46"/>
      <c r="N21" s="43">
        <v>1.0</v>
      </c>
      <c r="O21" s="43">
        <v>0.0</v>
      </c>
      <c r="P21" s="50">
        <f t="shared" si="10"/>
        <v>0</v>
      </c>
      <c r="Q21" s="51"/>
      <c r="R21" s="47">
        <v>0.1765</v>
      </c>
      <c r="S21" s="53">
        <v>2.29</v>
      </c>
      <c r="T21" s="55">
        <v>0.0021180555555555558</v>
      </c>
      <c r="U21" s="134"/>
      <c r="V21" s="50"/>
      <c r="W21" s="134"/>
      <c r="X21" s="63"/>
    </row>
    <row r="22">
      <c r="A22" s="97" t="s">
        <v>46</v>
      </c>
      <c r="C22" s="98">
        <f t="shared" ref="C22:D22" si="11">SUM(C11:C21)</f>
        <v>40238344</v>
      </c>
      <c r="D22" s="98">
        <f t="shared" si="11"/>
        <v>216657</v>
      </c>
      <c r="E22" s="99">
        <f t="shared" si="1"/>
        <v>0.005384341861</v>
      </c>
      <c r="F22" s="98">
        <f t="shared" ref="F22:G22" si="12">SUM(F11:F21)</f>
        <v>13158733</v>
      </c>
      <c r="G22" s="98">
        <f t="shared" si="12"/>
        <v>31961457</v>
      </c>
      <c r="H22" s="140"/>
      <c r="I22" s="99">
        <f t="shared" ref="I22:L22" si="13">AVERAGE(I11:I21)</f>
        <v>0.06627875684</v>
      </c>
      <c r="J22" s="99" t="str">
        <f t="shared" si="13"/>
        <v>#DIV/0!</v>
      </c>
      <c r="K22" s="99" t="str">
        <f t="shared" si="13"/>
        <v>#DIV/0!</v>
      </c>
      <c r="L22" s="99" t="str">
        <f t="shared" si="13"/>
        <v>#DIV/0!</v>
      </c>
      <c r="M22" s="98">
        <f t="shared" ref="M22:O22" si="14">SUM(M11:M21)</f>
        <v>0</v>
      </c>
      <c r="N22" s="98">
        <f t="shared" si="14"/>
        <v>9</v>
      </c>
      <c r="O22" s="98">
        <f t="shared" si="14"/>
        <v>1</v>
      </c>
      <c r="P22" s="101">
        <f>V22/D22</f>
        <v>0</v>
      </c>
      <c r="Q22" s="98">
        <f>SUM(Q11:Q21)</f>
        <v>0</v>
      </c>
      <c r="R22" s="99">
        <f t="shared" ref="R22:T22" si="15">AVERAGE(R11:R21)</f>
        <v>0.36154</v>
      </c>
      <c r="S22" s="103">
        <f t="shared" si="15"/>
        <v>1.635</v>
      </c>
      <c r="T22" s="104">
        <f t="shared" si="15"/>
        <v>0.001333333333</v>
      </c>
      <c r="U22" s="101">
        <f t="shared" ref="U22:U33" si="16">V22/1.22</f>
        <v>0</v>
      </c>
      <c r="V22" s="101"/>
      <c r="W22" s="101"/>
      <c r="X22" s="107">
        <f>U22/(G22/1000)</f>
        <v>0</v>
      </c>
    </row>
    <row r="23">
      <c r="A23" s="68" t="s">
        <v>82</v>
      </c>
      <c r="B23" s="34" t="s">
        <v>62</v>
      </c>
      <c r="C23" s="35">
        <v>5089617.0</v>
      </c>
      <c r="D23" s="35">
        <v>12788.0</v>
      </c>
      <c r="E23" s="40">
        <f t="shared" si="1"/>
        <v>0.00251256627</v>
      </c>
      <c r="F23" s="43">
        <v>5146644.0</v>
      </c>
      <c r="G23" s="43">
        <v>4809691.0</v>
      </c>
      <c r="H23" s="47">
        <f t="shared" ref="H23:H24" si="17">IFERROR(C23/F23,"-")</f>
        <v>0.9889195756</v>
      </c>
      <c r="I23" s="47">
        <v>0.0</v>
      </c>
      <c r="J23" s="48"/>
      <c r="K23" s="48"/>
      <c r="L23" s="48"/>
      <c r="M23" s="46"/>
      <c r="N23" s="43">
        <v>0.0</v>
      </c>
      <c r="O23" s="43">
        <v>0.0</v>
      </c>
      <c r="P23" s="50">
        <f t="shared" ref="P23:P24" si="18">IFERROR(V23/D23,"-")</f>
        <v>0</v>
      </c>
      <c r="Q23" s="51"/>
      <c r="R23" s="47">
        <v>0.49585</v>
      </c>
      <c r="S23" s="53">
        <v>1.04</v>
      </c>
      <c r="T23" s="55">
        <v>0.00109375</v>
      </c>
      <c r="U23" s="50">
        <f t="shared" si="16"/>
        <v>0</v>
      </c>
      <c r="V23" s="50"/>
      <c r="W23" s="50"/>
      <c r="X23" s="63"/>
    </row>
    <row r="24">
      <c r="A24" s="68" t="s">
        <v>40</v>
      </c>
      <c r="B24" s="34" t="s">
        <v>62</v>
      </c>
      <c r="C24" s="35">
        <v>1.1664732E7</v>
      </c>
      <c r="D24" s="35">
        <v>22814.0</v>
      </c>
      <c r="E24" s="40">
        <f t="shared" si="1"/>
        <v>0.001955810043</v>
      </c>
      <c r="F24" s="43">
        <v>1.2054211E7</v>
      </c>
      <c r="G24" s="43">
        <v>8879091.0</v>
      </c>
      <c r="H24" s="47">
        <f t="shared" si="17"/>
        <v>0.9676893826</v>
      </c>
      <c r="I24" s="47">
        <v>1.0E-4</v>
      </c>
      <c r="J24" s="48"/>
      <c r="K24" s="48"/>
      <c r="L24" s="48"/>
      <c r="M24" s="46"/>
      <c r="N24" s="43">
        <v>0.0</v>
      </c>
      <c r="O24" s="43">
        <v>0.0</v>
      </c>
      <c r="P24" s="50">
        <f t="shared" si="18"/>
        <v>0</v>
      </c>
      <c r="Q24" s="51"/>
      <c r="R24" s="47">
        <v>0.3696</v>
      </c>
      <c r="S24" s="53">
        <v>1.04</v>
      </c>
      <c r="T24" s="55">
        <v>0.0013194444444444445</v>
      </c>
      <c r="U24" s="50">
        <f t="shared" si="16"/>
        <v>0</v>
      </c>
      <c r="V24" s="50"/>
      <c r="W24" s="50"/>
      <c r="X24" s="63"/>
    </row>
    <row r="25">
      <c r="A25" s="120" t="s">
        <v>85</v>
      </c>
      <c r="B25" s="34" t="s">
        <v>62</v>
      </c>
      <c r="C25" s="35" t="s">
        <v>67</v>
      </c>
      <c r="D25" s="35" t="s">
        <v>67</v>
      </c>
      <c r="E25" s="143" t="s">
        <v>71</v>
      </c>
      <c r="F25" s="43" t="s">
        <v>67</v>
      </c>
      <c r="G25" s="43" t="s">
        <v>67</v>
      </c>
      <c r="H25" s="143" t="s">
        <v>71</v>
      </c>
      <c r="I25" s="143" t="s">
        <v>71</v>
      </c>
      <c r="J25" s="143" t="s">
        <v>71</v>
      </c>
      <c r="K25" s="143" t="s">
        <v>71</v>
      </c>
      <c r="L25" s="143" t="s">
        <v>71</v>
      </c>
      <c r="M25" s="43" t="s">
        <v>67</v>
      </c>
      <c r="N25" s="43" t="s">
        <v>67</v>
      </c>
      <c r="O25" s="43" t="s">
        <v>67</v>
      </c>
      <c r="P25" s="50" t="s">
        <v>67</v>
      </c>
      <c r="Q25" s="53" t="s">
        <v>67</v>
      </c>
      <c r="R25" s="143" t="s">
        <v>71</v>
      </c>
      <c r="S25" s="53" t="s">
        <v>67</v>
      </c>
      <c r="T25" s="143" t="s">
        <v>67</v>
      </c>
      <c r="U25" s="50">
        <f t="shared" si="16"/>
        <v>0</v>
      </c>
      <c r="V25" s="50"/>
      <c r="W25" s="50"/>
      <c r="X25" s="63"/>
    </row>
    <row r="26">
      <c r="A26" s="120" t="s">
        <v>44</v>
      </c>
      <c r="B26" s="34" t="s">
        <v>62</v>
      </c>
      <c r="C26" s="35">
        <v>1555350.0</v>
      </c>
      <c r="D26" s="35">
        <v>20274.0</v>
      </c>
      <c r="E26" s="40">
        <f t="shared" ref="E26:E46" si="19">IFERROR(D26/C26,"-")</f>
        <v>0.0130350082</v>
      </c>
      <c r="F26" s="43">
        <v>1723905.0</v>
      </c>
      <c r="G26" s="43">
        <v>1545822.0</v>
      </c>
      <c r="H26" s="47">
        <f t="shared" ref="H26:H29" si="20">IFERROR(C26/F26,"-")</f>
        <v>0.9022248906</v>
      </c>
      <c r="I26" s="47">
        <v>0.0732</v>
      </c>
      <c r="J26" s="48"/>
      <c r="K26" s="48"/>
      <c r="L26" s="48"/>
      <c r="M26" s="46"/>
      <c r="N26" s="43">
        <v>5.0</v>
      </c>
      <c r="O26" s="43">
        <v>1.0</v>
      </c>
      <c r="P26" s="50">
        <f t="shared" ref="P26:P29" si="21">IFERROR(V26/D26,"-")</f>
        <v>0</v>
      </c>
      <c r="Q26" s="51"/>
      <c r="R26" s="47">
        <v>0.2105</v>
      </c>
      <c r="S26" s="53">
        <v>1.29</v>
      </c>
      <c r="T26" s="55">
        <v>0.001712962962962963</v>
      </c>
      <c r="U26" s="50">
        <f t="shared" si="16"/>
        <v>0</v>
      </c>
      <c r="V26" s="50"/>
      <c r="W26" s="50"/>
      <c r="X26" s="63"/>
    </row>
    <row r="27">
      <c r="A27" s="68" t="s">
        <v>35</v>
      </c>
      <c r="B27" s="34" t="s">
        <v>62</v>
      </c>
      <c r="C27" s="35">
        <v>1966420.0</v>
      </c>
      <c r="D27" s="35">
        <v>1492.0</v>
      </c>
      <c r="E27" s="40">
        <f t="shared" si="19"/>
        <v>0.0007587392317</v>
      </c>
      <c r="F27" s="43">
        <v>2108213.0</v>
      </c>
      <c r="G27" s="43">
        <v>1900219.0</v>
      </c>
      <c r="H27" s="47">
        <f t="shared" si="20"/>
        <v>0.9327425644</v>
      </c>
      <c r="I27" s="47">
        <v>0.0611</v>
      </c>
      <c r="J27" s="48"/>
      <c r="K27" s="48"/>
      <c r="L27" s="48"/>
      <c r="M27" s="46"/>
      <c r="N27" s="43">
        <v>1.0</v>
      </c>
      <c r="O27" s="43">
        <v>0.0</v>
      </c>
      <c r="P27" s="50">
        <f t="shared" si="21"/>
        <v>0</v>
      </c>
      <c r="Q27" s="51"/>
      <c r="R27" s="47">
        <v>0.4463</v>
      </c>
      <c r="S27" s="53">
        <v>1.76</v>
      </c>
      <c r="T27" s="55">
        <v>0.0017824074074074075</v>
      </c>
      <c r="U27" s="50">
        <f t="shared" si="16"/>
        <v>0</v>
      </c>
      <c r="V27" s="50"/>
      <c r="W27" s="50"/>
      <c r="X27" s="63"/>
    </row>
    <row r="28">
      <c r="A28" s="120" t="s">
        <v>47</v>
      </c>
      <c r="B28" s="34" t="s">
        <v>62</v>
      </c>
      <c r="C28" s="35">
        <v>2572888.0</v>
      </c>
      <c r="D28" s="35">
        <v>3307.0</v>
      </c>
      <c r="E28" s="40">
        <f t="shared" si="19"/>
        <v>0.001285326062</v>
      </c>
      <c r="F28" s="43">
        <v>2665638.0</v>
      </c>
      <c r="G28" s="43">
        <v>4359603.0</v>
      </c>
      <c r="H28" s="47">
        <f t="shared" si="20"/>
        <v>0.965205328</v>
      </c>
      <c r="I28" s="47">
        <v>0.0773</v>
      </c>
      <c r="J28" s="48"/>
      <c r="K28" s="48"/>
      <c r="L28" s="48"/>
      <c r="M28" s="46"/>
      <c r="N28" s="43">
        <v>0.0</v>
      </c>
      <c r="O28" s="43">
        <v>0.0</v>
      </c>
      <c r="P28" s="50">
        <f t="shared" si="21"/>
        <v>0</v>
      </c>
      <c r="Q28" s="51"/>
      <c r="R28" s="47">
        <v>0.4318</v>
      </c>
      <c r="S28" s="53">
        <v>1.45</v>
      </c>
      <c r="T28" s="55">
        <v>0.001585648148148148</v>
      </c>
      <c r="U28" s="50">
        <f t="shared" si="16"/>
        <v>0</v>
      </c>
      <c r="V28" s="50"/>
      <c r="W28" s="50"/>
      <c r="X28" s="63"/>
    </row>
    <row r="29">
      <c r="A29" s="120" t="s">
        <v>45</v>
      </c>
      <c r="B29" s="34" t="s">
        <v>62</v>
      </c>
      <c r="C29" s="35">
        <v>6344072.0</v>
      </c>
      <c r="D29" s="35">
        <v>18769.0</v>
      </c>
      <c r="E29" s="40">
        <f t="shared" si="19"/>
        <v>0.002958509929</v>
      </c>
      <c r="F29" s="43">
        <v>57365.0</v>
      </c>
      <c r="G29" s="43">
        <v>4434549.0</v>
      </c>
      <c r="H29" s="47">
        <f t="shared" si="20"/>
        <v>110.5913362</v>
      </c>
      <c r="I29" s="47">
        <v>0.0241</v>
      </c>
      <c r="J29" s="48"/>
      <c r="K29" s="48"/>
      <c r="L29" s="48"/>
      <c r="M29" s="46"/>
      <c r="N29" s="43">
        <v>1.0</v>
      </c>
      <c r="O29" s="43">
        <v>1.0</v>
      </c>
      <c r="P29" s="50">
        <f t="shared" si="21"/>
        <v>0</v>
      </c>
      <c r="Q29" s="51"/>
      <c r="R29" s="47">
        <v>0.3879</v>
      </c>
      <c r="S29" s="53">
        <v>1.44</v>
      </c>
      <c r="T29" s="55">
        <v>0.001238425925925926</v>
      </c>
      <c r="U29" s="50">
        <f t="shared" si="16"/>
        <v>0</v>
      </c>
      <c r="V29" s="50"/>
      <c r="W29" s="50"/>
      <c r="X29" s="63"/>
    </row>
    <row r="30">
      <c r="A30" s="97" t="s">
        <v>46</v>
      </c>
      <c r="C30" s="98">
        <f t="shared" ref="C30:D30" si="22">SUM(C23:C29)</f>
        <v>29193079</v>
      </c>
      <c r="D30" s="98">
        <f t="shared" si="22"/>
        <v>79444</v>
      </c>
      <c r="E30" s="99">
        <f t="shared" si="19"/>
        <v>0.002721329943</v>
      </c>
      <c r="F30" s="98">
        <f t="shared" ref="F30:G30" si="23">SUM(F23:F29)</f>
        <v>23755976</v>
      </c>
      <c r="G30" s="98">
        <f t="shared" si="23"/>
        <v>25928975</v>
      </c>
      <c r="H30" s="140"/>
      <c r="I30" s="99">
        <f t="shared" ref="I30:L30" si="24">AVERAGE(I23:I29)</f>
        <v>0.0393</v>
      </c>
      <c r="J30" s="99" t="str">
        <f t="shared" si="24"/>
        <v>#DIV/0!</v>
      </c>
      <c r="K30" s="99" t="str">
        <f t="shared" si="24"/>
        <v>#DIV/0!</v>
      </c>
      <c r="L30" s="99" t="str">
        <f t="shared" si="24"/>
        <v>#DIV/0!</v>
      </c>
      <c r="M30" s="98">
        <f t="shared" ref="M30:O30" si="25">SUM(M23:M29)</f>
        <v>0</v>
      </c>
      <c r="N30" s="98">
        <f t="shared" si="25"/>
        <v>7</v>
      </c>
      <c r="O30" s="98">
        <f t="shared" si="25"/>
        <v>2</v>
      </c>
      <c r="P30" s="101">
        <f>V30/D30</f>
        <v>0</v>
      </c>
      <c r="Q30" s="98">
        <f>SUM(Q23:Q29)</f>
        <v>0</v>
      </c>
      <c r="R30" s="99">
        <f t="shared" ref="R30:T30" si="26">AVERAGE(R23:R29)</f>
        <v>0.390325</v>
      </c>
      <c r="S30" s="99">
        <f t="shared" si="26"/>
        <v>1.336666667</v>
      </c>
      <c r="T30" s="104">
        <f t="shared" si="26"/>
        <v>0.001455439815</v>
      </c>
      <c r="U30" s="101">
        <f t="shared" si="16"/>
        <v>0</v>
      </c>
      <c r="V30" s="101"/>
      <c r="W30" s="101"/>
      <c r="X30" s="107">
        <f>U30/(G30/1000)</f>
        <v>0</v>
      </c>
    </row>
    <row r="31">
      <c r="A31" s="68" t="s">
        <v>82</v>
      </c>
      <c r="B31" s="34" t="s">
        <v>65</v>
      </c>
      <c r="C31" s="35">
        <v>3632726.0</v>
      </c>
      <c r="D31" s="35">
        <v>8669.0</v>
      </c>
      <c r="E31" s="40">
        <f t="shared" si="19"/>
        <v>0.002386362197</v>
      </c>
      <c r="F31" s="43">
        <v>3651003.0</v>
      </c>
      <c r="G31" s="43">
        <v>3205785.0</v>
      </c>
      <c r="H31" s="47">
        <f t="shared" ref="H31:H34" si="27">IFERROR(C31/F31,"-")</f>
        <v>0.9949939784</v>
      </c>
      <c r="I31" s="47">
        <v>0.0</v>
      </c>
      <c r="J31" s="48"/>
      <c r="K31" s="48"/>
      <c r="L31" s="48"/>
      <c r="M31" s="46"/>
      <c r="N31" s="43">
        <v>0.0</v>
      </c>
      <c r="O31" s="43">
        <v>0.0</v>
      </c>
      <c r="P31" s="50">
        <f t="shared" ref="P31:P34" si="28">IFERROR(V31/D31,"-")</f>
        <v>0</v>
      </c>
      <c r="Q31" s="51"/>
      <c r="R31" s="47">
        <v>0.408</v>
      </c>
      <c r="S31" s="53">
        <v>1.03</v>
      </c>
      <c r="T31" s="55">
        <v>0.0012847222222222223</v>
      </c>
      <c r="U31" s="50">
        <f t="shared" si="16"/>
        <v>0</v>
      </c>
      <c r="V31" s="50"/>
      <c r="W31" s="50"/>
      <c r="X31" s="63"/>
    </row>
    <row r="32">
      <c r="A32" s="68" t="s">
        <v>40</v>
      </c>
      <c r="B32" s="34" t="s">
        <v>65</v>
      </c>
      <c r="C32" s="35">
        <v>7810859.0</v>
      </c>
      <c r="D32" s="35">
        <v>10214.0</v>
      </c>
      <c r="E32" s="40">
        <f t="shared" si="19"/>
        <v>0.001307666673</v>
      </c>
      <c r="F32" s="43">
        <v>7930395.0</v>
      </c>
      <c r="G32" s="43">
        <v>3780058.0</v>
      </c>
      <c r="H32" s="47">
        <f t="shared" si="27"/>
        <v>0.9849268542</v>
      </c>
      <c r="I32" s="47">
        <v>0.0</v>
      </c>
      <c r="J32" s="48"/>
      <c r="K32" s="48"/>
      <c r="L32" s="48"/>
      <c r="M32" s="46"/>
      <c r="N32" s="43">
        <v>0.0</v>
      </c>
      <c r="O32" s="43">
        <v>0.0</v>
      </c>
      <c r="P32" s="50">
        <f t="shared" si="28"/>
        <v>0</v>
      </c>
      <c r="Q32" s="51"/>
      <c r="R32" s="47">
        <v>0.3876</v>
      </c>
      <c r="S32" s="53">
        <v>1.03</v>
      </c>
      <c r="T32" s="55">
        <v>0.0014467592592592592</v>
      </c>
      <c r="U32" s="50">
        <f t="shared" si="16"/>
        <v>0</v>
      </c>
      <c r="V32" s="50"/>
      <c r="W32" s="50"/>
      <c r="X32" s="63"/>
    </row>
    <row r="33">
      <c r="A33" s="120" t="s">
        <v>44</v>
      </c>
      <c r="B33" s="34" t="s">
        <v>65</v>
      </c>
      <c r="C33" s="35">
        <v>2367969.0</v>
      </c>
      <c r="D33" s="35">
        <v>40057.0</v>
      </c>
      <c r="E33" s="40">
        <f t="shared" si="19"/>
        <v>0.01691618429</v>
      </c>
      <c r="F33" s="43">
        <v>2662641.0</v>
      </c>
      <c r="G33" s="43">
        <v>2350974.0</v>
      </c>
      <c r="H33" s="47">
        <f t="shared" si="27"/>
        <v>0.8893309312</v>
      </c>
      <c r="I33" s="47">
        <v>0.0859</v>
      </c>
      <c r="J33" s="48"/>
      <c r="K33" s="48"/>
      <c r="L33" s="48"/>
      <c r="M33" s="46"/>
      <c r="N33" s="43">
        <v>1.0</v>
      </c>
      <c r="O33" s="43">
        <v>0.0</v>
      </c>
      <c r="P33" s="50">
        <f t="shared" si="28"/>
        <v>0</v>
      </c>
      <c r="Q33" s="51"/>
      <c r="R33" s="47">
        <v>0.1928</v>
      </c>
      <c r="S33" s="53">
        <v>1.32</v>
      </c>
      <c r="T33" s="55">
        <v>0.001990740740740741</v>
      </c>
      <c r="U33" s="50">
        <f t="shared" si="16"/>
        <v>0</v>
      </c>
      <c r="V33" s="50"/>
      <c r="W33" s="50"/>
      <c r="X33" s="63"/>
    </row>
    <row r="34">
      <c r="A34" s="120" t="s">
        <v>47</v>
      </c>
      <c r="B34" s="34" t="s">
        <v>65</v>
      </c>
      <c r="C34" s="35">
        <v>1986732.0</v>
      </c>
      <c r="D34" s="35">
        <v>2453.0</v>
      </c>
      <c r="E34" s="40">
        <f t="shared" si="19"/>
        <v>0.00123469094</v>
      </c>
      <c r="F34" s="43">
        <v>2040832.0</v>
      </c>
      <c r="G34" s="43">
        <v>2905872.0</v>
      </c>
      <c r="H34" s="47">
        <f t="shared" si="27"/>
        <v>0.9734912036</v>
      </c>
      <c r="I34" s="47">
        <v>0.1307</v>
      </c>
      <c r="J34" s="48"/>
      <c r="K34" s="48"/>
      <c r="L34" s="48"/>
      <c r="M34" s="46"/>
      <c r="N34" s="43">
        <v>0.0</v>
      </c>
      <c r="O34" s="43">
        <v>0.0</v>
      </c>
      <c r="P34" s="50">
        <f t="shared" si="28"/>
        <v>0</v>
      </c>
      <c r="Q34" s="51"/>
      <c r="R34" s="47">
        <v>0.5033</v>
      </c>
      <c r="S34" s="53">
        <v>1.27</v>
      </c>
      <c r="T34" s="55">
        <v>0.001388888888888889</v>
      </c>
      <c r="U34" s="134"/>
      <c r="V34" s="50"/>
      <c r="W34" s="134"/>
      <c r="X34" s="63"/>
    </row>
    <row r="35">
      <c r="A35" s="97" t="s">
        <v>46</v>
      </c>
      <c r="C35" s="98">
        <f t="shared" ref="C35:D35" si="29">SUM(C31:C34)</f>
        <v>15798286</v>
      </c>
      <c r="D35" s="98">
        <f t="shared" si="29"/>
        <v>61393</v>
      </c>
      <c r="E35" s="99">
        <f t="shared" si="19"/>
        <v>0.003886054475</v>
      </c>
      <c r="F35" s="98">
        <f t="shared" ref="F35:G35" si="30">SUM(F31:F34)</f>
        <v>16284871</v>
      </c>
      <c r="G35" s="98">
        <f t="shared" si="30"/>
        <v>12242689</v>
      </c>
      <c r="H35" s="140"/>
      <c r="I35" s="99">
        <f t="shared" ref="I35:L35" si="31">AVERAGE(I31:I34)</f>
        <v>0.05415</v>
      </c>
      <c r="J35" s="99" t="str">
        <f t="shared" si="31"/>
        <v>#DIV/0!</v>
      </c>
      <c r="K35" s="99" t="str">
        <f t="shared" si="31"/>
        <v>#DIV/0!</v>
      </c>
      <c r="L35" s="99" t="str">
        <f t="shared" si="31"/>
        <v>#DIV/0!</v>
      </c>
      <c r="M35" s="98">
        <f t="shared" ref="M35:O35" si="32">SUM(M31:M34)</f>
        <v>0</v>
      </c>
      <c r="N35" s="98">
        <f t="shared" si="32"/>
        <v>1</v>
      </c>
      <c r="O35" s="98">
        <f t="shared" si="32"/>
        <v>0</v>
      </c>
      <c r="P35" s="101">
        <f>V35/D35</f>
        <v>0</v>
      </c>
      <c r="Q35" s="98">
        <f>SUM(Q31:Q34)</f>
        <v>0</v>
      </c>
      <c r="R35" s="99">
        <f t="shared" ref="R35:T35" si="33">AVERAGE(R31:R34)</f>
        <v>0.372925</v>
      </c>
      <c r="S35" s="103">
        <f t="shared" si="33"/>
        <v>1.1625</v>
      </c>
      <c r="T35" s="104">
        <f t="shared" si="33"/>
        <v>0.001527777778</v>
      </c>
      <c r="U35" s="101">
        <f t="shared" ref="U35:U39" si="34">V35/1.22</f>
        <v>0</v>
      </c>
      <c r="V35" s="101"/>
      <c r="W35" s="101"/>
      <c r="X35" s="107">
        <f>U35/(G35/1000)</f>
        <v>0</v>
      </c>
    </row>
    <row r="36">
      <c r="A36" s="68" t="s">
        <v>39</v>
      </c>
      <c r="B36" s="34" t="s">
        <v>80</v>
      </c>
      <c r="C36" s="35">
        <v>2361976.0</v>
      </c>
      <c r="D36" s="35">
        <v>35369.0</v>
      </c>
      <c r="E36" s="40">
        <f t="shared" si="19"/>
        <v>0.01497432658</v>
      </c>
      <c r="F36" s="43">
        <v>2579947.0</v>
      </c>
      <c r="G36" s="43">
        <v>2341920.0</v>
      </c>
      <c r="H36" s="47">
        <f>IFERROR(C36/F36,"-")</f>
        <v>0.9155133807</v>
      </c>
      <c r="I36" s="47">
        <v>0.0716</v>
      </c>
      <c r="J36" s="48"/>
      <c r="K36" s="48"/>
      <c r="L36" s="48"/>
      <c r="M36" s="46"/>
      <c r="N36" s="43">
        <v>5.0</v>
      </c>
      <c r="O36" s="43">
        <v>0.0</v>
      </c>
      <c r="P36" s="50">
        <f>IFERROR(V36/D36,"-")</f>
        <v>0</v>
      </c>
      <c r="Q36" s="51"/>
      <c r="R36" s="47">
        <v>0.205</v>
      </c>
      <c r="S36" s="53">
        <v>1.35</v>
      </c>
      <c r="T36" s="55">
        <v>0.001851851851851852</v>
      </c>
      <c r="U36" s="50">
        <f t="shared" si="34"/>
        <v>0</v>
      </c>
      <c r="V36" s="50"/>
      <c r="W36" s="50"/>
      <c r="X36" s="63"/>
    </row>
    <row r="37">
      <c r="A37" s="97" t="s">
        <v>46</v>
      </c>
      <c r="C37" s="98">
        <f t="shared" ref="C37:D37" si="35">C36</f>
        <v>2361976</v>
      </c>
      <c r="D37" s="98">
        <f t="shared" si="35"/>
        <v>35369</v>
      </c>
      <c r="E37" s="99">
        <f t="shared" si="19"/>
        <v>0.01497432658</v>
      </c>
      <c r="F37" s="98">
        <f t="shared" ref="F37:G37" si="36">SUM(F36)</f>
        <v>2579947</v>
      </c>
      <c r="G37" s="98">
        <f t="shared" si="36"/>
        <v>2341920</v>
      </c>
      <c r="H37" s="140"/>
      <c r="I37" s="99">
        <f t="shared" ref="I37:L37" si="37">AVERAGE(I36)</f>
        <v>0.0716</v>
      </c>
      <c r="J37" s="99" t="str">
        <f t="shared" si="37"/>
        <v>#DIV/0!</v>
      </c>
      <c r="K37" s="99" t="str">
        <f t="shared" si="37"/>
        <v>#DIV/0!</v>
      </c>
      <c r="L37" s="99" t="str">
        <f t="shared" si="37"/>
        <v>#DIV/0!</v>
      </c>
      <c r="M37" s="98">
        <f t="shared" ref="M37:O37" si="38">SUM(M36)</f>
        <v>0</v>
      </c>
      <c r="N37" s="98">
        <f t="shared" si="38"/>
        <v>5</v>
      </c>
      <c r="O37" s="98">
        <f t="shared" si="38"/>
        <v>0</v>
      </c>
      <c r="P37" s="101">
        <f>V37/D37</f>
        <v>0</v>
      </c>
      <c r="Q37" s="98">
        <f>SUM(Q36)</f>
        <v>0</v>
      </c>
      <c r="R37" s="99">
        <f t="shared" ref="R37:S37" si="39">AVERAGE(R36)</f>
        <v>0.205</v>
      </c>
      <c r="S37" s="103">
        <f t="shared" si="39"/>
        <v>1.35</v>
      </c>
      <c r="T37" s="104">
        <f>T36</f>
        <v>0.001851851852</v>
      </c>
      <c r="U37" s="101">
        <f t="shared" si="34"/>
        <v>0</v>
      </c>
      <c r="V37" s="101"/>
      <c r="W37" s="101"/>
      <c r="X37" s="107">
        <f>U37/(G37/1000)</f>
        <v>0</v>
      </c>
    </row>
    <row r="38">
      <c r="A38" s="68" t="s">
        <v>82</v>
      </c>
      <c r="B38" s="34" t="s">
        <v>81</v>
      </c>
      <c r="C38" s="35">
        <v>3586932.0</v>
      </c>
      <c r="D38" s="35">
        <v>7531.0</v>
      </c>
      <c r="E38" s="40">
        <f t="shared" si="19"/>
        <v>0.002099565869</v>
      </c>
      <c r="F38" s="43">
        <v>3586896.0</v>
      </c>
      <c r="G38" s="43">
        <v>3199681.0</v>
      </c>
      <c r="H38" s="47">
        <f t="shared" ref="H38:H41" si="40">IFERROR(C38/F38,"-")</f>
        <v>1.000010037</v>
      </c>
      <c r="I38" s="47">
        <v>0.0</v>
      </c>
      <c r="J38" s="48"/>
      <c r="K38" s="48"/>
      <c r="L38" s="48"/>
      <c r="M38" s="46"/>
      <c r="N38" s="43">
        <v>0.0</v>
      </c>
      <c r="O38" s="43">
        <v>0.0</v>
      </c>
      <c r="P38" s="50">
        <f t="shared" ref="P38:P41" si="41">IFERROR(V38/D38,"-")</f>
        <v>0</v>
      </c>
      <c r="Q38" s="51"/>
      <c r="R38" s="47">
        <v>0.3976</v>
      </c>
      <c r="S38" s="53">
        <v>1.04</v>
      </c>
      <c r="T38" s="55">
        <v>0.0013194444444444445</v>
      </c>
      <c r="U38" s="50">
        <f t="shared" si="34"/>
        <v>0</v>
      </c>
      <c r="V38" s="50"/>
      <c r="W38" s="50"/>
      <c r="X38" s="63"/>
    </row>
    <row r="39">
      <c r="A39" s="68" t="s">
        <v>40</v>
      </c>
      <c r="B39" s="34" t="s">
        <v>81</v>
      </c>
      <c r="C39" s="35">
        <v>5825196.0</v>
      </c>
      <c r="D39" s="35">
        <v>10308.0</v>
      </c>
      <c r="E39" s="40">
        <f t="shared" si="19"/>
        <v>0.001769554192</v>
      </c>
      <c r="F39" s="43">
        <v>6139002.0</v>
      </c>
      <c r="G39" s="43">
        <v>4677915.0</v>
      </c>
      <c r="H39" s="47">
        <f t="shared" si="40"/>
        <v>0.9488832224</v>
      </c>
      <c r="I39" s="47">
        <v>0.0</v>
      </c>
      <c r="J39" s="48"/>
      <c r="K39" s="48"/>
      <c r="L39" s="48"/>
      <c r="M39" s="46"/>
      <c r="N39" s="43">
        <v>0.0</v>
      </c>
      <c r="O39" s="43">
        <v>0.0</v>
      </c>
      <c r="P39" s="50">
        <f t="shared" si="41"/>
        <v>0</v>
      </c>
      <c r="Q39" s="51"/>
      <c r="R39" s="47">
        <v>0.4608</v>
      </c>
      <c r="S39" s="53">
        <v>1.05</v>
      </c>
      <c r="T39" s="55">
        <v>0.0011805555555555556</v>
      </c>
      <c r="U39" s="50">
        <f t="shared" si="34"/>
        <v>0</v>
      </c>
      <c r="V39" s="50"/>
      <c r="W39" s="50"/>
      <c r="X39" s="63"/>
    </row>
    <row r="40">
      <c r="A40" s="68" t="s">
        <v>104</v>
      </c>
      <c r="B40" s="34" t="s">
        <v>81</v>
      </c>
      <c r="C40" s="35">
        <v>1366245.0</v>
      </c>
      <c r="D40" s="35">
        <v>20066.0</v>
      </c>
      <c r="E40" s="40">
        <f t="shared" si="19"/>
        <v>0.01468697049</v>
      </c>
      <c r="F40" s="43">
        <v>1361325.0</v>
      </c>
      <c r="G40" s="43">
        <v>1366120.0</v>
      </c>
      <c r="H40" s="47">
        <f t="shared" si="40"/>
        <v>1.003614126</v>
      </c>
      <c r="I40" s="47">
        <v>0.0946</v>
      </c>
      <c r="J40" s="48"/>
      <c r="K40" s="48"/>
      <c r="L40" s="48"/>
      <c r="M40" s="46"/>
      <c r="N40" s="43">
        <v>1.0</v>
      </c>
      <c r="O40" s="43">
        <v>0.0</v>
      </c>
      <c r="P40" s="50">
        <f t="shared" si="41"/>
        <v>0</v>
      </c>
      <c r="Q40" s="51"/>
      <c r="R40" s="47">
        <v>0.6885</v>
      </c>
      <c r="S40" s="53">
        <v>1.08</v>
      </c>
      <c r="T40" s="55">
        <v>5.902777777777778E-4</v>
      </c>
      <c r="U40" s="134"/>
      <c r="V40" s="50"/>
      <c r="W40" s="50"/>
      <c r="X40" s="63"/>
    </row>
    <row r="41">
      <c r="A41" s="68" t="s">
        <v>35</v>
      </c>
      <c r="B41" s="34" t="s">
        <v>81</v>
      </c>
      <c r="C41" s="35">
        <v>2078225.0</v>
      </c>
      <c r="D41" s="35">
        <v>1660.0</v>
      </c>
      <c r="E41" s="40">
        <f t="shared" si="19"/>
        <v>0.000798758556</v>
      </c>
      <c r="F41" s="43">
        <v>2241818.0</v>
      </c>
      <c r="G41" s="43">
        <v>2002518.0</v>
      </c>
      <c r="H41" s="47">
        <f t="shared" si="40"/>
        <v>0.9270266364</v>
      </c>
      <c r="I41" s="47">
        <v>0.0587</v>
      </c>
      <c r="J41" s="48"/>
      <c r="K41" s="48"/>
      <c r="L41" s="48"/>
      <c r="M41" s="46"/>
      <c r="N41" s="43">
        <v>1.0</v>
      </c>
      <c r="O41" s="43">
        <v>0.0</v>
      </c>
      <c r="P41" s="50">
        <f t="shared" si="41"/>
        <v>0</v>
      </c>
      <c r="Q41" s="51"/>
      <c r="R41" s="47">
        <v>0.4839</v>
      </c>
      <c r="S41" s="53">
        <v>1.51</v>
      </c>
      <c r="T41" s="55">
        <v>0.0014814814814814814</v>
      </c>
      <c r="U41" s="134"/>
      <c r="V41" s="50"/>
      <c r="W41" s="50"/>
      <c r="X41" s="63"/>
    </row>
    <row r="42">
      <c r="A42" s="97" t="s">
        <v>46</v>
      </c>
      <c r="C42" s="98">
        <f t="shared" ref="C42:D42" si="42">SUM(C38:C41)</f>
        <v>12856598</v>
      </c>
      <c r="D42" s="98">
        <f t="shared" si="42"/>
        <v>39565</v>
      </c>
      <c r="E42" s="99">
        <f t="shared" si="19"/>
        <v>0.003077408191</v>
      </c>
      <c r="F42" s="98">
        <f t="shared" ref="F42:G42" si="43">SUM(F38:F41)</f>
        <v>13329041</v>
      </c>
      <c r="G42" s="98">
        <f t="shared" si="43"/>
        <v>11246234</v>
      </c>
      <c r="H42" s="140"/>
      <c r="I42" s="99">
        <f t="shared" ref="I42:L42" si="44">AVERAGE(I38:I41)</f>
        <v>0.038325</v>
      </c>
      <c r="J42" s="99" t="str">
        <f t="shared" si="44"/>
        <v>#DIV/0!</v>
      </c>
      <c r="K42" s="99" t="str">
        <f t="shared" si="44"/>
        <v>#DIV/0!</v>
      </c>
      <c r="L42" s="99" t="str">
        <f t="shared" si="44"/>
        <v>#DIV/0!</v>
      </c>
      <c r="M42" s="98">
        <f t="shared" ref="M42:O42" si="45">SUM(M38:M41)</f>
        <v>0</v>
      </c>
      <c r="N42" s="98">
        <f t="shared" si="45"/>
        <v>2</v>
      </c>
      <c r="O42" s="98">
        <f t="shared" si="45"/>
        <v>0</v>
      </c>
      <c r="P42" s="101">
        <f>V42/D42</f>
        <v>0</v>
      </c>
      <c r="Q42" s="98">
        <f>SUM(Q38:Q41)</f>
        <v>0</v>
      </c>
      <c r="R42" s="99">
        <f t="shared" ref="R42:T42" si="46">AVERAGE(R38:R41)</f>
        <v>0.5077</v>
      </c>
      <c r="S42" s="103">
        <f t="shared" si="46"/>
        <v>1.17</v>
      </c>
      <c r="T42" s="104">
        <f t="shared" si="46"/>
        <v>0.001142939815</v>
      </c>
      <c r="U42" s="101">
        <f t="shared" ref="U42:U56" si="47">V42/1.22</f>
        <v>0</v>
      </c>
      <c r="V42" s="101"/>
      <c r="W42" s="101"/>
      <c r="X42" s="107">
        <f>U42/(G42/1000)</f>
        <v>0</v>
      </c>
    </row>
    <row r="43">
      <c r="A43" s="68" t="s">
        <v>39</v>
      </c>
      <c r="B43" s="34" t="s">
        <v>106</v>
      </c>
      <c r="C43" s="35">
        <v>624897.0</v>
      </c>
      <c r="D43" s="35">
        <v>7576.0</v>
      </c>
      <c r="E43" s="40">
        <f t="shared" si="19"/>
        <v>0.01212359797</v>
      </c>
      <c r="F43" s="43">
        <v>668264.0</v>
      </c>
      <c r="G43" s="43">
        <v>642880.0</v>
      </c>
      <c r="H43" s="47">
        <f>IFERROR(C43/F43,"-")</f>
        <v>0.9351049884</v>
      </c>
      <c r="I43" s="47">
        <v>0.0537</v>
      </c>
      <c r="J43" s="48"/>
      <c r="K43" s="48"/>
      <c r="L43" s="48"/>
      <c r="M43" s="46"/>
      <c r="N43" s="43">
        <v>0.0</v>
      </c>
      <c r="O43" s="43">
        <v>0.0</v>
      </c>
      <c r="P43" s="50">
        <f>IFERROR(V43/D43,"-")</f>
        <v>0</v>
      </c>
      <c r="Q43" s="51"/>
      <c r="R43" s="47">
        <v>0.1991</v>
      </c>
      <c r="S43" s="53">
        <v>1.24</v>
      </c>
      <c r="T43" s="55">
        <v>0.0021180555555555558</v>
      </c>
      <c r="U43" s="50">
        <f t="shared" si="47"/>
        <v>0</v>
      </c>
      <c r="V43" s="50"/>
      <c r="W43" s="50"/>
      <c r="X43" s="63"/>
    </row>
    <row r="44">
      <c r="A44" s="97" t="s">
        <v>46</v>
      </c>
      <c r="C44" s="98">
        <f t="shared" ref="C44:D44" si="48">C43</f>
        <v>624897</v>
      </c>
      <c r="D44" s="98">
        <f t="shared" si="48"/>
        <v>7576</v>
      </c>
      <c r="E44" s="99">
        <f t="shared" si="19"/>
        <v>0.01212359797</v>
      </c>
      <c r="F44" s="98">
        <f>F43</f>
        <v>668264</v>
      </c>
      <c r="G44" s="98">
        <f>SUM(G43)</f>
        <v>642880</v>
      </c>
      <c r="H44" s="140"/>
      <c r="I44" s="99">
        <f t="shared" ref="I44:L44" si="49">AVERAGE(I43)</f>
        <v>0.0537</v>
      </c>
      <c r="J44" s="99" t="str">
        <f t="shared" si="49"/>
        <v>#DIV/0!</v>
      </c>
      <c r="K44" s="99" t="str">
        <f t="shared" si="49"/>
        <v>#DIV/0!</v>
      </c>
      <c r="L44" s="99" t="str">
        <f t="shared" si="49"/>
        <v>#DIV/0!</v>
      </c>
      <c r="M44" s="98">
        <f t="shared" ref="M44:O44" si="50">SUM(M43)</f>
        <v>0</v>
      </c>
      <c r="N44" s="98">
        <f t="shared" si="50"/>
        <v>0</v>
      </c>
      <c r="O44" s="98">
        <f t="shared" si="50"/>
        <v>0</v>
      </c>
      <c r="P44" s="101">
        <f>V44/D44</f>
        <v>0</v>
      </c>
      <c r="Q44" s="195"/>
      <c r="R44" s="99">
        <f t="shared" ref="R44:S44" si="51">AVERAGE(R43)</f>
        <v>0.1991</v>
      </c>
      <c r="S44" s="103">
        <f t="shared" si="51"/>
        <v>1.24</v>
      </c>
      <c r="T44" s="104">
        <f>T43</f>
        <v>0.002118055556</v>
      </c>
      <c r="U44" s="101">
        <f t="shared" si="47"/>
        <v>0</v>
      </c>
      <c r="V44" s="101"/>
      <c r="W44" s="101"/>
      <c r="X44" s="107">
        <f>U44/(G44/1000)</f>
        <v>0</v>
      </c>
    </row>
    <row r="45">
      <c r="A45" s="68" t="s">
        <v>82</v>
      </c>
      <c r="B45" s="34" t="s">
        <v>84</v>
      </c>
      <c r="C45" s="35">
        <v>3608238.0</v>
      </c>
      <c r="D45" s="35">
        <v>8848.0</v>
      </c>
      <c r="E45" s="40">
        <f t="shared" si="19"/>
        <v>0.002452166404</v>
      </c>
      <c r="F45" s="43">
        <v>3613756.0</v>
      </c>
      <c r="G45" s="43">
        <v>3039779.0</v>
      </c>
      <c r="H45" s="47">
        <f t="shared" ref="H45:H46" si="52">IFERROR(C45/F45,"-")</f>
        <v>0.9984730568</v>
      </c>
      <c r="I45" s="47">
        <v>7.57944741224076E-6</v>
      </c>
      <c r="J45" s="48"/>
      <c r="K45" s="48"/>
      <c r="L45" s="48"/>
      <c r="M45" s="46"/>
      <c r="N45" s="43">
        <v>0.0</v>
      </c>
      <c r="O45" s="43">
        <v>0.0</v>
      </c>
      <c r="P45" s="50">
        <f t="shared" ref="P45:P46" si="53">IFERROR(V45/D45,"-")</f>
        <v>0</v>
      </c>
      <c r="Q45" s="51"/>
      <c r="R45" s="47">
        <v>0.47634999999999994</v>
      </c>
      <c r="S45" s="53">
        <v>1.0350000000000001</v>
      </c>
      <c r="T45" s="55">
        <v>0.0010127314814814816</v>
      </c>
      <c r="U45" s="50">
        <f t="shared" si="47"/>
        <v>0</v>
      </c>
      <c r="V45" s="50"/>
      <c r="W45" s="50"/>
      <c r="X45" s="63"/>
    </row>
    <row r="46">
      <c r="A46" s="68" t="s">
        <v>40</v>
      </c>
      <c r="B46" s="34" t="s">
        <v>84</v>
      </c>
      <c r="C46" s="35">
        <v>9257571.0</v>
      </c>
      <c r="D46" s="35">
        <v>13123.0</v>
      </c>
      <c r="E46" s="40">
        <f t="shared" si="19"/>
        <v>0.001417542463</v>
      </c>
      <c r="F46" s="43">
        <v>9416540.0</v>
      </c>
      <c r="G46" s="43">
        <v>4937799.0</v>
      </c>
      <c r="H46" s="47">
        <f t="shared" si="52"/>
        <v>0.9831181092</v>
      </c>
      <c r="I46" s="47">
        <v>0.0</v>
      </c>
      <c r="J46" s="48"/>
      <c r="K46" s="48"/>
      <c r="L46" s="48"/>
      <c r="M46" s="46"/>
      <c r="N46" s="43">
        <v>0.0</v>
      </c>
      <c r="O46" s="43">
        <v>0.0</v>
      </c>
      <c r="P46" s="50">
        <f t="shared" si="53"/>
        <v>0</v>
      </c>
      <c r="Q46" s="51"/>
      <c r="R46" s="47">
        <v>0.3974</v>
      </c>
      <c r="S46" s="53">
        <v>1.05</v>
      </c>
      <c r="T46" s="55">
        <v>0.0014583333333333334</v>
      </c>
      <c r="U46" s="50">
        <f t="shared" si="47"/>
        <v>0</v>
      </c>
      <c r="V46" s="50"/>
      <c r="W46" s="50"/>
      <c r="X46" s="63"/>
    </row>
    <row r="47">
      <c r="A47" s="120" t="s">
        <v>85</v>
      </c>
      <c r="B47" s="34" t="s">
        <v>84</v>
      </c>
      <c r="C47" s="35" t="s">
        <v>67</v>
      </c>
      <c r="D47" s="35" t="s">
        <v>67</v>
      </c>
      <c r="E47" s="143" t="s">
        <v>71</v>
      </c>
      <c r="F47" s="43" t="s">
        <v>67</v>
      </c>
      <c r="G47" s="43" t="s">
        <v>67</v>
      </c>
      <c r="H47" s="143" t="s">
        <v>71</v>
      </c>
      <c r="I47" s="143" t="s">
        <v>71</v>
      </c>
      <c r="J47" s="143" t="s">
        <v>71</v>
      </c>
      <c r="K47" s="143" t="s">
        <v>71</v>
      </c>
      <c r="L47" s="143" t="s">
        <v>71</v>
      </c>
      <c r="M47" s="43" t="s">
        <v>67</v>
      </c>
      <c r="N47" s="43" t="s">
        <v>67</v>
      </c>
      <c r="O47" s="43" t="s">
        <v>67</v>
      </c>
      <c r="P47" s="50" t="s">
        <v>67</v>
      </c>
      <c r="Q47" s="53" t="s">
        <v>67</v>
      </c>
      <c r="R47" s="143" t="s">
        <v>71</v>
      </c>
      <c r="S47" s="53" t="s">
        <v>67</v>
      </c>
      <c r="T47" s="143" t="s">
        <v>67</v>
      </c>
      <c r="U47" s="50">
        <f t="shared" si="47"/>
        <v>0</v>
      </c>
      <c r="V47" s="50"/>
      <c r="W47" s="50"/>
      <c r="X47" s="63"/>
    </row>
    <row r="48">
      <c r="A48" s="68" t="s">
        <v>72</v>
      </c>
      <c r="B48" s="34" t="s">
        <v>84</v>
      </c>
      <c r="C48" s="35">
        <v>8504930.0</v>
      </c>
      <c r="D48" s="35">
        <v>37964.0</v>
      </c>
      <c r="E48" s="40">
        <f t="shared" ref="E48:E51" si="55">IFERROR(D48/C48,"-")</f>
        <v>0.004463763958</v>
      </c>
      <c r="F48" s="43">
        <v>0.0</v>
      </c>
      <c r="G48" s="43">
        <v>3121000.0</v>
      </c>
      <c r="H48" s="47" t="str">
        <f>IFERROR(C48/F48,"-")</f>
        <v>-</v>
      </c>
      <c r="I48" s="47" t="s">
        <v>71</v>
      </c>
      <c r="J48" s="48"/>
      <c r="K48" s="48"/>
      <c r="L48" s="48"/>
      <c r="M48" s="46"/>
      <c r="N48" s="43">
        <v>6.0</v>
      </c>
      <c r="O48" s="43">
        <v>6.0</v>
      </c>
      <c r="P48" s="50">
        <f>IFERROR(V48/D48,"-")</f>
        <v>0</v>
      </c>
      <c r="Q48" s="51"/>
      <c r="R48" s="47" t="s">
        <v>71</v>
      </c>
      <c r="S48" s="53" t="s">
        <v>67</v>
      </c>
      <c r="T48" s="55" t="s">
        <v>67</v>
      </c>
      <c r="U48" s="50">
        <f t="shared" si="47"/>
        <v>0</v>
      </c>
      <c r="V48" s="50"/>
      <c r="W48" s="50"/>
      <c r="X48" s="63"/>
    </row>
    <row r="49">
      <c r="A49" s="97" t="s">
        <v>46</v>
      </c>
      <c r="C49" s="98">
        <f t="shared" ref="C49:D49" si="54">SUM(C45:C48)</f>
        <v>21370739</v>
      </c>
      <c r="D49" s="98">
        <f t="shared" si="54"/>
        <v>59935</v>
      </c>
      <c r="E49" s="99">
        <f t="shared" si="55"/>
        <v>0.002804535678</v>
      </c>
      <c r="F49" s="98">
        <f t="shared" ref="F49:G49" si="56">SUM(F45:F48)</f>
        <v>13030296</v>
      </c>
      <c r="G49" s="98">
        <f t="shared" si="56"/>
        <v>11098578</v>
      </c>
      <c r="H49" s="140"/>
      <c r="I49" s="99">
        <f t="shared" ref="I49:L49" si="57">AVERAGE(I45:I48)</f>
        <v>0.000003789723706</v>
      </c>
      <c r="J49" s="99" t="str">
        <f t="shared" si="57"/>
        <v>#DIV/0!</v>
      </c>
      <c r="K49" s="99" t="str">
        <f t="shared" si="57"/>
        <v>#DIV/0!</v>
      </c>
      <c r="L49" s="99" t="str">
        <f t="shared" si="57"/>
        <v>#DIV/0!</v>
      </c>
      <c r="M49" s="98">
        <f t="shared" ref="M49:O49" si="58">SUM(M45:M48)</f>
        <v>0</v>
      </c>
      <c r="N49" s="98">
        <f t="shared" si="58"/>
        <v>6</v>
      </c>
      <c r="O49" s="98">
        <f t="shared" si="58"/>
        <v>6</v>
      </c>
      <c r="P49" s="101">
        <f>V49/D49</f>
        <v>0</v>
      </c>
      <c r="Q49" s="98">
        <f>SUM(Q45:Q48)</f>
        <v>0</v>
      </c>
      <c r="R49" s="99">
        <f t="shared" ref="R49:T49" si="59">AVERAGE(R45:R48)</f>
        <v>0.436875</v>
      </c>
      <c r="S49" s="103">
        <f t="shared" si="59"/>
        <v>1.0425</v>
      </c>
      <c r="T49" s="104">
        <f t="shared" si="59"/>
        <v>0.001235532407</v>
      </c>
      <c r="U49" s="101">
        <f t="shared" si="47"/>
        <v>0</v>
      </c>
      <c r="V49" s="101"/>
      <c r="W49" s="101"/>
      <c r="X49" s="107">
        <f>U49/(G49/1000)</f>
        <v>0</v>
      </c>
    </row>
    <row r="50">
      <c r="A50" s="68" t="s">
        <v>82</v>
      </c>
      <c r="B50" s="34" t="s">
        <v>89</v>
      </c>
      <c r="C50" s="35">
        <v>2109498.0</v>
      </c>
      <c r="D50" s="35">
        <v>3446.0</v>
      </c>
      <c r="E50" s="40">
        <f t="shared" si="55"/>
        <v>0.001633564004</v>
      </c>
      <c r="F50" s="43">
        <v>2137167.0</v>
      </c>
      <c r="G50" s="43">
        <v>1508569.0</v>
      </c>
      <c r="H50" s="47">
        <f t="shared" ref="H50:H51" si="60">IFERROR(C50/F50,"-")</f>
        <v>0.9870534217</v>
      </c>
      <c r="I50" s="47">
        <v>7.1390938865961384E-6</v>
      </c>
      <c r="J50" s="48"/>
      <c r="K50" s="48"/>
      <c r="L50" s="48"/>
      <c r="M50" s="46"/>
      <c r="N50" s="43">
        <v>0.0</v>
      </c>
      <c r="O50" s="43">
        <v>0.0</v>
      </c>
      <c r="P50" s="50">
        <f t="shared" ref="P50:P51" si="61">IFERROR(V50/D50,"-")</f>
        <v>0</v>
      </c>
      <c r="Q50" s="51"/>
      <c r="R50" s="47">
        <v>0.48445000000000005</v>
      </c>
      <c r="S50" s="53">
        <v>1.0899999999999999</v>
      </c>
      <c r="T50" s="55">
        <v>7.87037037037037E-4</v>
      </c>
      <c r="U50" s="50">
        <f t="shared" si="47"/>
        <v>0</v>
      </c>
      <c r="V50" s="50"/>
      <c r="W50" s="50"/>
      <c r="X50" s="63"/>
    </row>
    <row r="51">
      <c r="A51" s="68" t="s">
        <v>40</v>
      </c>
      <c r="B51" s="34" t="s">
        <v>89</v>
      </c>
      <c r="C51" s="35">
        <v>5003863.0</v>
      </c>
      <c r="D51" s="35">
        <v>8784.0</v>
      </c>
      <c r="E51" s="40">
        <f t="shared" si="55"/>
        <v>0.001755443744</v>
      </c>
      <c r="F51" s="43">
        <v>5246612.0</v>
      </c>
      <c r="G51" s="43">
        <v>3399405.0</v>
      </c>
      <c r="H51" s="47">
        <f t="shared" si="60"/>
        <v>0.9537322371</v>
      </c>
      <c r="I51" s="47">
        <v>7.1390938865961384E-6</v>
      </c>
      <c r="J51" s="48"/>
      <c r="K51" s="48"/>
      <c r="L51" s="48"/>
      <c r="M51" s="46"/>
      <c r="N51" s="43">
        <v>0.0</v>
      </c>
      <c r="O51" s="43">
        <v>0.0</v>
      </c>
      <c r="P51" s="50">
        <f t="shared" si="61"/>
        <v>0</v>
      </c>
      <c r="Q51" s="51"/>
      <c r="R51" s="48"/>
      <c r="S51" s="51"/>
      <c r="T51" s="197"/>
      <c r="U51" s="50">
        <f t="shared" si="47"/>
        <v>0</v>
      </c>
      <c r="V51" s="50"/>
      <c r="W51" s="50"/>
      <c r="X51" s="63"/>
    </row>
    <row r="52">
      <c r="A52" s="120" t="s">
        <v>85</v>
      </c>
      <c r="B52" s="34" t="s">
        <v>89</v>
      </c>
      <c r="C52" s="35" t="s">
        <v>67</v>
      </c>
      <c r="D52" s="35" t="s">
        <v>67</v>
      </c>
      <c r="E52" s="143" t="s">
        <v>71</v>
      </c>
      <c r="F52" s="43" t="s">
        <v>67</v>
      </c>
      <c r="G52" s="43" t="s">
        <v>67</v>
      </c>
      <c r="H52" s="143" t="s">
        <v>71</v>
      </c>
      <c r="I52" s="143" t="s">
        <v>71</v>
      </c>
      <c r="J52" s="143" t="s">
        <v>71</v>
      </c>
      <c r="K52" s="143" t="s">
        <v>71</v>
      </c>
      <c r="L52" s="143" t="s">
        <v>71</v>
      </c>
      <c r="M52" s="43" t="s">
        <v>67</v>
      </c>
      <c r="N52" s="43" t="s">
        <v>67</v>
      </c>
      <c r="O52" s="43" t="s">
        <v>67</v>
      </c>
      <c r="P52" s="50" t="s">
        <v>67</v>
      </c>
      <c r="Q52" s="53" t="s">
        <v>67</v>
      </c>
      <c r="R52" s="143" t="s">
        <v>71</v>
      </c>
      <c r="S52" s="53" t="s">
        <v>67</v>
      </c>
      <c r="T52" s="143" t="s">
        <v>67</v>
      </c>
      <c r="U52" s="50">
        <f t="shared" si="47"/>
        <v>0</v>
      </c>
      <c r="V52" s="50"/>
      <c r="W52" s="50"/>
      <c r="X52" s="63"/>
    </row>
    <row r="53">
      <c r="A53" s="120" t="s">
        <v>47</v>
      </c>
      <c r="B53" s="34" t="s">
        <v>89</v>
      </c>
      <c r="C53" s="35">
        <v>2274343.0</v>
      </c>
      <c r="D53" s="35">
        <v>3073.0</v>
      </c>
      <c r="E53" s="40">
        <f t="shared" ref="E53:E56" si="63">IFERROR(D53/C53,"-")</f>
        <v>0.001351159434</v>
      </c>
      <c r="F53" s="43">
        <v>2339512.0</v>
      </c>
      <c r="G53" s="43">
        <v>3174391.0</v>
      </c>
      <c r="H53" s="47">
        <f>IFERROR(C53/F53,"-")</f>
        <v>0.9721441908</v>
      </c>
      <c r="I53" s="47">
        <v>0.1206</v>
      </c>
      <c r="J53" s="48"/>
      <c r="K53" s="48"/>
      <c r="L53" s="48"/>
      <c r="M53" s="46"/>
      <c r="N53" s="43">
        <v>0.0</v>
      </c>
      <c r="O53" s="43">
        <v>0.0</v>
      </c>
      <c r="P53" s="50">
        <f>IFERROR(V53/D53,"-")</f>
        <v>0</v>
      </c>
      <c r="Q53" s="51"/>
      <c r="R53" s="47">
        <v>0.419</v>
      </c>
      <c r="S53" s="53">
        <v>1.42</v>
      </c>
      <c r="T53" s="55">
        <v>0.0015972222222222223</v>
      </c>
      <c r="U53" s="50">
        <f t="shared" si="47"/>
        <v>0</v>
      </c>
      <c r="V53" s="50"/>
      <c r="W53" s="50"/>
      <c r="X53" s="63"/>
    </row>
    <row r="54">
      <c r="A54" s="97" t="s">
        <v>46</v>
      </c>
      <c r="C54" s="98">
        <f t="shared" ref="C54:D54" si="62">SUM(C50:C53)</f>
        <v>9387704</v>
      </c>
      <c r="D54" s="98">
        <f t="shared" si="62"/>
        <v>15303</v>
      </c>
      <c r="E54" s="99">
        <f t="shared" si="63"/>
        <v>0.001630111047</v>
      </c>
      <c r="F54" s="98">
        <f t="shared" ref="F54:G54" si="64">SUM(F50:F53)</f>
        <v>9723291</v>
      </c>
      <c r="G54" s="98">
        <f t="shared" si="64"/>
        <v>8082365</v>
      </c>
      <c r="H54" s="140"/>
      <c r="I54" s="99">
        <f t="shared" ref="I54:L54" si="65">AVERAGE(I50:I53)</f>
        <v>0.0402047594</v>
      </c>
      <c r="J54" s="99" t="str">
        <f t="shared" si="65"/>
        <v>#DIV/0!</v>
      </c>
      <c r="K54" s="99" t="str">
        <f t="shared" si="65"/>
        <v>#DIV/0!</v>
      </c>
      <c r="L54" s="99" t="str">
        <f t="shared" si="65"/>
        <v>#DIV/0!</v>
      </c>
      <c r="M54" s="98">
        <f t="shared" ref="M54:O54" si="66">SUM(M50:M53)</f>
        <v>0</v>
      </c>
      <c r="N54" s="98">
        <f t="shared" si="66"/>
        <v>0</v>
      </c>
      <c r="O54" s="98">
        <f t="shared" si="66"/>
        <v>0</v>
      </c>
      <c r="P54" s="101">
        <f>V54/D54</f>
        <v>0</v>
      </c>
      <c r="Q54" s="98">
        <f>SUM(Q50:Q53)</f>
        <v>0</v>
      </c>
      <c r="R54" s="99">
        <f t="shared" ref="R54:T54" si="67">AVERAGE(R50:R53)</f>
        <v>0.451725</v>
      </c>
      <c r="S54" s="99">
        <f t="shared" si="67"/>
        <v>1.255</v>
      </c>
      <c r="T54" s="99">
        <f t="shared" si="67"/>
        <v>0.00119212963</v>
      </c>
      <c r="U54" s="101">
        <f t="shared" si="47"/>
        <v>0</v>
      </c>
      <c r="V54" s="101"/>
      <c r="W54" s="101"/>
      <c r="X54" s="107">
        <f>U54/(G54/1000)</f>
        <v>0</v>
      </c>
    </row>
    <row r="55">
      <c r="A55" s="68" t="s">
        <v>39</v>
      </c>
      <c r="B55" s="34" t="s">
        <v>90</v>
      </c>
      <c r="C55" s="35">
        <v>965602.0</v>
      </c>
      <c r="D55" s="35">
        <v>13258.0</v>
      </c>
      <c r="E55" s="40">
        <f t="shared" si="63"/>
        <v>0.01373029468</v>
      </c>
      <c r="F55" s="43">
        <v>1076407.0</v>
      </c>
      <c r="G55" s="43">
        <v>954772.0</v>
      </c>
      <c r="H55" s="47">
        <f>IFERROR(C55/F55,"-")</f>
        <v>0.8970603127</v>
      </c>
      <c r="I55" s="47">
        <v>0.0837</v>
      </c>
      <c r="J55" s="48"/>
      <c r="K55" s="48"/>
      <c r="L55" s="48"/>
      <c r="M55" s="46"/>
      <c r="N55" s="43">
        <v>1.0</v>
      </c>
      <c r="O55" s="43">
        <v>0.0</v>
      </c>
      <c r="P55" s="50">
        <f>IFERROR(V55/D55,"-")</f>
        <v>0</v>
      </c>
      <c r="Q55" s="51"/>
      <c r="R55" s="47">
        <v>0.1977</v>
      </c>
      <c r="S55" s="53">
        <v>1.38</v>
      </c>
      <c r="T55" s="55">
        <v>0.0012268518518518518</v>
      </c>
      <c r="U55" s="50">
        <f t="shared" si="47"/>
        <v>0</v>
      </c>
      <c r="V55" s="50"/>
      <c r="W55" s="50"/>
      <c r="X55" s="63"/>
    </row>
    <row r="56">
      <c r="A56" s="97" t="s">
        <v>46</v>
      </c>
      <c r="C56" s="98">
        <f t="shared" ref="C56:D56" si="68">C55</f>
        <v>965602</v>
      </c>
      <c r="D56" s="98">
        <f t="shared" si="68"/>
        <v>13258</v>
      </c>
      <c r="E56" s="99">
        <f t="shared" si="63"/>
        <v>0.01373029468</v>
      </c>
      <c r="F56" s="98">
        <f t="shared" ref="F56:G56" si="69">F55</f>
        <v>1076407</v>
      </c>
      <c r="G56" s="98">
        <f t="shared" si="69"/>
        <v>954772</v>
      </c>
      <c r="H56" s="140"/>
      <c r="I56" s="99">
        <f t="shared" ref="I56:L56" si="70">AVERAGE(I55)</f>
        <v>0.0837</v>
      </c>
      <c r="J56" s="99" t="str">
        <f t="shared" si="70"/>
        <v>#DIV/0!</v>
      </c>
      <c r="K56" s="99" t="str">
        <f t="shared" si="70"/>
        <v>#DIV/0!</v>
      </c>
      <c r="L56" s="99" t="str">
        <f t="shared" si="70"/>
        <v>#DIV/0!</v>
      </c>
      <c r="M56" s="199" t="str">
        <f t="shared" ref="M56:O56" si="71">M55</f>
        <v/>
      </c>
      <c r="N56" s="98">
        <f t="shared" si="71"/>
        <v>1</v>
      </c>
      <c r="O56" s="98">
        <f t="shared" si="71"/>
        <v>0</v>
      </c>
      <c r="P56" s="101">
        <f>V56/D56</f>
        <v>0</v>
      </c>
      <c r="Q56" s="98">
        <f>SUM(Q52:Q55)</f>
        <v>0</v>
      </c>
      <c r="R56" s="99">
        <f t="shared" ref="R56:S56" si="72">AVERAGE(R55)</f>
        <v>0.1977</v>
      </c>
      <c r="S56" s="103">
        <f t="shared" si="72"/>
        <v>1.38</v>
      </c>
      <c r="T56" s="104">
        <f>T55</f>
        <v>0.001226851852</v>
      </c>
      <c r="U56" s="101">
        <f t="shared" si="47"/>
        <v>0</v>
      </c>
      <c r="V56" s="101"/>
      <c r="W56" s="101"/>
      <c r="X56" s="107">
        <f>U56/(G56/1000)</f>
        <v>0</v>
      </c>
    </row>
    <row r="57">
      <c r="A57" s="120" t="s">
        <v>44</v>
      </c>
      <c r="B57" s="34" t="s">
        <v>107</v>
      </c>
      <c r="C57" s="35">
        <v>964532.0</v>
      </c>
      <c r="D57" s="35">
        <v>11701.0</v>
      </c>
      <c r="E57" s="40">
        <f t="shared" ref="E57:E58" si="73">D57/C57</f>
        <v>0.01213127195</v>
      </c>
      <c r="F57" s="43">
        <v>1038722.0</v>
      </c>
      <c r="G57" s="43">
        <v>954772.0</v>
      </c>
      <c r="H57" s="47">
        <f t="shared" ref="H57:H58" si="74">IFERROR(C57/F57,"-")</f>
        <v>0.9285756921</v>
      </c>
      <c r="I57" s="47">
        <v>0.0563</v>
      </c>
      <c r="J57" s="48"/>
      <c r="K57" s="48"/>
      <c r="L57" s="48"/>
      <c r="M57" s="46"/>
      <c r="N57" s="43">
        <v>0.0</v>
      </c>
      <c r="O57" s="43">
        <v>0.0</v>
      </c>
      <c r="P57" s="50">
        <f t="shared" ref="P57:P58" si="75">IFERROR(V57/D57,"-")</f>
        <v>0</v>
      </c>
      <c r="Q57" s="51"/>
      <c r="R57" s="47">
        <v>0.1966</v>
      </c>
      <c r="S57" s="53">
        <v>1.24</v>
      </c>
      <c r="T57" s="55">
        <v>0.002210648148148148</v>
      </c>
      <c r="U57" s="50">
        <v>243823.79508196726</v>
      </c>
      <c r="V57" s="50"/>
      <c r="W57" s="50"/>
      <c r="X57" s="63"/>
    </row>
    <row r="58">
      <c r="A58" s="68" t="s">
        <v>35</v>
      </c>
      <c r="B58" s="34" t="s">
        <v>107</v>
      </c>
      <c r="C58" s="35">
        <v>2386345.0</v>
      </c>
      <c r="D58" s="35">
        <v>1857.0</v>
      </c>
      <c r="E58" s="40">
        <f t="shared" si="73"/>
        <v>0.0007781775058</v>
      </c>
      <c r="F58" s="43">
        <v>2579684.0</v>
      </c>
      <c r="G58" s="43">
        <v>2311713.0</v>
      </c>
      <c r="H58" s="47">
        <f t="shared" si="74"/>
        <v>0.9250532236</v>
      </c>
      <c r="I58" s="47">
        <v>0.0626</v>
      </c>
      <c r="J58" s="48"/>
      <c r="K58" s="48"/>
      <c r="L58" s="48"/>
      <c r="M58" s="46"/>
      <c r="N58" s="43">
        <v>0.0</v>
      </c>
      <c r="O58" s="43">
        <v>0.0</v>
      </c>
      <c r="P58" s="50">
        <f t="shared" si="75"/>
        <v>0</v>
      </c>
      <c r="Q58" s="51"/>
      <c r="R58" s="47">
        <v>0.4306</v>
      </c>
      <c r="S58" s="53">
        <v>1.76</v>
      </c>
      <c r="T58" s="55">
        <v>0.0016203703703703703</v>
      </c>
      <c r="U58" s="134"/>
      <c r="V58" s="50"/>
      <c r="W58" s="50"/>
      <c r="X58" s="63"/>
    </row>
    <row r="59">
      <c r="A59" s="97" t="s">
        <v>46</v>
      </c>
      <c r="C59" s="98">
        <f t="shared" ref="C59:D59" si="76">SUM(C57:C58)</f>
        <v>3350877</v>
      </c>
      <c r="D59" s="98">
        <f t="shared" si="76"/>
        <v>13558</v>
      </c>
      <c r="E59" s="99">
        <f t="shared" ref="E59:E75" si="81">IFERROR(D59/C59,"-")</f>
        <v>0.004046104945</v>
      </c>
      <c r="F59" s="98">
        <f t="shared" ref="F59:G59" si="77">SUM(F57:F58)</f>
        <v>3618406</v>
      </c>
      <c r="G59" s="98">
        <f t="shared" si="77"/>
        <v>3266485</v>
      </c>
      <c r="H59" s="140"/>
      <c r="I59" s="99">
        <f t="shared" ref="I59:L59" si="78">AVERAGE(I57:I58)</f>
        <v>0.05945</v>
      </c>
      <c r="J59" s="99" t="str">
        <f t="shared" si="78"/>
        <v>#DIV/0!</v>
      </c>
      <c r="K59" s="99" t="str">
        <f t="shared" si="78"/>
        <v>#DIV/0!</v>
      </c>
      <c r="L59" s="99" t="str">
        <f t="shared" si="78"/>
        <v>#DIV/0!</v>
      </c>
      <c r="M59" s="98">
        <f t="shared" ref="M59:O59" si="79">SUM(M57:M58)</f>
        <v>0</v>
      </c>
      <c r="N59" s="98">
        <f t="shared" si="79"/>
        <v>0</v>
      </c>
      <c r="O59" s="98">
        <f t="shared" si="79"/>
        <v>0</v>
      </c>
      <c r="P59" s="101">
        <f>V59/D59</f>
        <v>0</v>
      </c>
      <c r="Q59" s="98">
        <f>SUM(Q57:Q58)</f>
        <v>0</v>
      </c>
      <c r="R59" s="99">
        <f t="shared" ref="R59:T59" si="80">AVERAGE(R57:R58)</f>
        <v>0.3136</v>
      </c>
      <c r="S59" s="103">
        <f t="shared" si="80"/>
        <v>1.5</v>
      </c>
      <c r="T59" s="104">
        <f t="shared" si="80"/>
        <v>0.001915509259</v>
      </c>
      <c r="U59" s="101">
        <f>U57</f>
        <v>243823.7951</v>
      </c>
      <c r="V59" s="101"/>
      <c r="W59" s="101"/>
      <c r="X59" s="107">
        <f>U59/(G59/1000)</f>
        <v>74.6440884</v>
      </c>
    </row>
    <row r="60">
      <c r="A60" s="120" t="s">
        <v>44</v>
      </c>
      <c r="B60" s="34" t="s">
        <v>94</v>
      </c>
      <c r="C60" s="35">
        <v>2539093.0</v>
      </c>
      <c r="D60" s="35">
        <v>40369.0</v>
      </c>
      <c r="E60" s="40">
        <f t="shared" si="81"/>
        <v>0.0158989844</v>
      </c>
      <c r="F60" s="43">
        <v>2771729.0</v>
      </c>
      <c r="G60" s="43">
        <v>2519563.0</v>
      </c>
      <c r="H60" s="47">
        <f t="shared" ref="H60:H64" si="82">IFERROR(C60/F60,"-")</f>
        <v>0.9160682736</v>
      </c>
      <c r="I60" s="47">
        <v>0.0781</v>
      </c>
      <c r="J60" s="48"/>
      <c r="K60" s="48"/>
      <c r="L60" s="48"/>
      <c r="M60" s="46"/>
      <c r="N60" s="43">
        <v>2.0</v>
      </c>
      <c r="O60" s="43">
        <v>0.0</v>
      </c>
      <c r="P60" s="50">
        <f t="shared" ref="P60:P64" si="83">IFERROR(V60/D60,"-")</f>
        <v>0</v>
      </c>
      <c r="Q60" s="51"/>
      <c r="R60" s="47">
        <v>0.2079</v>
      </c>
      <c r="S60" s="53">
        <v>1.32</v>
      </c>
      <c r="T60" s="55">
        <v>0.0019212962962962964</v>
      </c>
      <c r="U60" s="50">
        <f t="shared" ref="U60:U75" si="84">V60/1.22</f>
        <v>0</v>
      </c>
      <c r="V60" s="50"/>
      <c r="W60" s="50"/>
      <c r="X60" s="63"/>
    </row>
    <row r="61">
      <c r="A61" s="68" t="s">
        <v>69</v>
      </c>
      <c r="B61" s="34" t="s">
        <v>94</v>
      </c>
      <c r="C61" s="35">
        <v>2060099.0</v>
      </c>
      <c r="D61" s="35">
        <v>13891.0</v>
      </c>
      <c r="E61" s="40">
        <f t="shared" si="81"/>
        <v>0.006742879832</v>
      </c>
      <c r="F61" s="43">
        <v>1912341.0</v>
      </c>
      <c r="G61" s="43">
        <v>2060000.0</v>
      </c>
      <c r="H61" s="47">
        <f t="shared" si="82"/>
        <v>1.077265509</v>
      </c>
      <c r="I61" s="47">
        <v>0.0347</v>
      </c>
      <c r="J61" s="48"/>
      <c r="K61" s="48"/>
      <c r="L61" s="48"/>
      <c r="M61" s="46"/>
      <c r="N61" s="43">
        <v>0.0</v>
      </c>
      <c r="O61" s="43">
        <v>0.0</v>
      </c>
      <c r="P61" s="50">
        <f t="shared" si="83"/>
        <v>0</v>
      </c>
      <c r="Q61" s="51"/>
      <c r="R61" s="47">
        <v>0.32</v>
      </c>
      <c r="S61" s="53">
        <v>1.23</v>
      </c>
      <c r="T61" s="55">
        <v>0.0016782407407407408</v>
      </c>
      <c r="U61" s="50">
        <f t="shared" si="84"/>
        <v>0</v>
      </c>
      <c r="V61" s="50"/>
      <c r="W61" s="50"/>
      <c r="X61" s="63"/>
    </row>
    <row r="62">
      <c r="A62" s="120" t="s">
        <v>47</v>
      </c>
      <c r="B62" s="34" t="s">
        <v>94</v>
      </c>
      <c r="C62" s="35">
        <v>2211228.0</v>
      </c>
      <c r="D62" s="35">
        <v>2865.0</v>
      </c>
      <c r="E62" s="40">
        <f t="shared" si="81"/>
        <v>0.001295660149</v>
      </c>
      <c r="F62" s="43">
        <v>2273193.0</v>
      </c>
      <c r="G62" s="43">
        <v>3181164.0</v>
      </c>
      <c r="H62" s="47">
        <f t="shared" si="82"/>
        <v>0.9727409859</v>
      </c>
      <c r="I62" s="47">
        <v>0.1217</v>
      </c>
      <c r="J62" s="48"/>
      <c r="K62" s="48"/>
      <c r="L62" s="48"/>
      <c r="M62" s="46"/>
      <c r="N62" s="43">
        <v>0.0</v>
      </c>
      <c r="O62" s="43">
        <v>0.0</v>
      </c>
      <c r="P62" s="50">
        <f t="shared" si="83"/>
        <v>0</v>
      </c>
      <c r="Q62" s="51"/>
      <c r="R62" s="47">
        <v>0.4688</v>
      </c>
      <c r="S62" s="53">
        <v>1.38</v>
      </c>
      <c r="T62" s="55">
        <v>0.001585648148148148</v>
      </c>
      <c r="U62" s="50">
        <f t="shared" si="84"/>
        <v>0</v>
      </c>
      <c r="V62" s="50"/>
      <c r="W62" s="50"/>
      <c r="X62" s="63"/>
    </row>
    <row r="63">
      <c r="A63" s="68" t="s">
        <v>51</v>
      </c>
      <c r="B63" s="34" t="s">
        <v>94</v>
      </c>
      <c r="C63" s="35">
        <v>2094010.0</v>
      </c>
      <c r="D63" s="35">
        <v>2569.0</v>
      </c>
      <c r="E63" s="40">
        <f t="shared" si="81"/>
        <v>0.001226832728</v>
      </c>
      <c r="F63" s="43">
        <v>466085.0</v>
      </c>
      <c r="G63" s="43">
        <v>2066667.0</v>
      </c>
      <c r="H63" s="47">
        <f t="shared" si="82"/>
        <v>4.492764195</v>
      </c>
      <c r="I63" s="47">
        <v>0.111</v>
      </c>
      <c r="J63" s="48"/>
      <c r="K63" s="48"/>
      <c r="L63" s="48"/>
      <c r="M63" s="46"/>
      <c r="N63" s="43">
        <v>0.0</v>
      </c>
      <c r="O63" s="43">
        <v>0.0</v>
      </c>
      <c r="P63" s="50">
        <f t="shared" si="83"/>
        <v>0</v>
      </c>
      <c r="Q63" s="51"/>
      <c r="R63" s="47">
        <v>0.468</v>
      </c>
      <c r="S63" s="53">
        <v>1.16</v>
      </c>
      <c r="T63" s="55">
        <v>7.060185185185185E-4</v>
      </c>
      <c r="U63" s="50">
        <f t="shared" si="84"/>
        <v>0</v>
      </c>
      <c r="V63" s="85"/>
      <c r="W63" s="50"/>
      <c r="X63" s="63"/>
    </row>
    <row r="64">
      <c r="A64" s="68" t="s">
        <v>109</v>
      </c>
      <c r="B64" s="34" t="s">
        <v>94</v>
      </c>
      <c r="C64" s="35">
        <v>809172.0</v>
      </c>
      <c r="D64" s="35">
        <v>1365.0</v>
      </c>
      <c r="E64" s="40">
        <f t="shared" si="81"/>
        <v>0.001686909582</v>
      </c>
      <c r="F64" s="43">
        <v>925575.0</v>
      </c>
      <c r="G64" s="43">
        <v>800000.0</v>
      </c>
      <c r="H64" s="47">
        <f t="shared" si="82"/>
        <v>0.8742370959</v>
      </c>
      <c r="I64" s="47">
        <v>0.0629</v>
      </c>
      <c r="J64" s="48"/>
      <c r="K64" s="48"/>
      <c r="L64" s="48"/>
      <c r="M64" s="46"/>
      <c r="N64" s="43">
        <v>0.0</v>
      </c>
      <c r="O64" s="43">
        <v>0.0</v>
      </c>
      <c r="P64" s="50">
        <f t="shared" si="83"/>
        <v>0</v>
      </c>
      <c r="Q64" s="51"/>
      <c r="R64" s="47">
        <v>0.3819</v>
      </c>
      <c r="S64" s="53">
        <v>1.53</v>
      </c>
      <c r="T64" s="55">
        <v>0.0017476851851851852</v>
      </c>
      <c r="U64" s="50">
        <f t="shared" si="84"/>
        <v>0</v>
      </c>
      <c r="V64" s="85"/>
      <c r="W64" s="50"/>
      <c r="X64" s="63"/>
    </row>
    <row r="65">
      <c r="A65" s="97" t="s">
        <v>46</v>
      </c>
      <c r="C65" s="98">
        <f t="shared" ref="C65:D65" si="85">SUM(C60:C64)</f>
        <v>9713602</v>
      </c>
      <c r="D65" s="98">
        <f t="shared" si="85"/>
        <v>61059</v>
      </c>
      <c r="E65" s="99">
        <f t="shared" si="81"/>
        <v>0.006285927713</v>
      </c>
      <c r="F65" s="98">
        <f t="shared" ref="F65:G65" si="86">SUM(F60:F64)</f>
        <v>8348923</v>
      </c>
      <c r="G65" s="98">
        <f t="shared" si="86"/>
        <v>10627394</v>
      </c>
      <c r="H65" s="140"/>
      <c r="I65" s="99">
        <f t="shared" ref="I65:L65" si="87">AVERAGE(I60:I64)</f>
        <v>0.08168</v>
      </c>
      <c r="J65" s="99" t="str">
        <f t="shared" si="87"/>
        <v>#DIV/0!</v>
      </c>
      <c r="K65" s="99" t="str">
        <f t="shared" si="87"/>
        <v>#DIV/0!</v>
      </c>
      <c r="L65" s="99" t="str">
        <f t="shared" si="87"/>
        <v>#DIV/0!</v>
      </c>
      <c r="M65" s="98">
        <f t="shared" ref="M65:O65" si="88">SUM(M60:M64)</f>
        <v>0</v>
      </c>
      <c r="N65" s="98">
        <f t="shared" si="88"/>
        <v>2</v>
      </c>
      <c r="O65" s="98">
        <f t="shared" si="88"/>
        <v>0</v>
      </c>
      <c r="P65" s="101">
        <f>V65/D65</f>
        <v>0</v>
      </c>
      <c r="Q65" s="195"/>
      <c r="R65" s="99">
        <f t="shared" ref="R65:T65" si="89">AVERAGE(R60:R64)</f>
        <v>0.36932</v>
      </c>
      <c r="S65" s="103">
        <f t="shared" si="89"/>
        <v>1.324</v>
      </c>
      <c r="T65" s="104">
        <f t="shared" si="89"/>
        <v>0.001527777778</v>
      </c>
      <c r="U65" s="101">
        <f t="shared" si="84"/>
        <v>0</v>
      </c>
      <c r="V65" s="101"/>
      <c r="W65" s="101"/>
      <c r="X65" s="107">
        <f>U65/(G65/1000)</f>
        <v>0</v>
      </c>
    </row>
    <row r="66">
      <c r="A66" s="68" t="s">
        <v>110</v>
      </c>
      <c r="B66" s="34" t="s">
        <v>95</v>
      </c>
      <c r="C66" s="35">
        <v>48975.0</v>
      </c>
      <c r="D66" s="35">
        <v>951.0</v>
      </c>
      <c r="E66" s="40">
        <f t="shared" si="81"/>
        <v>0.01941807044</v>
      </c>
      <c r="F66" s="43">
        <v>0.0</v>
      </c>
      <c r="G66" s="43">
        <v>90000.0</v>
      </c>
      <c r="H66" s="47" t="str">
        <f t="shared" ref="H66:H70" si="90">IFERROR(C66/F66,"-")</f>
        <v>-</v>
      </c>
      <c r="I66" s="48"/>
      <c r="J66" s="48"/>
      <c r="K66" s="48"/>
      <c r="L66" s="48"/>
      <c r="M66" s="46"/>
      <c r="N66" s="43">
        <v>5.0</v>
      </c>
      <c r="O66" s="43">
        <v>1.0</v>
      </c>
      <c r="P66" s="50">
        <f t="shared" ref="P66:P70" si="91">IFERROR(V66/D66,"-")</f>
        <v>0</v>
      </c>
      <c r="Q66" s="51"/>
      <c r="R66" s="47">
        <v>0.0633</v>
      </c>
      <c r="S66" s="53">
        <v>1.43</v>
      </c>
      <c r="T66" s="55">
        <v>0.0011921296296296296</v>
      </c>
      <c r="U66" s="50">
        <f t="shared" si="84"/>
        <v>0</v>
      </c>
      <c r="V66" s="50"/>
      <c r="W66" s="50"/>
      <c r="X66" s="63"/>
    </row>
    <row r="67">
      <c r="A67" s="68" t="s">
        <v>111</v>
      </c>
      <c r="B67" s="34" t="s">
        <v>95</v>
      </c>
      <c r="C67" s="35">
        <v>90836.0</v>
      </c>
      <c r="D67" s="35">
        <v>1089.0</v>
      </c>
      <c r="E67" s="40">
        <f t="shared" si="81"/>
        <v>0.01198863887</v>
      </c>
      <c r="F67" s="43">
        <v>0.0</v>
      </c>
      <c r="G67" s="43">
        <v>100000.0</v>
      </c>
      <c r="H67" s="47" t="str">
        <f t="shared" si="90"/>
        <v>-</v>
      </c>
      <c r="I67" s="48"/>
      <c r="J67" s="48"/>
      <c r="K67" s="48"/>
      <c r="L67" s="48"/>
      <c r="M67" s="46"/>
      <c r="N67" s="43">
        <v>2.0</v>
      </c>
      <c r="O67" s="43">
        <v>2.0</v>
      </c>
      <c r="P67" s="50">
        <f t="shared" si="91"/>
        <v>0</v>
      </c>
      <c r="Q67" s="51"/>
      <c r="R67" s="47">
        <v>0.1799</v>
      </c>
      <c r="S67" s="53">
        <v>1.28</v>
      </c>
      <c r="T67" s="55">
        <v>0.0011805555555555556</v>
      </c>
      <c r="U67" s="50">
        <f t="shared" si="84"/>
        <v>0</v>
      </c>
      <c r="V67" s="50"/>
      <c r="W67" s="50"/>
      <c r="X67" s="63"/>
    </row>
    <row r="68">
      <c r="A68" s="120" t="s">
        <v>44</v>
      </c>
      <c r="B68" s="34" t="s">
        <v>95</v>
      </c>
      <c r="C68" s="35">
        <v>1982069.0</v>
      </c>
      <c r="D68" s="35">
        <v>38822.0</v>
      </c>
      <c r="E68" s="40">
        <f t="shared" si="81"/>
        <v>0.0195866037</v>
      </c>
      <c r="F68" s="43">
        <v>2209111.0</v>
      </c>
      <c r="G68" s="43">
        <v>1975109.0</v>
      </c>
      <c r="H68" s="47">
        <f t="shared" si="90"/>
        <v>0.8972247207</v>
      </c>
      <c r="I68" s="47">
        <v>0.0941</v>
      </c>
      <c r="J68" s="48"/>
      <c r="K68" s="48"/>
      <c r="L68" s="48"/>
      <c r="M68" s="46"/>
      <c r="N68" s="43">
        <v>0.0</v>
      </c>
      <c r="O68" s="43">
        <v>0.0</v>
      </c>
      <c r="P68" s="50">
        <f t="shared" si="91"/>
        <v>0</v>
      </c>
      <c r="Q68" s="51"/>
      <c r="R68" s="47">
        <v>0.2264</v>
      </c>
      <c r="S68" s="53">
        <v>1.94</v>
      </c>
      <c r="T68" s="55">
        <v>0.0013310185185185185</v>
      </c>
      <c r="U68" s="50">
        <f t="shared" si="84"/>
        <v>0</v>
      </c>
      <c r="V68" s="50"/>
      <c r="W68" s="50"/>
      <c r="X68" s="63"/>
    </row>
    <row r="69">
      <c r="A69" s="120" t="s">
        <v>43</v>
      </c>
      <c r="B69" s="34" t="s">
        <v>95</v>
      </c>
      <c r="C69" s="35">
        <v>1200240.0</v>
      </c>
      <c r="D69" s="35">
        <v>7537.0</v>
      </c>
      <c r="E69" s="40">
        <f t="shared" si="81"/>
        <v>0.006279577418</v>
      </c>
      <c r="F69" s="43">
        <v>1121514.0</v>
      </c>
      <c r="G69" s="43">
        <v>1139000.0</v>
      </c>
      <c r="H69" s="47">
        <f t="shared" si="90"/>
        <v>1.070196181</v>
      </c>
      <c r="I69" s="47">
        <v>0.0418</v>
      </c>
      <c r="J69" s="48"/>
      <c r="K69" s="48"/>
      <c r="L69" s="48"/>
      <c r="M69" s="46"/>
      <c r="N69" s="43">
        <v>0.0</v>
      </c>
      <c r="O69" s="43">
        <v>1.0</v>
      </c>
      <c r="P69" s="50">
        <f t="shared" si="91"/>
        <v>0</v>
      </c>
      <c r="Q69" s="51"/>
      <c r="R69" s="47">
        <v>0.3345</v>
      </c>
      <c r="S69" s="53">
        <v>1.52</v>
      </c>
      <c r="T69" s="55">
        <v>0.0010416666666666667</v>
      </c>
      <c r="U69" s="50">
        <f t="shared" si="84"/>
        <v>0</v>
      </c>
      <c r="V69" s="50"/>
      <c r="W69" s="50"/>
      <c r="X69" s="63"/>
    </row>
    <row r="70">
      <c r="A70" s="68" t="s">
        <v>51</v>
      </c>
      <c r="B70" s="34" t="s">
        <v>95</v>
      </c>
      <c r="C70" s="35">
        <v>4719469.0</v>
      </c>
      <c r="D70" s="35">
        <v>6501.0</v>
      </c>
      <c r="E70" s="40">
        <f t="shared" si="81"/>
        <v>0.001377485476</v>
      </c>
      <c r="F70" s="43">
        <v>1001226.0</v>
      </c>
      <c r="G70" s="43">
        <v>3062857.0</v>
      </c>
      <c r="H70" s="47">
        <f t="shared" si="90"/>
        <v>4.713690016</v>
      </c>
      <c r="I70" s="47">
        <v>0.1131</v>
      </c>
      <c r="J70" s="48"/>
      <c r="K70" s="48"/>
      <c r="L70" s="48"/>
      <c r="M70" s="46"/>
      <c r="N70" s="43">
        <v>0.0</v>
      </c>
      <c r="O70" s="43">
        <v>0.0</v>
      </c>
      <c r="P70" s="50">
        <f t="shared" si="91"/>
        <v>0</v>
      </c>
      <c r="Q70" s="51"/>
      <c r="R70" s="47">
        <v>0.4962</v>
      </c>
      <c r="S70" s="53">
        <v>1.03</v>
      </c>
      <c r="T70" s="55">
        <v>4.5138888888888887E-4</v>
      </c>
      <c r="U70" s="50">
        <f t="shared" si="84"/>
        <v>0</v>
      </c>
      <c r="V70" s="208"/>
      <c r="W70" s="50"/>
      <c r="X70" s="63"/>
    </row>
    <row r="71">
      <c r="A71" s="97" t="s">
        <v>46</v>
      </c>
      <c r="C71" s="98">
        <f t="shared" ref="C71:D71" si="92">SUM(C66:C70)</f>
        <v>8041589</v>
      </c>
      <c r="D71" s="98">
        <f t="shared" si="92"/>
        <v>54900</v>
      </c>
      <c r="E71" s="99">
        <f t="shared" si="81"/>
        <v>0.006827008941</v>
      </c>
      <c r="F71" s="98">
        <f t="shared" ref="F71:G71" si="93">SUM(F66:F70)</f>
        <v>4331851</v>
      </c>
      <c r="G71" s="98">
        <f t="shared" si="93"/>
        <v>6366966</v>
      </c>
      <c r="H71" s="140"/>
      <c r="I71" s="99">
        <f t="shared" ref="I71:L71" si="94">AVERAGE(I66:I70)</f>
        <v>0.083</v>
      </c>
      <c r="J71" s="99" t="str">
        <f t="shared" si="94"/>
        <v>#DIV/0!</v>
      </c>
      <c r="K71" s="99" t="str">
        <f t="shared" si="94"/>
        <v>#DIV/0!</v>
      </c>
      <c r="L71" s="99" t="str">
        <f t="shared" si="94"/>
        <v>#DIV/0!</v>
      </c>
      <c r="M71" s="98">
        <f t="shared" ref="M71:O71" si="95">SUM(M66:M69)</f>
        <v>0</v>
      </c>
      <c r="N71" s="98">
        <f t="shared" si="95"/>
        <v>7</v>
      </c>
      <c r="O71" s="98">
        <f t="shared" si="95"/>
        <v>4</v>
      </c>
      <c r="P71" s="101">
        <f>V71/D71</f>
        <v>0</v>
      </c>
      <c r="Q71" s="195"/>
      <c r="R71" s="99">
        <f t="shared" ref="R71:T71" si="96">AVERAGE(R66:R70)</f>
        <v>0.26006</v>
      </c>
      <c r="S71" s="103">
        <f t="shared" si="96"/>
        <v>1.44</v>
      </c>
      <c r="T71" s="104">
        <f t="shared" si="96"/>
        <v>0.001039351852</v>
      </c>
      <c r="U71" s="101">
        <f t="shared" si="84"/>
        <v>0</v>
      </c>
      <c r="V71" s="101"/>
      <c r="W71" s="101"/>
      <c r="X71" s="107">
        <f>U71/(G71/1000)</f>
        <v>0</v>
      </c>
    </row>
    <row r="72">
      <c r="A72" s="68" t="s">
        <v>110</v>
      </c>
      <c r="B72" s="34" t="s">
        <v>97</v>
      </c>
      <c r="C72" s="35">
        <v>49277.0</v>
      </c>
      <c r="D72" s="35">
        <v>929.0</v>
      </c>
      <c r="E72" s="40">
        <f t="shared" si="81"/>
        <v>0.01885260872</v>
      </c>
      <c r="F72" s="43">
        <v>0.0</v>
      </c>
      <c r="G72" s="43">
        <v>90000.0</v>
      </c>
      <c r="H72" s="47" t="str">
        <f t="shared" ref="H72:H75" si="97">IFERROR(C72/F72,"-")</f>
        <v>-</v>
      </c>
      <c r="I72" s="47" t="s">
        <v>71</v>
      </c>
      <c r="J72" s="48"/>
      <c r="K72" s="48"/>
      <c r="L72" s="48"/>
      <c r="M72" s="46"/>
      <c r="N72" s="43">
        <v>3.0</v>
      </c>
      <c r="O72" s="43">
        <v>3.0</v>
      </c>
      <c r="P72" s="50">
        <f t="shared" ref="P72:P75" si="98">IFERROR(V72/D72,"-")</f>
        <v>0</v>
      </c>
      <c r="Q72" s="51"/>
      <c r="R72" s="47">
        <v>0.051</v>
      </c>
      <c r="S72" s="53">
        <v>1.52</v>
      </c>
      <c r="T72" s="55">
        <v>0.0013194444444444445</v>
      </c>
      <c r="U72" s="50">
        <f t="shared" si="84"/>
        <v>0</v>
      </c>
      <c r="V72" s="50"/>
      <c r="W72" s="50"/>
      <c r="X72" s="63"/>
    </row>
    <row r="73">
      <c r="A73" s="68" t="s">
        <v>111</v>
      </c>
      <c r="B73" s="34" t="s">
        <v>97</v>
      </c>
      <c r="C73" s="35">
        <v>88143.0</v>
      </c>
      <c r="D73" s="35">
        <v>1091.0</v>
      </c>
      <c r="E73" s="40">
        <f t="shared" si="81"/>
        <v>0.01237761365</v>
      </c>
      <c r="F73" s="43">
        <v>0.0</v>
      </c>
      <c r="G73" s="43">
        <v>70000.0</v>
      </c>
      <c r="H73" s="47" t="str">
        <f t="shared" si="97"/>
        <v>-</v>
      </c>
      <c r="I73" s="48"/>
      <c r="J73" s="48"/>
      <c r="K73" s="48"/>
      <c r="L73" s="48"/>
      <c r="M73" s="46"/>
      <c r="N73" s="43">
        <v>4.0</v>
      </c>
      <c r="O73" s="43">
        <v>1.0</v>
      </c>
      <c r="P73" s="50">
        <f t="shared" si="98"/>
        <v>0</v>
      </c>
      <c r="Q73" s="51"/>
      <c r="R73" s="47">
        <v>0.194</v>
      </c>
      <c r="S73" s="53">
        <v>1.53</v>
      </c>
      <c r="T73" s="55">
        <v>0.0012847222222222223</v>
      </c>
      <c r="U73" s="50">
        <f t="shared" si="84"/>
        <v>0</v>
      </c>
      <c r="V73" s="50"/>
      <c r="W73" s="50"/>
      <c r="X73" s="63"/>
    </row>
    <row r="74">
      <c r="A74" s="68" t="s">
        <v>82</v>
      </c>
      <c r="B74" s="34" t="s">
        <v>97</v>
      </c>
      <c r="C74" s="35">
        <v>4314346.0</v>
      </c>
      <c r="D74" s="35">
        <v>10772.0</v>
      </c>
      <c r="E74" s="40">
        <f t="shared" si="81"/>
        <v>0.002496786303</v>
      </c>
      <c r="F74" s="43">
        <v>4283668.0</v>
      </c>
      <c r="G74" s="43">
        <v>4015278.0</v>
      </c>
      <c r="H74" s="47">
        <f t="shared" si="97"/>
        <v>1.007161619</v>
      </c>
      <c r="I74" s="47">
        <v>0.0</v>
      </c>
      <c r="J74" s="48"/>
      <c r="K74" s="48"/>
      <c r="L74" s="48"/>
      <c r="M74" s="46"/>
      <c r="N74" s="43">
        <v>0.0</v>
      </c>
      <c r="O74" s="43">
        <v>0.0</v>
      </c>
      <c r="P74" s="50">
        <f t="shared" si="98"/>
        <v>0</v>
      </c>
      <c r="Q74" s="51"/>
      <c r="R74" s="47">
        <v>0.39159999999999995</v>
      </c>
      <c r="S74" s="53">
        <v>1.03</v>
      </c>
      <c r="T74" s="55">
        <v>0.0011805555555555556</v>
      </c>
      <c r="U74" s="50">
        <f t="shared" si="84"/>
        <v>0</v>
      </c>
      <c r="V74" s="50"/>
      <c r="W74" s="50"/>
      <c r="X74" s="63"/>
    </row>
    <row r="75">
      <c r="A75" s="68" t="s">
        <v>40</v>
      </c>
      <c r="B75" s="34" t="s">
        <v>97</v>
      </c>
      <c r="C75" s="35">
        <v>1.1424537E7</v>
      </c>
      <c r="D75" s="35">
        <v>17871.0</v>
      </c>
      <c r="E75" s="40">
        <f t="shared" si="81"/>
        <v>0.001564264705</v>
      </c>
      <c r="F75" s="43">
        <v>1.1709588E7</v>
      </c>
      <c r="G75" s="43">
        <v>9115536.0</v>
      </c>
      <c r="H75" s="47">
        <f t="shared" si="97"/>
        <v>0.9756566158</v>
      </c>
      <c r="I75" s="47">
        <v>1.0E-4</v>
      </c>
      <c r="J75" s="48"/>
      <c r="K75" s="48"/>
      <c r="L75" s="48"/>
      <c r="M75" s="46"/>
      <c r="N75" s="43">
        <v>0.0</v>
      </c>
      <c r="O75" s="43">
        <v>0.0</v>
      </c>
      <c r="P75" s="50">
        <f t="shared" si="98"/>
        <v>0</v>
      </c>
      <c r="Q75" s="51"/>
      <c r="R75" s="47">
        <v>0.3717</v>
      </c>
      <c r="S75" s="53">
        <v>1.03</v>
      </c>
      <c r="T75" s="55">
        <v>0.0013310185185185185</v>
      </c>
      <c r="U75" s="50">
        <f t="shared" si="84"/>
        <v>0</v>
      </c>
      <c r="V75" s="50"/>
      <c r="W75" s="50"/>
      <c r="X75" s="63"/>
    </row>
    <row r="76">
      <c r="A76" s="120" t="s">
        <v>85</v>
      </c>
      <c r="B76" s="34" t="s">
        <v>97</v>
      </c>
      <c r="C76" s="35" t="s">
        <v>67</v>
      </c>
      <c r="D76" s="35" t="s">
        <v>67</v>
      </c>
      <c r="E76" s="143" t="s">
        <v>71</v>
      </c>
      <c r="F76" s="43" t="s">
        <v>67</v>
      </c>
      <c r="G76" s="43" t="s">
        <v>67</v>
      </c>
      <c r="H76" s="143" t="s">
        <v>71</v>
      </c>
      <c r="I76" s="143" t="s">
        <v>71</v>
      </c>
      <c r="J76" s="143" t="s">
        <v>71</v>
      </c>
      <c r="K76" s="143" t="s">
        <v>71</v>
      </c>
      <c r="L76" s="143" t="s">
        <v>71</v>
      </c>
      <c r="M76" s="43" t="s">
        <v>67</v>
      </c>
      <c r="N76" s="43" t="s">
        <v>67</v>
      </c>
      <c r="O76" s="43" t="s">
        <v>67</v>
      </c>
      <c r="P76" s="50" t="s">
        <v>67</v>
      </c>
      <c r="Q76" s="53" t="s">
        <v>67</v>
      </c>
      <c r="R76" s="143" t="s">
        <v>71</v>
      </c>
      <c r="S76" s="53" t="s">
        <v>67</v>
      </c>
      <c r="T76" s="143" t="s">
        <v>67</v>
      </c>
      <c r="U76" s="134"/>
      <c r="V76" s="50"/>
      <c r="W76" s="50"/>
      <c r="X76" s="63"/>
    </row>
    <row r="77">
      <c r="A77" s="68" t="s">
        <v>112</v>
      </c>
      <c r="B77" s="34" t="s">
        <v>97</v>
      </c>
      <c r="C77" s="214"/>
      <c r="D77" s="214"/>
      <c r="E77" s="40" t="str">
        <f t="shared" ref="E77:E85" si="99">IFERROR(D77/C77,"-")</f>
        <v>-</v>
      </c>
      <c r="F77" s="43" t="s">
        <v>67</v>
      </c>
      <c r="G77" s="43" t="s">
        <v>67</v>
      </c>
      <c r="H77" s="47" t="str">
        <f t="shared" ref="H77:H80" si="100">IFERROR(C77/F77,"-")</f>
        <v>-</v>
      </c>
      <c r="I77" s="47" t="s">
        <v>71</v>
      </c>
      <c r="J77" s="48"/>
      <c r="K77" s="48"/>
      <c r="L77" s="48"/>
      <c r="M77" s="46"/>
      <c r="N77" s="46"/>
      <c r="O77" s="46"/>
      <c r="P77" s="50" t="str">
        <f t="shared" ref="P77:P80" si="101">IFERROR(V77/D77,"-")</f>
        <v>-</v>
      </c>
      <c r="Q77" s="51"/>
      <c r="R77" s="48"/>
      <c r="S77" s="51"/>
      <c r="T77" s="197"/>
      <c r="U77" s="134"/>
      <c r="V77" s="85"/>
      <c r="W77" s="50"/>
      <c r="X77" s="63"/>
    </row>
    <row r="78">
      <c r="A78" s="68" t="s">
        <v>113</v>
      </c>
      <c r="B78" s="34" t="s">
        <v>97</v>
      </c>
      <c r="C78" s="214"/>
      <c r="D78" s="214"/>
      <c r="E78" s="40" t="str">
        <f t="shared" si="99"/>
        <v>-</v>
      </c>
      <c r="F78" s="43" t="s">
        <v>67</v>
      </c>
      <c r="G78" s="43" t="s">
        <v>67</v>
      </c>
      <c r="H78" s="47" t="str">
        <f t="shared" si="100"/>
        <v>-</v>
      </c>
      <c r="I78" s="47" t="s">
        <v>71</v>
      </c>
      <c r="J78" s="48"/>
      <c r="K78" s="48"/>
      <c r="L78" s="48"/>
      <c r="M78" s="46"/>
      <c r="N78" s="46"/>
      <c r="O78" s="46"/>
      <c r="P78" s="50" t="str">
        <f t="shared" si="101"/>
        <v>-</v>
      </c>
      <c r="Q78" s="51"/>
      <c r="R78" s="48"/>
      <c r="S78" s="51"/>
      <c r="T78" s="197"/>
      <c r="U78" s="134"/>
      <c r="V78" s="85"/>
      <c r="W78" s="50"/>
      <c r="X78" s="63"/>
    </row>
    <row r="79">
      <c r="A79" s="68" t="s">
        <v>51</v>
      </c>
      <c r="B79" s="34" t="s">
        <v>97</v>
      </c>
      <c r="C79" s="35">
        <v>2397247.0</v>
      </c>
      <c r="D79" s="35">
        <v>2818.0</v>
      </c>
      <c r="E79" s="40">
        <f t="shared" si="99"/>
        <v>0.00117551508</v>
      </c>
      <c r="F79" s="43">
        <v>1023448.0</v>
      </c>
      <c r="G79" s="43">
        <v>3062857.0</v>
      </c>
      <c r="H79" s="47">
        <f t="shared" si="100"/>
        <v>2.342324183</v>
      </c>
      <c r="I79" s="47">
        <v>0.0893</v>
      </c>
      <c r="J79" s="48"/>
      <c r="K79" s="48"/>
      <c r="L79" s="48"/>
      <c r="M79" s="46"/>
      <c r="N79" s="43">
        <v>0.0</v>
      </c>
      <c r="O79" s="43">
        <v>0.0</v>
      </c>
      <c r="P79" s="50">
        <f t="shared" si="101"/>
        <v>0</v>
      </c>
      <c r="Q79" s="51"/>
      <c r="R79" s="47">
        <v>0.4978</v>
      </c>
      <c r="S79" s="53">
        <v>1.07</v>
      </c>
      <c r="T79" s="55">
        <v>7.175925925925926E-4</v>
      </c>
      <c r="U79" s="134"/>
      <c r="V79" s="85"/>
      <c r="W79" s="50"/>
      <c r="X79" s="63"/>
    </row>
    <row r="80">
      <c r="A80" s="68" t="s">
        <v>96</v>
      </c>
      <c r="B80" s="34" t="s">
        <v>97</v>
      </c>
      <c r="C80" s="35">
        <v>47448.0</v>
      </c>
      <c r="D80" s="35">
        <v>232.0</v>
      </c>
      <c r="E80" s="40">
        <f t="shared" si="99"/>
        <v>0.004889563311</v>
      </c>
      <c r="F80" s="43">
        <v>0.0</v>
      </c>
      <c r="G80" s="43">
        <v>45627.0</v>
      </c>
      <c r="H80" s="47" t="str">
        <f t="shared" si="100"/>
        <v>-</v>
      </c>
      <c r="I80" s="47" t="s">
        <v>71</v>
      </c>
      <c r="J80" s="48"/>
      <c r="K80" s="48"/>
      <c r="L80" s="48"/>
      <c r="M80" s="46"/>
      <c r="N80" s="43">
        <v>1.0</v>
      </c>
      <c r="O80" s="43">
        <v>0.0</v>
      </c>
      <c r="P80" s="50">
        <f t="shared" si="101"/>
        <v>0</v>
      </c>
      <c r="Q80" s="51"/>
      <c r="R80" s="47">
        <v>0.2564</v>
      </c>
      <c r="S80" s="53">
        <v>2.05</v>
      </c>
      <c r="T80" s="55">
        <v>0.0016435185185185185</v>
      </c>
      <c r="U80" s="134"/>
      <c r="V80" s="217"/>
      <c r="W80" s="50"/>
      <c r="X80" s="63"/>
    </row>
    <row r="81">
      <c r="A81" s="97" t="s">
        <v>46</v>
      </c>
      <c r="C81" s="98">
        <f t="shared" ref="C81:D81" si="102">SUM(C72:C80)</f>
        <v>18320998</v>
      </c>
      <c r="D81" s="98">
        <f t="shared" si="102"/>
        <v>33713</v>
      </c>
      <c r="E81" s="99">
        <f t="shared" si="99"/>
        <v>0.001840129015</v>
      </c>
      <c r="F81" s="98">
        <f t="shared" ref="F81:G81" si="103">SUM(F72:F80)</f>
        <v>17016704</v>
      </c>
      <c r="G81" s="98">
        <f t="shared" si="103"/>
        <v>16399298</v>
      </c>
      <c r="H81" s="140"/>
      <c r="I81" s="99">
        <f t="shared" ref="I81:L81" si="104">AVERAGE(I72:I80)</f>
        <v>0.0298</v>
      </c>
      <c r="J81" s="99" t="str">
        <f t="shared" si="104"/>
        <v>#DIV/0!</v>
      </c>
      <c r="K81" s="99" t="str">
        <f t="shared" si="104"/>
        <v>#DIV/0!</v>
      </c>
      <c r="L81" s="99" t="str">
        <f t="shared" si="104"/>
        <v>#DIV/0!</v>
      </c>
      <c r="M81" s="98">
        <f t="shared" ref="M81:O81" si="105">SUM(M72:M80)</f>
        <v>0</v>
      </c>
      <c r="N81" s="98">
        <f t="shared" si="105"/>
        <v>8</v>
      </c>
      <c r="O81" s="98">
        <f t="shared" si="105"/>
        <v>4</v>
      </c>
      <c r="P81" s="101">
        <f>V81/D81</f>
        <v>0</v>
      </c>
      <c r="Q81" s="195"/>
      <c r="R81" s="99">
        <f t="shared" ref="R81:T81" si="106">AVERAGE(R72:R80)</f>
        <v>0.29375</v>
      </c>
      <c r="S81" s="103">
        <f t="shared" si="106"/>
        <v>1.371666667</v>
      </c>
      <c r="T81" s="104">
        <f t="shared" si="106"/>
        <v>0.001246141975</v>
      </c>
      <c r="U81" s="101">
        <f t="shared" ref="U81:U86" si="107">V81/1.22</f>
        <v>0</v>
      </c>
      <c r="V81" s="101"/>
      <c r="W81" s="101"/>
      <c r="X81" s="107">
        <f>U81/(G81/1000)</f>
        <v>0</v>
      </c>
    </row>
    <row r="82">
      <c r="A82" s="68" t="s">
        <v>100</v>
      </c>
      <c r="B82" s="34" t="s">
        <v>101</v>
      </c>
      <c r="C82" s="35" t="s">
        <v>67</v>
      </c>
      <c r="D82" s="35" t="s">
        <v>67</v>
      </c>
      <c r="E82" s="40" t="str">
        <f t="shared" si="99"/>
        <v>-</v>
      </c>
      <c r="F82" s="43" t="s">
        <v>67</v>
      </c>
      <c r="G82" s="43" t="s">
        <v>67</v>
      </c>
      <c r="H82" s="47" t="str">
        <f t="shared" ref="H82:H84" si="108">IFERROR(C82/F82,"-")</f>
        <v>-</v>
      </c>
      <c r="I82" s="48"/>
      <c r="J82" s="48"/>
      <c r="K82" s="48"/>
      <c r="L82" s="48"/>
      <c r="M82" s="46"/>
      <c r="N82" s="46"/>
      <c r="O82" s="46"/>
      <c r="P82" s="134"/>
      <c r="Q82" s="51"/>
      <c r="R82" s="48"/>
      <c r="S82" s="51"/>
      <c r="T82" s="197"/>
      <c r="U82" s="50">
        <f t="shared" si="107"/>
        <v>0</v>
      </c>
      <c r="V82" s="50"/>
      <c r="W82" s="50"/>
      <c r="X82" s="63"/>
    </row>
    <row r="83">
      <c r="A83" s="68" t="s">
        <v>102</v>
      </c>
      <c r="B83" s="34" t="s">
        <v>101</v>
      </c>
      <c r="C83" s="35" t="s">
        <v>67</v>
      </c>
      <c r="D83" s="35" t="s">
        <v>67</v>
      </c>
      <c r="E83" s="40" t="str">
        <f t="shared" si="99"/>
        <v>-</v>
      </c>
      <c r="F83" s="43" t="s">
        <v>67</v>
      </c>
      <c r="G83" s="43" t="s">
        <v>67</v>
      </c>
      <c r="H83" s="47" t="str">
        <f t="shared" si="108"/>
        <v>-</v>
      </c>
      <c r="I83" s="48"/>
      <c r="J83" s="48"/>
      <c r="K83" s="48"/>
      <c r="L83" s="48"/>
      <c r="M83" s="46"/>
      <c r="N83" s="46"/>
      <c r="O83" s="46"/>
      <c r="P83" s="134"/>
      <c r="Q83" s="51"/>
      <c r="R83" s="48"/>
      <c r="S83" s="51"/>
      <c r="T83" s="197"/>
      <c r="U83" s="50">
        <f t="shared" si="107"/>
        <v>0</v>
      </c>
      <c r="V83" s="50"/>
      <c r="W83" s="50"/>
      <c r="X83" s="63"/>
    </row>
    <row r="84">
      <c r="A84" s="68" t="s">
        <v>115</v>
      </c>
      <c r="B84" s="34" t="s">
        <v>101</v>
      </c>
      <c r="C84" s="35" t="s">
        <v>67</v>
      </c>
      <c r="D84" s="35" t="s">
        <v>67</v>
      </c>
      <c r="E84" s="40" t="str">
        <f t="shared" si="99"/>
        <v>-</v>
      </c>
      <c r="F84" s="43" t="s">
        <v>67</v>
      </c>
      <c r="G84" s="43" t="s">
        <v>67</v>
      </c>
      <c r="H84" s="47" t="str">
        <f t="shared" si="108"/>
        <v>-</v>
      </c>
      <c r="I84" s="48"/>
      <c r="J84" s="48"/>
      <c r="K84" s="48"/>
      <c r="L84" s="48"/>
      <c r="M84" s="46"/>
      <c r="N84" s="46"/>
      <c r="O84" s="46"/>
      <c r="P84" s="134"/>
      <c r="Q84" s="51"/>
      <c r="R84" s="48"/>
      <c r="S84" s="51"/>
      <c r="T84" s="197"/>
      <c r="U84" s="50">
        <f t="shared" si="107"/>
        <v>0</v>
      </c>
      <c r="V84" s="50"/>
      <c r="W84" s="50"/>
      <c r="X84" s="63"/>
    </row>
    <row r="85">
      <c r="A85" s="68" t="s">
        <v>116</v>
      </c>
      <c r="B85" s="34" t="s">
        <v>101</v>
      </c>
      <c r="C85" s="35" t="s">
        <v>67</v>
      </c>
      <c r="D85" s="35" t="s">
        <v>67</v>
      </c>
      <c r="E85" s="40" t="str">
        <f t="shared" si="99"/>
        <v>-</v>
      </c>
      <c r="F85" s="46"/>
      <c r="G85" s="46"/>
      <c r="H85" s="48"/>
      <c r="I85" s="48"/>
      <c r="J85" s="48"/>
      <c r="K85" s="48"/>
      <c r="L85" s="48"/>
      <c r="M85" s="46"/>
      <c r="N85" s="46"/>
      <c r="O85" s="46"/>
      <c r="P85" s="134"/>
      <c r="Q85" s="51"/>
      <c r="R85" s="48"/>
      <c r="S85" s="51"/>
      <c r="T85" s="197"/>
      <c r="U85" s="50">
        <f t="shared" si="107"/>
        <v>0</v>
      </c>
      <c r="V85" s="50"/>
      <c r="W85" s="50"/>
      <c r="X85" s="63"/>
    </row>
    <row r="86">
      <c r="A86" s="219" t="s">
        <v>46</v>
      </c>
      <c r="B86" s="220"/>
      <c r="C86" s="199"/>
      <c r="D86" s="199"/>
      <c r="E86" s="221"/>
      <c r="F86" s="199"/>
      <c r="G86" s="199"/>
      <c r="H86" s="222" t="str">
        <f>IFERROR(C86/F86,"-")</f>
        <v>-</v>
      </c>
      <c r="I86" s="199"/>
      <c r="J86" s="199"/>
      <c r="K86" s="199"/>
      <c r="L86" s="199"/>
      <c r="M86" s="199"/>
      <c r="N86" s="199"/>
      <c r="O86" s="199"/>
      <c r="P86" s="223"/>
      <c r="Q86" s="195"/>
      <c r="R86" s="221"/>
      <c r="S86" s="195"/>
      <c r="T86" s="199"/>
      <c r="U86" s="101">
        <f t="shared" si="107"/>
        <v>0</v>
      </c>
      <c r="V86" s="101">
        <f>SUM(V82:V85)</f>
        <v>0</v>
      </c>
      <c r="W86" s="101">
        <f>V86*1.01</f>
        <v>0</v>
      </c>
      <c r="X86" s="224"/>
    </row>
  </sheetData>
  <autoFilter ref="$A$1:$Z$86"/>
  <mergeCells count="15">
    <mergeCell ref="A49:B49"/>
    <mergeCell ref="A54:B54"/>
    <mergeCell ref="A56:B56"/>
    <mergeCell ref="A59:B59"/>
    <mergeCell ref="A65:B65"/>
    <mergeCell ref="A71:B71"/>
    <mergeCell ref="A81:B81"/>
    <mergeCell ref="A86:B86"/>
    <mergeCell ref="A10:B10"/>
    <mergeCell ref="A22:B22"/>
    <mergeCell ref="A30:B30"/>
    <mergeCell ref="A35:B35"/>
    <mergeCell ref="A37:B37"/>
    <mergeCell ref="A42:B42"/>
    <mergeCell ref="A44:B44"/>
  </mergeCells>
  <hyperlinks>
    <hyperlink r:id="rId1" ref="A15"/>
    <hyperlink r:id="rId2" ref="A25"/>
    <hyperlink r:id="rId3" ref="A26"/>
    <hyperlink r:id="rId4" ref="A28"/>
    <hyperlink r:id="rId5" ref="A29"/>
    <hyperlink r:id="rId6" ref="A33"/>
    <hyperlink r:id="rId7" ref="A34"/>
    <hyperlink r:id="rId8" ref="A47"/>
    <hyperlink r:id="rId9" ref="A52"/>
    <hyperlink r:id="rId10" ref="A53"/>
    <hyperlink r:id="rId11" ref="A57"/>
    <hyperlink r:id="rId12" ref="A60"/>
    <hyperlink r:id="rId13" ref="A62"/>
    <hyperlink r:id="rId14" ref="A68"/>
    <hyperlink r:id="rId15" ref="A69"/>
    <hyperlink r:id="rId16" ref="A76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1.75"/>
    <col customWidth="1" min="2" max="2" width="15.0"/>
    <col hidden="1" min="5" max="20" width="12.63"/>
    <col customWidth="1" min="26" max="26" width="14.5"/>
  </cols>
  <sheetData>
    <row r="1">
      <c r="A1" s="1" t="s">
        <v>0</v>
      </c>
      <c r="B1" s="4" t="s">
        <v>1</v>
      </c>
      <c r="C1" s="4" t="s">
        <v>2</v>
      </c>
      <c r="D1" s="4" t="s">
        <v>3</v>
      </c>
      <c r="E1" s="7" t="s">
        <v>4</v>
      </c>
      <c r="F1" s="4" t="s">
        <v>6</v>
      </c>
      <c r="G1" s="4" t="s">
        <v>8</v>
      </c>
      <c r="H1" s="4" t="s">
        <v>10</v>
      </c>
      <c r="I1" s="4" t="s">
        <v>11</v>
      </c>
      <c r="J1" s="4" t="s">
        <v>12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22" t="s">
        <v>19</v>
      </c>
      <c r="Q1" s="26" t="s">
        <v>26</v>
      </c>
      <c r="R1" s="7" t="s">
        <v>27</v>
      </c>
      <c r="S1" s="29" t="s">
        <v>31</v>
      </c>
      <c r="T1" s="32" t="s">
        <v>32</v>
      </c>
      <c r="U1" s="22" t="s">
        <v>5</v>
      </c>
      <c r="V1" s="22" t="s">
        <v>9</v>
      </c>
      <c r="W1" s="22" t="s">
        <v>13</v>
      </c>
      <c r="X1" s="22" t="s">
        <v>20</v>
      </c>
      <c r="Y1" s="22" t="s">
        <v>21</v>
      </c>
      <c r="Z1" s="22" t="s">
        <v>33</v>
      </c>
    </row>
    <row r="2">
      <c r="A2" s="36" t="s">
        <v>23</v>
      </c>
      <c r="B2" s="52" t="s">
        <v>24</v>
      </c>
      <c r="C2" s="57">
        <v>1835395.0</v>
      </c>
      <c r="D2" s="57">
        <v>3977.0</v>
      </c>
      <c r="E2" s="65">
        <f t="shared" ref="E2:E70" si="1">IFERROR(D2/C2,"-")</f>
        <v>0.002166836022</v>
      </c>
      <c r="F2" s="67">
        <v>1980026.0</v>
      </c>
      <c r="G2" s="67">
        <v>1359330.0</v>
      </c>
      <c r="H2" s="69">
        <f t="shared" ref="H2:H16" si="2">IFERROR(C2/F2,"-")</f>
        <v>0.9269549996</v>
      </c>
      <c r="I2" s="70">
        <v>0.1105</v>
      </c>
      <c r="J2" s="70">
        <v>0.1105</v>
      </c>
      <c r="K2" s="70">
        <v>0.0</v>
      </c>
      <c r="L2" s="70">
        <v>0.0849</v>
      </c>
      <c r="M2" s="71"/>
      <c r="N2" s="71"/>
      <c r="O2" s="71"/>
      <c r="P2" s="72">
        <f t="shared" ref="P2:P6" si="3">IFERROR(V2/D2,"-")</f>
        <v>74.99122442</v>
      </c>
      <c r="Q2" s="75"/>
      <c r="R2" s="70">
        <v>0.5</v>
      </c>
      <c r="S2" s="77">
        <v>1.12</v>
      </c>
      <c r="T2" s="79">
        <v>0.0012037037037037038</v>
      </c>
      <c r="U2" s="72">
        <f t="shared" ref="U2:U35" si="4">V2/1.22</f>
        <v>244459.098</v>
      </c>
      <c r="V2" s="72">
        <f t="shared" ref="V2:V9" si="5">W2/1.005</f>
        <v>298240.0995</v>
      </c>
      <c r="W2" s="83">
        <v>299731.3</v>
      </c>
      <c r="X2" s="72">
        <f t="shared" ref="X2:X9" si="6">U2/C2*1000</f>
        <v>133.1915462</v>
      </c>
      <c r="Y2" s="72">
        <f t="shared" ref="Y2:Y76" si="7">U2/D2</f>
        <v>61.46821673</v>
      </c>
      <c r="Z2" s="83"/>
    </row>
    <row r="3">
      <c r="A3" s="36" t="s">
        <v>54</v>
      </c>
      <c r="B3" s="52" t="s">
        <v>24</v>
      </c>
      <c r="C3" s="57">
        <v>668723.0</v>
      </c>
      <c r="D3" s="57">
        <v>1570.0</v>
      </c>
      <c r="E3" s="65">
        <f t="shared" si="1"/>
        <v>0.002347758339</v>
      </c>
      <c r="F3" s="67">
        <v>706659.0</v>
      </c>
      <c r="G3" s="67">
        <v>570350.0</v>
      </c>
      <c r="H3" s="69">
        <f t="shared" si="2"/>
        <v>0.9463163987</v>
      </c>
      <c r="I3" s="70">
        <v>0.045</v>
      </c>
      <c r="J3" s="70">
        <v>0.0403</v>
      </c>
      <c r="K3" s="70">
        <v>0.0047</v>
      </c>
      <c r="L3" s="70">
        <v>0.027</v>
      </c>
      <c r="M3" s="71"/>
      <c r="N3" s="71"/>
      <c r="O3" s="71"/>
      <c r="P3" s="72">
        <f t="shared" si="3"/>
        <v>184.6913458</v>
      </c>
      <c r="Q3" s="75"/>
      <c r="R3" s="70">
        <v>0.38</v>
      </c>
      <c r="S3" s="77">
        <v>1.8</v>
      </c>
      <c r="T3" s="79">
        <v>0.0016550925925925926</v>
      </c>
      <c r="U3" s="72">
        <f t="shared" si="4"/>
        <v>237676.568</v>
      </c>
      <c r="V3" s="72">
        <f t="shared" si="5"/>
        <v>289965.4129</v>
      </c>
      <c r="W3" s="83">
        <v>291415.24</v>
      </c>
      <c r="X3" s="72">
        <f t="shared" si="6"/>
        <v>355.4185634</v>
      </c>
      <c r="Y3" s="72">
        <f t="shared" si="7"/>
        <v>151.386349</v>
      </c>
      <c r="Z3" s="83"/>
    </row>
    <row r="4">
      <c r="A4" s="90" t="s">
        <v>37</v>
      </c>
      <c r="B4" s="52" t="s">
        <v>24</v>
      </c>
      <c r="C4" s="57">
        <v>3597462.0</v>
      </c>
      <c r="D4" s="57">
        <v>8064.0</v>
      </c>
      <c r="E4" s="65">
        <f t="shared" si="1"/>
        <v>0.002241580314</v>
      </c>
      <c r="F4" s="67">
        <v>2554611.0</v>
      </c>
      <c r="G4" s="67">
        <v>3597450.0</v>
      </c>
      <c r="H4" s="69">
        <f t="shared" si="2"/>
        <v>1.408223013</v>
      </c>
      <c r="I4" s="69">
        <v>0.0401</v>
      </c>
      <c r="J4" s="70">
        <v>0.0373</v>
      </c>
      <c r="K4" s="69">
        <v>0.002799999999999997</v>
      </c>
      <c r="L4" s="70">
        <v>0.0233</v>
      </c>
      <c r="M4" s="71"/>
      <c r="N4" s="71"/>
      <c r="O4" s="71"/>
      <c r="P4" s="72">
        <f t="shared" si="3"/>
        <v>48.93311222</v>
      </c>
      <c r="Q4" s="75"/>
      <c r="R4" s="70">
        <v>0.2125</v>
      </c>
      <c r="S4" s="77">
        <v>2.43</v>
      </c>
      <c r="T4" s="79">
        <v>0.0012962962962962963</v>
      </c>
      <c r="U4" s="72">
        <f t="shared" si="4"/>
        <v>323439.8499</v>
      </c>
      <c r="V4" s="72">
        <f t="shared" si="5"/>
        <v>394596.6169</v>
      </c>
      <c r="W4" s="83">
        <v>396569.6</v>
      </c>
      <c r="X4" s="72">
        <f t="shared" si="6"/>
        <v>89.90778775</v>
      </c>
      <c r="Y4" s="72">
        <f t="shared" si="7"/>
        <v>40.10910837</v>
      </c>
      <c r="Z4" s="83"/>
    </row>
    <row r="5">
      <c r="A5" s="95" t="s">
        <v>39</v>
      </c>
      <c r="B5" s="52" t="s">
        <v>24</v>
      </c>
      <c r="C5" s="57">
        <v>1600669.0</v>
      </c>
      <c r="D5" s="57">
        <v>18623.0</v>
      </c>
      <c r="E5" s="65">
        <f t="shared" si="1"/>
        <v>0.01163451032</v>
      </c>
      <c r="F5" s="67">
        <v>1631499.0</v>
      </c>
      <c r="G5" s="67">
        <v>1600000.0</v>
      </c>
      <c r="H5" s="69">
        <f t="shared" si="2"/>
        <v>0.9811032676</v>
      </c>
      <c r="I5" s="70">
        <v>0.0</v>
      </c>
      <c r="J5" s="70">
        <v>0.0</v>
      </c>
      <c r="K5" s="70">
        <v>0.0</v>
      </c>
      <c r="L5" s="70">
        <v>0.062</v>
      </c>
      <c r="M5" s="71"/>
      <c r="N5" s="71"/>
      <c r="O5" s="71"/>
      <c r="P5" s="72">
        <f t="shared" si="3"/>
        <v>11.45403306</v>
      </c>
      <c r="Q5" s="75"/>
      <c r="R5" s="70">
        <v>0.1814</v>
      </c>
      <c r="S5" s="77">
        <v>1.15</v>
      </c>
      <c r="T5" s="79">
        <v>0.0021064814814814813</v>
      </c>
      <c r="U5" s="72">
        <f t="shared" si="4"/>
        <v>174842.9981</v>
      </c>
      <c r="V5" s="72">
        <f t="shared" si="5"/>
        <v>213308.4577</v>
      </c>
      <c r="W5" s="83">
        <v>214375.0</v>
      </c>
      <c r="X5" s="72">
        <f t="shared" si="6"/>
        <v>109.2312015</v>
      </c>
      <c r="Y5" s="72">
        <f t="shared" si="7"/>
        <v>9.38855169</v>
      </c>
      <c r="Z5" s="83">
        <v>183661.89</v>
      </c>
    </row>
    <row r="6">
      <c r="A6" s="36" t="s">
        <v>41</v>
      </c>
      <c r="B6" s="52" t="s">
        <v>24</v>
      </c>
      <c r="C6" s="57">
        <v>2753013.0</v>
      </c>
      <c r="D6" s="57">
        <v>8150.0</v>
      </c>
      <c r="E6" s="65">
        <f t="shared" si="1"/>
        <v>0.00296039285</v>
      </c>
      <c r="F6" s="67">
        <v>2810555.0</v>
      </c>
      <c r="G6" s="67">
        <v>2286852.0</v>
      </c>
      <c r="H6" s="69">
        <f t="shared" si="2"/>
        <v>0.9795264636</v>
      </c>
      <c r="I6" s="70">
        <v>0.0</v>
      </c>
      <c r="J6" s="70">
        <v>0.0</v>
      </c>
      <c r="K6" s="70">
        <v>0.0</v>
      </c>
      <c r="L6" s="102">
        <v>0.0262</v>
      </c>
      <c r="M6" s="71"/>
      <c r="N6" s="71"/>
      <c r="O6" s="71"/>
      <c r="P6" s="72">
        <f t="shared" si="3"/>
        <v>81.34644813</v>
      </c>
      <c r="Q6" s="75"/>
      <c r="R6" s="70">
        <v>0.4948</v>
      </c>
      <c r="S6" s="77">
        <v>1.05</v>
      </c>
      <c r="T6" s="79">
        <v>0.0010532407407407407</v>
      </c>
      <c r="U6" s="72">
        <f t="shared" si="4"/>
        <v>543420.9445</v>
      </c>
      <c r="V6" s="72">
        <f t="shared" si="5"/>
        <v>662973.5522</v>
      </c>
      <c r="W6" s="83">
        <v>666288.42</v>
      </c>
      <c r="X6" s="72">
        <f t="shared" si="6"/>
        <v>197.391347</v>
      </c>
      <c r="Y6" s="72">
        <f t="shared" si="7"/>
        <v>66.6774165</v>
      </c>
      <c r="Z6" s="83"/>
    </row>
    <row r="7">
      <c r="A7" s="95" t="s">
        <v>40</v>
      </c>
      <c r="B7" s="52" t="s">
        <v>24</v>
      </c>
      <c r="C7" s="57">
        <v>7061897.0</v>
      </c>
      <c r="D7" s="57">
        <v>18680.0</v>
      </c>
      <c r="E7" s="65">
        <f t="shared" si="1"/>
        <v>0.002645181599</v>
      </c>
      <c r="F7" s="67">
        <v>7275265.0</v>
      </c>
      <c r="G7" s="67">
        <v>8209197.0</v>
      </c>
      <c r="H7" s="69">
        <f t="shared" si="2"/>
        <v>0.9706721336</v>
      </c>
      <c r="I7" s="70">
        <v>0.0</v>
      </c>
      <c r="J7" s="70">
        <v>0.0</v>
      </c>
      <c r="K7" s="70">
        <v>0.0</v>
      </c>
      <c r="L7" s="70">
        <v>0.0288</v>
      </c>
      <c r="M7" s="71"/>
      <c r="N7" s="71"/>
      <c r="O7" s="71"/>
      <c r="P7" s="72">
        <v>0.0</v>
      </c>
      <c r="Q7" s="75"/>
      <c r="R7" s="70">
        <v>0.4765</v>
      </c>
      <c r="S7" s="77">
        <v>1.05</v>
      </c>
      <c r="T7" s="79">
        <v>0.0011574074074074073</v>
      </c>
      <c r="U7" s="72">
        <f t="shared" si="4"/>
        <v>440096.1912</v>
      </c>
      <c r="V7" s="72">
        <f t="shared" si="5"/>
        <v>536917.3532</v>
      </c>
      <c r="W7" s="83">
        <v>539601.94</v>
      </c>
      <c r="X7" s="72">
        <f t="shared" si="6"/>
        <v>62.31982584</v>
      </c>
      <c r="Y7" s="72">
        <f t="shared" si="7"/>
        <v>23.55975327</v>
      </c>
      <c r="Z7" s="83"/>
    </row>
    <row r="8">
      <c r="A8" s="90" t="s">
        <v>66</v>
      </c>
      <c r="B8" s="52" t="s">
        <v>24</v>
      </c>
      <c r="C8" s="67">
        <v>6909533.0</v>
      </c>
      <c r="D8" s="57">
        <v>136.0</v>
      </c>
      <c r="E8" s="65">
        <f t="shared" si="1"/>
        <v>0.00001968295108</v>
      </c>
      <c r="F8" s="67">
        <v>5958438.0</v>
      </c>
      <c r="G8" s="67">
        <v>6909533.0</v>
      </c>
      <c r="H8" s="69">
        <f t="shared" si="2"/>
        <v>1.159621532</v>
      </c>
      <c r="I8" s="70">
        <v>0.0698</v>
      </c>
      <c r="J8" s="70">
        <v>0.0698</v>
      </c>
      <c r="K8" s="70">
        <v>0.0</v>
      </c>
      <c r="L8" s="106" t="s">
        <v>67</v>
      </c>
      <c r="M8" s="71"/>
      <c r="N8" s="71"/>
      <c r="O8" s="71"/>
      <c r="P8" s="72">
        <v>0.0</v>
      </c>
      <c r="Q8" s="75"/>
      <c r="R8" s="106" t="s">
        <v>67</v>
      </c>
      <c r="S8" s="77" t="s">
        <v>67</v>
      </c>
      <c r="T8" s="106" t="s">
        <v>67</v>
      </c>
      <c r="U8" s="72">
        <f t="shared" si="4"/>
        <v>323924.0192</v>
      </c>
      <c r="V8" s="72">
        <f t="shared" si="5"/>
        <v>395187.3035</v>
      </c>
      <c r="W8" s="83">
        <v>397163.24</v>
      </c>
      <c r="X8" s="72">
        <f t="shared" si="6"/>
        <v>46.88073988</v>
      </c>
      <c r="Y8" s="72">
        <f t="shared" si="7"/>
        <v>2381.794259</v>
      </c>
      <c r="Z8" s="83"/>
    </row>
    <row r="9">
      <c r="A9" s="95" t="s">
        <v>45</v>
      </c>
      <c r="B9" s="52" t="s">
        <v>24</v>
      </c>
      <c r="C9" s="57">
        <v>2550001.0</v>
      </c>
      <c r="D9" s="57">
        <v>21396.0</v>
      </c>
      <c r="E9" s="65">
        <f t="shared" si="1"/>
        <v>0.008390584945</v>
      </c>
      <c r="F9" s="67" t="s">
        <v>67</v>
      </c>
      <c r="G9" s="67">
        <v>2039000.0</v>
      </c>
      <c r="H9" s="69" t="str">
        <f t="shared" si="2"/>
        <v>-</v>
      </c>
      <c r="I9" s="106" t="s">
        <v>67</v>
      </c>
      <c r="J9" s="106" t="s">
        <v>67</v>
      </c>
      <c r="K9" s="106" t="s">
        <v>67</v>
      </c>
      <c r="L9" s="106" t="s">
        <v>67</v>
      </c>
      <c r="M9" s="71"/>
      <c r="N9" s="71"/>
      <c r="O9" s="71"/>
      <c r="P9" s="72">
        <f>IFERROR(V9/D9,"-")</f>
        <v>26.59179146</v>
      </c>
      <c r="Q9" s="75"/>
      <c r="R9" s="70">
        <v>0.42</v>
      </c>
      <c r="S9" s="77">
        <v>1.41</v>
      </c>
      <c r="T9" s="79">
        <v>0.0012847222222222223</v>
      </c>
      <c r="U9" s="72">
        <f t="shared" si="4"/>
        <v>466358.9919</v>
      </c>
      <c r="V9" s="72">
        <f t="shared" si="5"/>
        <v>568957.9701</v>
      </c>
      <c r="W9" s="83">
        <v>571802.76</v>
      </c>
      <c r="X9" s="72">
        <f t="shared" si="6"/>
        <v>182.8858075</v>
      </c>
      <c r="Y9" s="72">
        <f t="shared" si="7"/>
        <v>21.79655038</v>
      </c>
      <c r="Z9" s="83"/>
    </row>
    <row r="10">
      <c r="A10" s="121" t="s">
        <v>46</v>
      </c>
      <c r="C10" s="125">
        <f t="shared" ref="C10:D10" si="8">SUM(C2:C9)</f>
        <v>26976693</v>
      </c>
      <c r="D10" s="125">
        <f t="shared" si="8"/>
        <v>80596</v>
      </c>
      <c r="E10" s="126">
        <f t="shared" si="1"/>
        <v>0.002987616014</v>
      </c>
      <c r="F10" s="125">
        <f t="shared" ref="F10:G10" si="9">SUM(F2:F9)</f>
        <v>22917053</v>
      </c>
      <c r="G10" s="125">
        <f t="shared" si="9"/>
        <v>26571712</v>
      </c>
      <c r="H10" s="126">
        <f t="shared" si="2"/>
        <v>1.177144941</v>
      </c>
      <c r="I10" s="126">
        <f t="shared" ref="I10:L10" si="10">AVERAGE(I2:I9)</f>
        <v>0.03791428571</v>
      </c>
      <c r="J10" s="126">
        <f t="shared" si="10"/>
        <v>0.03684285714</v>
      </c>
      <c r="K10" s="126">
        <f t="shared" si="10"/>
        <v>0.001071428571</v>
      </c>
      <c r="L10" s="126">
        <f t="shared" si="10"/>
        <v>0.04203333333</v>
      </c>
      <c r="M10" s="125">
        <f t="shared" ref="M10:O10" si="11">SUM(M2:M9)</f>
        <v>0</v>
      </c>
      <c r="N10" s="125">
        <f t="shared" si="11"/>
        <v>0</v>
      </c>
      <c r="O10" s="125">
        <f t="shared" si="11"/>
        <v>0</v>
      </c>
      <c r="P10" s="131">
        <f>V10/D10</f>
        <v>41.69123488</v>
      </c>
      <c r="Q10" s="125">
        <f>SUM(Q2:Q9)</f>
        <v>0</v>
      </c>
      <c r="R10" s="126">
        <f t="shared" ref="R10:T10" si="12">AVERAGE(R2:R9)</f>
        <v>0.3807428571</v>
      </c>
      <c r="S10" s="133">
        <f t="shared" si="12"/>
        <v>1.43</v>
      </c>
      <c r="T10" s="135">
        <f t="shared" si="12"/>
        <v>0.001393849206</v>
      </c>
      <c r="U10" s="131">
        <f t="shared" si="4"/>
        <v>2754218.661</v>
      </c>
      <c r="V10" s="131">
        <f t="shared" ref="V10:W10" si="13">SUM(V2:V9)</f>
        <v>3360146.766</v>
      </c>
      <c r="W10" s="131">
        <f t="shared" si="13"/>
        <v>3376947.5</v>
      </c>
      <c r="X10" s="131">
        <f>U10/(G10/1000)</f>
        <v>103.6522848</v>
      </c>
      <c r="Y10" s="131">
        <f t="shared" si="7"/>
        <v>34.17314334</v>
      </c>
      <c r="Z10" s="131"/>
    </row>
    <row r="11">
      <c r="A11" s="90" t="s">
        <v>86</v>
      </c>
      <c r="B11" s="52" t="s">
        <v>53</v>
      </c>
      <c r="C11" s="142">
        <v>1147080.0</v>
      </c>
      <c r="D11" s="142">
        <v>6931.0</v>
      </c>
      <c r="E11" s="65">
        <f t="shared" si="1"/>
        <v>0.006042298706</v>
      </c>
      <c r="F11" s="67">
        <v>1127531.0</v>
      </c>
      <c r="G11" s="71">
        <v>1298376.6233857144</v>
      </c>
      <c r="H11" s="69">
        <f t="shared" si="2"/>
        <v>1.017337883</v>
      </c>
      <c r="I11" s="69">
        <f t="shared" ref="I11:I16" si="14">IFERROR(J11+K11,"-")</f>
        <v>0.0208</v>
      </c>
      <c r="J11" s="70">
        <v>0.0157</v>
      </c>
      <c r="K11" s="70">
        <v>0.0051</v>
      </c>
      <c r="L11" s="70">
        <v>0.4991</v>
      </c>
      <c r="M11" s="71"/>
      <c r="N11" s="71"/>
      <c r="O11" s="71"/>
      <c r="P11" s="72">
        <f t="shared" ref="P11:P16" si="15">IFERROR(V11/D11,"-")</f>
        <v>51.6734582</v>
      </c>
      <c r="Q11" s="75"/>
      <c r="R11" s="65">
        <v>0.6696409986859395</v>
      </c>
      <c r="S11" s="75">
        <v>1.1376452036793692</v>
      </c>
      <c r="T11" s="145">
        <v>9.396123034992944E-4</v>
      </c>
      <c r="U11" s="72">
        <f t="shared" si="4"/>
        <v>293564.54</v>
      </c>
      <c r="V11" s="72">
        <f t="shared" ref="V11:V16" si="16">W11/1.005</f>
        <v>358148.7388</v>
      </c>
      <c r="W11" s="72">
        <v>359939.482494</v>
      </c>
      <c r="X11" s="72">
        <f t="shared" ref="X11:X16" si="17">U11/C11*1000</f>
        <v>255.9233358</v>
      </c>
      <c r="Y11" s="72">
        <f t="shared" si="7"/>
        <v>42.35529361</v>
      </c>
      <c r="Z11" s="83"/>
    </row>
    <row r="12">
      <c r="A12" s="95" t="s">
        <v>58</v>
      </c>
      <c r="B12" s="52" t="s">
        <v>53</v>
      </c>
      <c r="C12" s="142">
        <v>4500141.0</v>
      </c>
      <c r="D12" s="142">
        <v>5449.0</v>
      </c>
      <c r="E12" s="65">
        <f t="shared" si="1"/>
        <v>0.001210850949</v>
      </c>
      <c r="F12" s="67">
        <v>3113048.0</v>
      </c>
      <c r="G12" s="71">
        <v>4500000.0</v>
      </c>
      <c r="H12" s="69">
        <f t="shared" si="2"/>
        <v>1.44557392</v>
      </c>
      <c r="I12" s="69">
        <f t="shared" si="14"/>
        <v>0.173</v>
      </c>
      <c r="J12" s="70">
        <v>0.031</v>
      </c>
      <c r="K12" s="70">
        <v>0.142</v>
      </c>
      <c r="L12" s="70">
        <v>0.057</v>
      </c>
      <c r="M12" s="71"/>
      <c r="N12" s="71"/>
      <c r="O12" s="71"/>
      <c r="P12" s="72">
        <f t="shared" si="15"/>
        <v>165.41444</v>
      </c>
      <c r="Q12" s="75"/>
      <c r="R12" s="65">
        <v>0.4510432682870902</v>
      </c>
      <c r="S12" s="75">
        <v>1.2900710846136207</v>
      </c>
      <c r="T12" s="145">
        <v>0.0011625588125387483</v>
      </c>
      <c r="U12" s="72">
        <f t="shared" si="4"/>
        <v>738805.9701</v>
      </c>
      <c r="V12" s="72">
        <f t="shared" si="16"/>
        <v>901343.2836</v>
      </c>
      <c r="W12" s="72">
        <v>905850.0</v>
      </c>
      <c r="X12" s="72">
        <f t="shared" si="17"/>
        <v>164.1739604</v>
      </c>
      <c r="Y12" s="72">
        <f t="shared" si="7"/>
        <v>135.5856066</v>
      </c>
      <c r="Z12" s="83"/>
    </row>
    <row r="13">
      <c r="A13" s="36" t="s">
        <v>59</v>
      </c>
      <c r="B13" s="52" t="s">
        <v>53</v>
      </c>
      <c r="C13" s="142">
        <v>2836538.0</v>
      </c>
      <c r="D13" s="142">
        <v>49919.0</v>
      </c>
      <c r="E13" s="65">
        <f t="shared" si="1"/>
        <v>0.01759856558</v>
      </c>
      <c r="F13" s="67" t="s">
        <v>67</v>
      </c>
      <c r="G13" s="71">
        <v>1610000.0</v>
      </c>
      <c r="H13" s="69" t="str">
        <f t="shared" si="2"/>
        <v>-</v>
      </c>
      <c r="I13" s="69" t="str">
        <f t="shared" si="14"/>
        <v>-</v>
      </c>
      <c r="J13" s="106" t="s">
        <v>67</v>
      </c>
      <c r="K13" s="106" t="s">
        <v>67</v>
      </c>
      <c r="L13" s="106" t="s">
        <v>67</v>
      </c>
      <c r="M13" s="71"/>
      <c r="N13" s="71"/>
      <c r="O13" s="71"/>
      <c r="P13" s="72">
        <f t="shared" si="15"/>
        <v>7.356501264</v>
      </c>
      <c r="Q13" s="75"/>
      <c r="R13" s="146">
        <v>0.40362203941443414</v>
      </c>
      <c r="S13" s="75">
        <v>1.6703354884252466</v>
      </c>
      <c r="T13" s="147">
        <v>0.0011331837952525269</v>
      </c>
      <c r="U13" s="72">
        <f t="shared" si="4"/>
        <v>301007.53</v>
      </c>
      <c r="V13" s="72">
        <f t="shared" si="16"/>
        <v>367229.1866</v>
      </c>
      <c r="W13" s="72">
        <v>369065.3325329999</v>
      </c>
      <c r="X13" s="72">
        <f t="shared" si="17"/>
        <v>106.1179261</v>
      </c>
      <c r="Y13" s="72">
        <f t="shared" si="7"/>
        <v>6.029919069</v>
      </c>
      <c r="Z13" s="83"/>
    </row>
    <row r="14">
      <c r="A14" s="36" t="s">
        <v>60</v>
      </c>
      <c r="B14" s="52" t="s">
        <v>53</v>
      </c>
      <c r="C14" s="142">
        <v>1406509.0</v>
      </c>
      <c r="D14" s="142">
        <v>5045.0</v>
      </c>
      <c r="E14" s="65">
        <f t="shared" si="1"/>
        <v>0.003586894929</v>
      </c>
      <c r="F14" s="67" t="s">
        <v>67</v>
      </c>
      <c r="G14" s="71">
        <v>1625000.0</v>
      </c>
      <c r="H14" s="69" t="str">
        <f t="shared" si="2"/>
        <v>-</v>
      </c>
      <c r="I14" s="69" t="str">
        <f t="shared" si="14"/>
        <v>-</v>
      </c>
      <c r="J14" s="106" t="s">
        <v>67</v>
      </c>
      <c r="K14" s="106" t="s">
        <v>67</v>
      </c>
      <c r="L14" s="106" t="s">
        <v>67</v>
      </c>
      <c r="M14" s="71"/>
      <c r="N14" s="71"/>
      <c r="O14" s="71"/>
      <c r="P14" s="72">
        <f t="shared" si="15"/>
        <v>28.29335976</v>
      </c>
      <c r="Q14" s="75"/>
      <c r="R14" s="106" t="s">
        <v>67</v>
      </c>
      <c r="S14" s="106" t="s">
        <v>67</v>
      </c>
      <c r="T14" s="106" t="s">
        <v>67</v>
      </c>
      <c r="U14" s="72">
        <f t="shared" si="4"/>
        <v>117000</v>
      </c>
      <c r="V14" s="72">
        <f t="shared" si="16"/>
        <v>142740</v>
      </c>
      <c r="W14" s="72">
        <v>143453.69999999998</v>
      </c>
      <c r="X14" s="72">
        <f t="shared" si="17"/>
        <v>83.18467923</v>
      </c>
      <c r="Y14" s="72">
        <f t="shared" si="7"/>
        <v>23.19127849</v>
      </c>
      <c r="Z14" s="83"/>
    </row>
    <row r="15">
      <c r="A15" s="95" t="s">
        <v>45</v>
      </c>
      <c r="B15" s="52" t="s">
        <v>53</v>
      </c>
      <c r="C15" s="142">
        <v>5484067.0</v>
      </c>
      <c r="D15" s="142">
        <v>57431.00679153</v>
      </c>
      <c r="E15" s="65">
        <f t="shared" si="1"/>
        <v>0.01047233865</v>
      </c>
      <c r="F15" s="67" t="s">
        <v>67</v>
      </c>
      <c r="G15" s="71">
        <v>6615384.615384616</v>
      </c>
      <c r="H15" s="69" t="str">
        <f t="shared" si="2"/>
        <v>-</v>
      </c>
      <c r="I15" s="69" t="str">
        <f t="shared" si="14"/>
        <v>-</v>
      </c>
      <c r="J15" s="106" t="s">
        <v>67</v>
      </c>
      <c r="K15" s="106" t="s">
        <v>67</v>
      </c>
      <c r="L15" s="106" t="s">
        <v>67</v>
      </c>
      <c r="M15" s="71"/>
      <c r="N15" s="71"/>
      <c r="O15" s="71"/>
      <c r="P15" s="72">
        <f t="shared" si="15"/>
        <v>22.25337305</v>
      </c>
      <c r="Q15" s="75"/>
      <c r="R15" s="146">
        <v>0.3242691526988636</v>
      </c>
      <c r="S15" s="75">
        <v>1.8163478778121935</v>
      </c>
      <c r="T15" s="147">
        <v>0.0020559667990050863</v>
      </c>
      <c r="U15" s="72">
        <f t="shared" si="4"/>
        <v>1047568.54</v>
      </c>
      <c r="V15" s="72">
        <f t="shared" si="16"/>
        <v>1278033.619</v>
      </c>
      <c r="W15" s="72">
        <v>1284423.7868940001</v>
      </c>
      <c r="X15" s="72">
        <f t="shared" si="17"/>
        <v>191.0203759</v>
      </c>
      <c r="Y15" s="72">
        <f t="shared" si="7"/>
        <v>18.24046971</v>
      </c>
      <c r="Z15" s="83"/>
    </row>
    <row r="16">
      <c r="A16" s="148" t="s">
        <v>61</v>
      </c>
      <c r="B16" s="52" t="s">
        <v>53</v>
      </c>
      <c r="C16" s="142">
        <v>1626179.0</v>
      </c>
      <c r="D16" s="142">
        <v>3054.0</v>
      </c>
      <c r="E16" s="65">
        <f t="shared" si="1"/>
        <v>0.001878022038</v>
      </c>
      <c r="F16" s="67" t="s">
        <v>67</v>
      </c>
      <c r="G16" s="71">
        <v>653000.0</v>
      </c>
      <c r="H16" s="69" t="str">
        <f t="shared" si="2"/>
        <v>-</v>
      </c>
      <c r="I16" s="69" t="str">
        <f t="shared" si="14"/>
        <v>-</v>
      </c>
      <c r="J16" s="106" t="s">
        <v>67</v>
      </c>
      <c r="K16" s="106" t="s">
        <v>67</v>
      </c>
      <c r="L16" s="106" t="s">
        <v>67</v>
      </c>
      <c r="M16" s="71"/>
      <c r="N16" s="71"/>
      <c r="O16" s="71"/>
      <c r="P16" s="72">
        <f t="shared" si="15"/>
        <v>45.20791829</v>
      </c>
      <c r="Q16" s="75"/>
      <c r="R16" s="106" t="s">
        <v>67</v>
      </c>
      <c r="S16" s="106" t="s">
        <v>67</v>
      </c>
      <c r="T16" s="106" t="s">
        <v>67</v>
      </c>
      <c r="U16" s="72">
        <f t="shared" si="4"/>
        <v>113168.0184</v>
      </c>
      <c r="V16" s="72">
        <f t="shared" si="16"/>
        <v>138064.9825</v>
      </c>
      <c r="W16" s="149">
        <v>138755.30738220003</v>
      </c>
      <c r="X16" s="72">
        <f t="shared" si="17"/>
        <v>69.59136628</v>
      </c>
      <c r="Y16" s="72">
        <f t="shared" si="7"/>
        <v>37.05567073</v>
      </c>
      <c r="Z16" s="83"/>
    </row>
    <row r="17">
      <c r="A17" s="121" t="s">
        <v>46</v>
      </c>
      <c r="C17" s="125">
        <f t="shared" ref="C17:D17" si="18">SUM(C11:C16)</f>
        <v>17000514</v>
      </c>
      <c r="D17" s="125">
        <f t="shared" si="18"/>
        <v>127829.0068</v>
      </c>
      <c r="E17" s="126">
        <f t="shared" si="1"/>
        <v>0.007519125998</v>
      </c>
      <c r="F17" s="125">
        <f t="shared" ref="F17:G17" si="19">SUM(F11:F16)</f>
        <v>4240579</v>
      </c>
      <c r="G17" s="125">
        <f t="shared" si="19"/>
        <v>16301761.24</v>
      </c>
      <c r="H17" s="152"/>
      <c r="I17" s="126">
        <f t="shared" ref="I17:L17" si="20">AVERAGE(I11:I16)</f>
        <v>0.0969</v>
      </c>
      <c r="J17" s="126">
        <f t="shared" si="20"/>
        <v>0.02335</v>
      </c>
      <c r="K17" s="126">
        <f t="shared" si="20"/>
        <v>0.07355</v>
      </c>
      <c r="L17" s="126">
        <f t="shared" si="20"/>
        <v>0.27805</v>
      </c>
      <c r="M17" s="125">
        <f t="shared" ref="M17:O17" si="21">SUM(M11:M16)</f>
        <v>0</v>
      </c>
      <c r="N17" s="125">
        <f t="shared" si="21"/>
        <v>0</v>
      </c>
      <c r="O17" s="125">
        <f t="shared" si="21"/>
        <v>0</v>
      </c>
      <c r="P17" s="131">
        <f>V17/D17</f>
        <v>24.92047689</v>
      </c>
      <c r="Q17" s="125">
        <f>SUM(Q11:Q16)</f>
        <v>0</v>
      </c>
      <c r="R17" s="126">
        <f t="shared" ref="R17:T17" si="22">AVERAGE(R11:R16)</f>
        <v>0.4621438648</v>
      </c>
      <c r="S17" s="133">
        <f t="shared" si="22"/>
        <v>1.478599914</v>
      </c>
      <c r="T17" s="135">
        <f t="shared" si="22"/>
        <v>0.001322830428</v>
      </c>
      <c r="U17" s="131">
        <f t="shared" si="4"/>
        <v>2611114.599</v>
      </c>
      <c r="V17" s="131">
        <f t="shared" ref="V17:W17" si="23">SUM(V11:V16)</f>
        <v>3185559.81</v>
      </c>
      <c r="W17" s="131">
        <f t="shared" si="23"/>
        <v>3201487.609</v>
      </c>
      <c r="X17" s="131">
        <f>U17/(G17/1000)</f>
        <v>160.1737727</v>
      </c>
      <c r="Y17" s="131">
        <f t="shared" si="7"/>
        <v>20.42662041</v>
      </c>
      <c r="Z17" s="131"/>
    </row>
    <row r="18">
      <c r="A18" s="36" t="s">
        <v>35</v>
      </c>
      <c r="B18" s="52" t="s">
        <v>62</v>
      </c>
      <c r="C18" s="57">
        <v>5367564.0</v>
      </c>
      <c r="D18" s="57">
        <v>2870.0</v>
      </c>
      <c r="E18" s="65">
        <f t="shared" si="1"/>
        <v>0.0005346932053</v>
      </c>
      <c r="F18" s="67">
        <v>5740083.0</v>
      </c>
      <c r="G18" s="57">
        <v>4840000.0</v>
      </c>
      <c r="H18" s="69">
        <f t="shared" ref="H18:H22" si="24">IFERROR(C18/F18,"-")</f>
        <v>0.9351021579</v>
      </c>
      <c r="I18" s="70">
        <v>0.0452</v>
      </c>
      <c r="J18" s="70">
        <v>0.0444</v>
      </c>
      <c r="K18" s="70">
        <v>8.0E-4</v>
      </c>
      <c r="L18" s="70">
        <v>0.0478</v>
      </c>
      <c r="M18" s="71"/>
      <c r="N18" s="71"/>
      <c r="O18" s="71"/>
      <c r="P18" s="72">
        <f t="shared" ref="P18:P22" si="25">IFERROR(V18/D18,"-")</f>
        <v>269.279335</v>
      </c>
      <c r="Q18" s="75"/>
      <c r="R18" s="70">
        <v>0.51</v>
      </c>
      <c r="S18" s="77">
        <v>1.36</v>
      </c>
      <c r="T18" s="79">
        <v>0.0014236111111111112</v>
      </c>
      <c r="U18" s="72">
        <f t="shared" si="4"/>
        <v>633468.5996</v>
      </c>
      <c r="V18" s="72">
        <f t="shared" ref="V18:V22" si="26">W18/1.005</f>
        <v>772831.6915</v>
      </c>
      <c r="W18" s="83">
        <v>776695.85</v>
      </c>
      <c r="X18" s="72">
        <f t="shared" ref="X18:X22" si="27">U18/C18*1000</f>
        <v>118.0178941</v>
      </c>
      <c r="Y18" s="72">
        <f t="shared" si="7"/>
        <v>220.7207664</v>
      </c>
      <c r="Z18" s="83"/>
    </row>
    <row r="19">
      <c r="A19" s="36" t="s">
        <v>54</v>
      </c>
      <c r="B19" s="52" t="s">
        <v>62</v>
      </c>
      <c r="C19" s="57">
        <v>1024863.0</v>
      </c>
      <c r="D19" s="57">
        <v>1682.0</v>
      </c>
      <c r="E19" s="65">
        <f t="shared" si="1"/>
        <v>0.001641194969</v>
      </c>
      <c r="F19" s="67">
        <v>1063847.0</v>
      </c>
      <c r="G19" s="67">
        <v>764263.0</v>
      </c>
      <c r="H19" s="69">
        <f t="shared" si="24"/>
        <v>0.9633556329</v>
      </c>
      <c r="I19" s="70">
        <v>0.0419</v>
      </c>
      <c r="J19" s="70">
        <v>0.0341</v>
      </c>
      <c r="K19" s="70">
        <v>0.0078</v>
      </c>
      <c r="L19" s="70">
        <v>0.0366</v>
      </c>
      <c r="M19" s="71"/>
      <c r="N19" s="71"/>
      <c r="O19" s="71"/>
      <c r="P19" s="72">
        <f t="shared" si="25"/>
        <v>237.5987009</v>
      </c>
      <c r="Q19" s="75"/>
      <c r="R19" s="70">
        <v>0.39</v>
      </c>
      <c r="S19" s="77">
        <v>1.56</v>
      </c>
      <c r="T19" s="79">
        <v>0.0012847222222222223</v>
      </c>
      <c r="U19" s="72">
        <f t="shared" si="4"/>
        <v>327574.6024</v>
      </c>
      <c r="V19" s="72">
        <f t="shared" si="26"/>
        <v>399641.0149</v>
      </c>
      <c r="W19" s="83">
        <v>401639.22</v>
      </c>
      <c r="X19" s="72">
        <f t="shared" si="27"/>
        <v>319.6276989</v>
      </c>
      <c r="Y19" s="72">
        <f t="shared" si="7"/>
        <v>194.7530335</v>
      </c>
      <c r="Z19" s="83"/>
    </row>
    <row r="20">
      <c r="A20" s="95" t="s">
        <v>39</v>
      </c>
      <c r="B20" s="52" t="s">
        <v>62</v>
      </c>
      <c r="C20" s="57">
        <v>4723857.0</v>
      </c>
      <c r="D20" s="57">
        <v>67196.0</v>
      </c>
      <c r="E20" s="65">
        <f t="shared" si="1"/>
        <v>0.01422481671</v>
      </c>
      <c r="F20" s="67">
        <v>4814584.0</v>
      </c>
      <c r="G20" s="67">
        <v>6137110.0</v>
      </c>
      <c r="H20" s="69">
        <f t="shared" si="24"/>
        <v>0.9811557966</v>
      </c>
      <c r="I20" s="102">
        <v>0.0567</v>
      </c>
      <c r="J20" s="102">
        <v>0.0255</v>
      </c>
      <c r="K20" s="102">
        <v>0.0312</v>
      </c>
      <c r="L20" s="102">
        <v>0.0381</v>
      </c>
      <c r="M20" s="71"/>
      <c r="N20" s="71"/>
      <c r="O20" s="71"/>
      <c r="P20" s="72">
        <f t="shared" si="25"/>
        <v>9.4342165</v>
      </c>
      <c r="Q20" s="75"/>
      <c r="R20" s="102">
        <v>0.4793</v>
      </c>
      <c r="S20" s="77">
        <v>1.46</v>
      </c>
      <c r="T20" s="157">
        <v>7.523148148148148E-4</v>
      </c>
      <c r="U20" s="72">
        <f t="shared" si="4"/>
        <v>519624.2721</v>
      </c>
      <c r="V20" s="72">
        <f t="shared" si="26"/>
        <v>633941.6119</v>
      </c>
      <c r="W20" s="83">
        <v>637111.32</v>
      </c>
      <c r="X20" s="72">
        <f t="shared" si="27"/>
        <v>110.0000004</v>
      </c>
      <c r="Y20" s="72">
        <f t="shared" si="7"/>
        <v>7.732964344</v>
      </c>
      <c r="Z20" s="83">
        <v>536169.51</v>
      </c>
    </row>
    <row r="21">
      <c r="A21" s="158" t="s">
        <v>41</v>
      </c>
      <c r="B21" s="52" t="s">
        <v>62</v>
      </c>
      <c r="C21" s="57">
        <v>2548340.0</v>
      </c>
      <c r="D21" s="57">
        <v>7090.0</v>
      </c>
      <c r="E21" s="65">
        <f t="shared" si="1"/>
        <v>0.002782203317</v>
      </c>
      <c r="F21" s="67">
        <v>2599998.0</v>
      </c>
      <c r="G21" s="67">
        <v>1690320.0</v>
      </c>
      <c r="H21" s="69">
        <f t="shared" si="24"/>
        <v>0.9801315232</v>
      </c>
      <c r="I21" s="70">
        <v>0.0</v>
      </c>
      <c r="J21" s="70">
        <v>0.0</v>
      </c>
      <c r="K21" s="70">
        <v>0.0</v>
      </c>
      <c r="L21" s="70">
        <v>0.0317</v>
      </c>
      <c r="M21" s="71"/>
      <c r="N21" s="71"/>
      <c r="O21" s="71"/>
      <c r="P21" s="72">
        <f t="shared" si="25"/>
        <v>69.66846164</v>
      </c>
      <c r="Q21" s="75"/>
      <c r="R21" s="70">
        <v>0.5072</v>
      </c>
      <c r="S21" s="77">
        <v>1.03</v>
      </c>
      <c r="T21" s="79">
        <v>0.0010532407407407407</v>
      </c>
      <c r="U21" s="72">
        <f t="shared" si="4"/>
        <v>404876.5517</v>
      </c>
      <c r="V21" s="72">
        <f t="shared" si="26"/>
        <v>493949.393</v>
      </c>
      <c r="W21" s="83">
        <v>496419.14</v>
      </c>
      <c r="X21" s="72">
        <f t="shared" si="27"/>
        <v>158.8785451</v>
      </c>
      <c r="Y21" s="72">
        <f t="shared" si="7"/>
        <v>57.10529643</v>
      </c>
      <c r="Z21" s="83"/>
    </row>
    <row r="22">
      <c r="A22" s="160" t="s">
        <v>45</v>
      </c>
      <c r="B22" s="52" t="s">
        <v>62</v>
      </c>
      <c r="C22" s="67">
        <v>2401895.0</v>
      </c>
      <c r="D22" s="57">
        <v>28371.0</v>
      </c>
      <c r="E22" s="65">
        <f t="shared" si="1"/>
        <v>0.0118119235</v>
      </c>
      <c r="F22" s="67" t="s">
        <v>67</v>
      </c>
      <c r="G22" s="67">
        <v>2004348.0</v>
      </c>
      <c r="H22" s="69" t="str">
        <f t="shared" si="24"/>
        <v>-</v>
      </c>
      <c r="I22" s="106" t="s">
        <v>67</v>
      </c>
      <c r="J22" s="106" t="s">
        <v>67</v>
      </c>
      <c r="K22" s="106" t="s">
        <v>67</v>
      </c>
      <c r="L22" s="106" t="s">
        <v>67</v>
      </c>
      <c r="M22" s="71"/>
      <c r="N22" s="71"/>
      <c r="O22" s="71"/>
      <c r="P22" s="72">
        <f t="shared" si="25"/>
        <v>22.79732738</v>
      </c>
      <c r="Q22" s="75"/>
      <c r="R22" s="70">
        <v>0.41</v>
      </c>
      <c r="S22" s="77">
        <v>1.39</v>
      </c>
      <c r="T22" s="79">
        <v>0.00125</v>
      </c>
      <c r="U22" s="72">
        <f t="shared" si="4"/>
        <v>530149.9796</v>
      </c>
      <c r="V22" s="72">
        <f t="shared" si="26"/>
        <v>646782.9751</v>
      </c>
      <c r="W22" s="83">
        <v>650016.89</v>
      </c>
      <c r="X22" s="72">
        <f t="shared" si="27"/>
        <v>220.7215468</v>
      </c>
      <c r="Y22" s="72">
        <f t="shared" si="7"/>
        <v>18.68633392</v>
      </c>
      <c r="Z22" s="83"/>
    </row>
    <row r="23">
      <c r="A23" s="121" t="s">
        <v>46</v>
      </c>
      <c r="C23" s="125">
        <f t="shared" ref="C23:D23" si="28">SUM(C18:C22)</f>
        <v>16066519</v>
      </c>
      <c r="D23" s="125">
        <f t="shared" si="28"/>
        <v>107209</v>
      </c>
      <c r="E23" s="126">
        <f t="shared" si="1"/>
        <v>0.006672820665</v>
      </c>
      <c r="F23" s="125">
        <f t="shared" ref="F23:G23" si="29">SUM(F18:F22)</f>
        <v>14218512</v>
      </c>
      <c r="G23" s="125">
        <f t="shared" si="29"/>
        <v>15436041</v>
      </c>
      <c r="H23" s="152"/>
      <c r="I23" s="126">
        <f t="shared" ref="I23:L23" si="30">AVERAGE(I18:I22)</f>
        <v>0.03595</v>
      </c>
      <c r="J23" s="126">
        <f t="shared" si="30"/>
        <v>0.026</v>
      </c>
      <c r="K23" s="126">
        <f t="shared" si="30"/>
        <v>0.00995</v>
      </c>
      <c r="L23" s="126">
        <f t="shared" si="30"/>
        <v>0.03855</v>
      </c>
      <c r="M23" s="125">
        <f t="shared" ref="M23:O23" si="31">SUM(M18:M22)</f>
        <v>0</v>
      </c>
      <c r="N23" s="125">
        <f t="shared" si="31"/>
        <v>0</v>
      </c>
      <c r="O23" s="125">
        <f t="shared" si="31"/>
        <v>0</v>
      </c>
      <c r="P23" s="131">
        <f>V23/D23</f>
        <v>27.48973208</v>
      </c>
      <c r="Q23" s="125">
        <f>SUM(Q18:Q22)</f>
        <v>0</v>
      </c>
      <c r="R23" s="126">
        <f t="shared" ref="R23:T23" si="32">AVERAGE(R18:R22)</f>
        <v>0.4593</v>
      </c>
      <c r="S23" s="126">
        <f t="shared" si="32"/>
        <v>1.36</v>
      </c>
      <c r="T23" s="135">
        <f t="shared" si="32"/>
        <v>0.001152777778</v>
      </c>
      <c r="U23" s="131">
        <f t="shared" si="4"/>
        <v>2415694.005</v>
      </c>
      <c r="V23" s="131">
        <f t="shared" ref="V23:W23" si="33">SUM(V18:V22)</f>
        <v>2947146.687</v>
      </c>
      <c r="W23" s="131">
        <f t="shared" si="33"/>
        <v>2961882.42</v>
      </c>
      <c r="X23" s="131">
        <f>U23/(G23/1000)</f>
        <v>156.4969933</v>
      </c>
      <c r="Y23" s="131">
        <f t="shared" si="7"/>
        <v>22.53256728</v>
      </c>
      <c r="Z23" s="131"/>
    </row>
    <row r="24">
      <c r="A24" s="36" t="s">
        <v>23</v>
      </c>
      <c r="B24" s="52" t="s">
        <v>65</v>
      </c>
      <c r="C24" s="142">
        <v>593459.0</v>
      </c>
      <c r="D24" s="142">
        <v>1083.0</v>
      </c>
      <c r="E24" s="65">
        <f t="shared" si="1"/>
        <v>0.00182489439</v>
      </c>
      <c r="F24" s="67">
        <v>598076.0</v>
      </c>
      <c r="G24" s="71">
        <v>615000.0</v>
      </c>
      <c r="H24" s="69">
        <f t="shared" ref="H24:H28" si="34">IFERROR(C24/F24,"-")</f>
        <v>0.9922802453</v>
      </c>
      <c r="I24" s="69">
        <f t="shared" ref="I24:I28" si="35">IFERROR(J24+K24,"-")</f>
        <v>0.1216</v>
      </c>
      <c r="J24" s="70">
        <v>0.1033</v>
      </c>
      <c r="K24" s="70">
        <v>0.0183</v>
      </c>
      <c r="L24" s="70">
        <v>0.071</v>
      </c>
      <c r="M24" s="71"/>
      <c r="N24" s="71"/>
      <c r="O24" s="71"/>
      <c r="P24" s="72">
        <f t="shared" ref="P24:P28" si="36">IFERROR(V24/D24,"-")</f>
        <v>230.4938476</v>
      </c>
      <c r="Q24" s="75"/>
      <c r="R24" s="146">
        <v>0.5034175057208238</v>
      </c>
      <c r="S24" s="75">
        <v>1.1294519450800917</v>
      </c>
      <c r="T24" s="147">
        <v>0.0010749454402915503</v>
      </c>
      <c r="U24" s="72">
        <f t="shared" si="4"/>
        <v>204610.5221</v>
      </c>
      <c r="V24" s="72">
        <f t="shared" ref="V24:V28" si="37">W24/1.005</f>
        <v>249624.837</v>
      </c>
      <c r="W24" s="72">
        <v>250872.96116160857</v>
      </c>
      <c r="X24" s="72">
        <f t="shared" ref="X24:X28" si="38">U24/C24*1000</f>
        <v>344.7761718</v>
      </c>
      <c r="Y24" s="72">
        <f t="shared" si="7"/>
        <v>188.9293833</v>
      </c>
      <c r="Z24" s="83"/>
    </row>
    <row r="25">
      <c r="A25" s="36" t="s">
        <v>54</v>
      </c>
      <c r="B25" s="52" t="s">
        <v>65</v>
      </c>
      <c r="C25" s="142">
        <v>1047871.0</v>
      </c>
      <c r="D25" s="142">
        <v>1762.0</v>
      </c>
      <c r="E25" s="65">
        <f t="shared" si="1"/>
        <v>0.001681504689</v>
      </c>
      <c r="F25" s="67">
        <v>1095571.0</v>
      </c>
      <c r="G25" s="71">
        <v>764000.0</v>
      </c>
      <c r="H25" s="69">
        <f t="shared" si="34"/>
        <v>0.95646106</v>
      </c>
      <c r="I25" s="69">
        <f t="shared" si="35"/>
        <v>0.0405</v>
      </c>
      <c r="J25" s="70">
        <v>0.0302</v>
      </c>
      <c r="K25" s="70">
        <v>0.0103</v>
      </c>
      <c r="L25" s="70">
        <v>0.0336</v>
      </c>
      <c r="M25" s="71"/>
      <c r="N25" s="71"/>
      <c r="O25" s="71"/>
      <c r="P25" s="72">
        <f t="shared" si="36"/>
        <v>226.7326784</v>
      </c>
      <c r="Q25" s="75"/>
      <c r="R25" s="146">
        <v>0.408546110721794</v>
      </c>
      <c r="S25" s="75">
        <v>1.7531282410651716</v>
      </c>
      <c r="T25" s="147">
        <v>0.0015345989384619378</v>
      </c>
      <c r="U25" s="72">
        <f t="shared" si="4"/>
        <v>327461.4584</v>
      </c>
      <c r="V25" s="72">
        <f t="shared" si="37"/>
        <v>399502.9793</v>
      </c>
      <c r="W25" s="72">
        <v>401500.49416803307</v>
      </c>
      <c r="X25" s="72">
        <f t="shared" si="38"/>
        <v>312.50169</v>
      </c>
      <c r="Y25" s="72">
        <f t="shared" si="7"/>
        <v>185.8464577</v>
      </c>
      <c r="Z25" s="83"/>
    </row>
    <row r="26">
      <c r="A26" s="148" t="s">
        <v>39</v>
      </c>
      <c r="B26" s="52" t="s">
        <v>65</v>
      </c>
      <c r="C26" s="142">
        <v>6450240.0</v>
      </c>
      <c r="D26" s="142">
        <v>184054.0</v>
      </c>
      <c r="E26" s="65">
        <f t="shared" si="1"/>
        <v>0.02853444213</v>
      </c>
      <c r="F26" s="67">
        <v>6563581.0</v>
      </c>
      <c r="G26" s="71">
        <v>7814000.0</v>
      </c>
      <c r="H26" s="69">
        <f t="shared" si="34"/>
        <v>0.982731835</v>
      </c>
      <c r="I26" s="69">
        <f t="shared" si="35"/>
        <v>0.0637</v>
      </c>
      <c r="J26" s="70">
        <v>0.029</v>
      </c>
      <c r="K26" s="70">
        <v>0.0347</v>
      </c>
      <c r="L26" s="70">
        <v>0.0225</v>
      </c>
      <c r="M26" s="71"/>
      <c r="N26" s="71"/>
      <c r="O26" s="71"/>
      <c r="P26" s="72">
        <f t="shared" si="36"/>
        <v>4.703088201</v>
      </c>
      <c r="Q26" s="75"/>
      <c r="R26" s="65">
        <v>0.6972921162655498</v>
      </c>
      <c r="S26" s="75">
        <v>1.1211966266950577</v>
      </c>
      <c r="T26" s="145">
        <v>3.209554266491921E-4</v>
      </c>
      <c r="U26" s="72">
        <f t="shared" si="4"/>
        <v>709526.39</v>
      </c>
      <c r="V26" s="72">
        <f t="shared" si="37"/>
        <v>865622.1958</v>
      </c>
      <c r="W26" s="72">
        <v>869950.306779</v>
      </c>
      <c r="X26" s="72">
        <f t="shared" si="38"/>
        <v>109.9999984</v>
      </c>
      <c r="Y26" s="72">
        <f t="shared" si="7"/>
        <v>3.854990329</v>
      </c>
      <c r="Z26" s="83">
        <v>774893.7</v>
      </c>
    </row>
    <row r="27">
      <c r="A27" s="36" t="s">
        <v>64</v>
      </c>
      <c r="B27" s="52" t="s">
        <v>65</v>
      </c>
      <c r="C27" s="142">
        <v>3225791.0</v>
      </c>
      <c r="D27" s="142">
        <v>6468.0</v>
      </c>
      <c r="E27" s="65">
        <f t="shared" si="1"/>
        <v>0.002005089604</v>
      </c>
      <c r="F27" s="67">
        <v>3393192.0</v>
      </c>
      <c r="G27" s="71">
        <v>4667333.333333333</v>
      </c>
      <c r="H27" s="69">
        <f t="shared" si="34"/>
        <v>0.9506656269</v>
      </c>
      <c r="I27" s="69">
        <f t="shared" si="35"/>
        <v>0.0252</v>
      </c>
      <c r="J27" s="70">
        <v>0.0156</v>
      </c>
      <c r="K27" s="70">
        <v>0.0096</v>
      </c>
      <c r="L27" s="70">
        <v>0.1397</v>
      </c>
      <c r="M27" s="71"/>
      <c r="N27" s="71"/>
      <c r="O27" s="71"/>
      <c r="P27" s="72">
        <f t="shared" si="36"/>
        <v>17.9517662</v>
      </c>
      <c r="Q27" s="75"/>
      <c r="R27" s="65">
        <v>0.4754098349846875</v>
      </c>
      <c r="S27" s="75">
        <v>1.1199783822734641</v>
      </c>
      <c r="T27" s="145">
        <v>6.55391587768637E-4</v>
      </c>
      <c r="U27" s="72">
        <f t="shared" si="4"/>
        <v>95173.79</v>
      </c>
      <c r="V27" s="72">
        <f t="shared" si="37"/>
        <v>116112.0238</v>
      </c>
      <c r="W27" s="72">
        <v>116692.58391899998</v>
      </c>
      <c r="X27" s="72">
        <f t="shared" si="38"/>
        <v>29.50401622</v>
      </c>
      <c r="Y27" s="72">
        <f t="shared" si="7"/>
        <v>14.71456246</v>
      </c>
      <c r="Z27" s="83">
        <v>102983.32</v>
      </c>
    </row>
    <row r="28">
      <c r="A28" s="90" t="s">
        <v>72</v>
      </c>
      <c r="B28" s="52" t="s">
        <v>65</v>
      </c>
      <c r="C28" s="142">
        <v>6767775.0</v>
      </c>
      <c r="D28" s="142">
        <v>25601.0</v>
      </c>
      <c r="E28" s="65">
        <f t="shared" si="1"/>
        <v>0.003782779422</v>
      </c>
      <c r="F28" s="67" t="s">
        <v>67</v>
      </c>
      <c r="G28" s="71">
        <v>2300000.0</v>
      </c>
      <c r="H28" s="69" t="str">
        <f t="shared" si="34"/>
        <v>-</v>
      </c>
      <c r="I28" s="69" t="str">
        <f t="shared" si="35"/>
        <v>-</v>
      </c>
      <c r="J28" s="106" t="s">
        <v>67</v>
      </c>
      <c r="K28" s="106" t="s">
        <v>67</v>
      </c>
      <c r="L28" s="106" t="s">
        <v>67</v>
      </c>
      <c r="M28" s="67">
        <v>8.0</v>
      </c>
      <c r="N28" s="71"/>
      <c r="O28" s="71"/>
      <c r="P28" s="72">
        <f t="shared" si="36"/>
        <v>23.80731903</v>
      </c>
      <c r="Q28" s="75"/>
      <c r="R28" s="106" t="s">
        <v>67</v>
      </c>
      <c r="S28" s="106" t="s">
        <v>67</v>
      </c>
      <c r="T28" s="106" t="s">
        <v>67</v>
      </c>
      <c r="U28" s="72">
        <f t="shared" si="4"/>
        <v>499582.93</v>
      </c>
      <c r="V28" s="72">
        <f t="shared" si="37"/>
        <v>609491.1746</v>
      </c>
      <c r="W28" s="165">
        <v>612538.6304730001</v>
      </c>
      <c r="X28" s="72">
        <f t="shared" si="38"/>
        <v>73.81789879</v>
      </c>
      <c r="Y28" s="72">
        <f t="shared" si="7"/>
        <v>19.51419593</v>
      </c>
      <c r="Z28" s="83"/>
    </row>
    <row r="29">
      <c r="A29" s="121" t="s">
        <v>46</v>
      </c>
      <c r="C29" s="125">
        <f t="shared" ref="C29:D29" si="39">SUM(C24:C28)</f>
        <v>18085136</v>
      </c>
      <c r="D29" s="125">
        <f t="shared" si="39"/>
        <v>218968</v>
      </c>
      <c r="E29" s="126">
        <f t="shared" si="1"/>
        <v>0.01210762252</v>
      </c>
      <c r="F29" s="125">
        <f t="shared" ref="F29:G29" si="40">SUM(F24:F28)</f>
        <v>11650420</v>
      </c>
      <c r="G29" s="125">
        <f t="shared" si="40"/>
        <v>16160333.33</v>
      </c>
      <c r="H29" s="152"/>
      <c r="I29" s="126">
        <f t="shared" ref="I29:L29" si="41">AVERAGE(I24:I28)</f>
        <v>0.06275</v>
      </c>
      <c r="J29" s="126">
        <f t="shared" si="41"/>
        <v>0.044525</v>
      </c>
      <c r="K29" s="126">
        <f t="shared" si="41"/>
        <v>0.018225</v>
      </c>
      <c r="L29" s="126">
        <f t="shared" si="41"/>
        <v>0.0667</v>
      </c>
      <c r="M29" s="125">
        <f t="shared" ref="M29:O29" si="42">SUM(M24:M28)</f>
        <v>8</v>
      </c>
      <c r="N29" s="125">
        <f t="shared" si="42"/>
        <v>0</v>
      </c>
      <c r="O29" s="125">
        <f t="shared" si="42"/>
        <v>0</v>
      </c>
      <c r="P29" s="131">
        <f>V29/D29</f>
        <v>10.23141834</v>
      </c>
      <c r="Q29" s="125">
        <f>SUM(Q24:Q28)</f>
        <v>0</v>
      </c>
      <c r="R29" s="126">
        <f t="shared" ref="R29:T29" si="43">AVERAGE(R24:R28)</f>
        <v>0.5211663919</v>
      </c>
      <c r="S29" s="133">
        <f t="shared" si="43"/>
        <v>1.280938799</v>
      </c>
      <c r="T29" s="135">
        <f t="shared" si="43"/>
        <v>0.0008964728483</v>
      </c>
      <c r="U29" s="131">
        <f t="shared" si="4"/>
        <v>1836355.091</v>
      </c>
      <c r="V29" s="131">
        <f t="shared" ref="V29:W29" si="44">SUM(V24:V28)</f>
        <v>2240353.21</v>
      </c>
      <c r="W29" s="131">
        <f t="shared" si="44"/>
        <v>2251554.977</v>
      </c>
      <c r="X29" s="131">
        <f>U29/(G29/1000)</f>
        <v>113.6334909</v>
      </c>
      <c r="Y29" s="131">
        <f t="shared" si="7"/>
        <v>8.386408473</v>
      </c>
      <c r="Z29" s="131"/>
    </row>
    <row r="30">
      <c r="A30" s="148" t="s">
        <v>39</v>
      </c>
      <c r="B30" s="172" t="s">
        <v>75</v>
      </c>
      <c r="C30" s="142">
        <v>4449867.0</v>
      </c>
      <c r="D30" s="142">
        <v>73540.0</v>
      </c>
      <c r="E30" s="65">
        <f t="shared" si="1"/>
        <v>0.01652633663</v>
      </c>
      <c r="F30" s="71">
        <v>4456945.0</v>
      </c>
      <c r="G30" s="67">
        <v>4451000.0</v>
      </c>
      <c r="H30" s="69">
        <f t="shared" ref="H30:H44" si="45">IFERROR(C30/F30,"-")</f>
        <v>0.9984119167</v>
      </c>
      <c r="I30" s="69">
        <f t="shared" ref="I30:I31" si="46">IFERROR(J30+K30,"-")</f>
        <v>0.05745</v>
      </c>
      <c r="J30" s="65">
        <v>0.022199999999999998</v>
      </c>
      <c r="K30" s="65">
        <v>0.035250000000000004</v>
      </c>
      <c r="L30" s="70">
        <v>0.0233</v>
      </c>
      <c r="M30" s="71"/>
      <c r="N30" s="71"/>
      <c r="O30" s="71"/>
      <c r="P30" s="72">
        <f t="shared" ref="P30:P32" si="47">IFERROR(V30/D30,"-")</f>
        <v>8.120371594</v>
      </c>
      <c r="Q30" s="75"/>
      <c r="R30" s="65">
        <v>0.5437973853847395</v>
      </c>
      <c r="S30" s="75">
        <v>1.275850943700597</v>
      </c>
      <c r="T30" s="145">
        <v>6.330835543964677E-4</v>
      </c>
      <c r="U30" s="72">
        <f t="shared" si="4"/>
        <v>489485.35</v>
      </c>
      <c r="V30" s="72">
        <f t="shared" ref="V30:V32" si="48">W30/1.005</f>
        <v>597172.127</v>
      </c>
      <c r="W30" s="72">
        <v>600157.9876349999</v>
      </c>
      <c r="X30" s="72">
        <f t="shared" ref="X30:X32" si="49">U30/C30*1000</f>
        <v>109.9999955</v>
      </c>
      <c r="Y30" s="72">
        <f t="shared" si="7"/>
        <v>6.65604229</v>
      </c>
      <c r="Z30" s="83">
        <v>516497.76</v>
      </c>
    </row>
    <row r="31">
      <c r="A31" s="36" t="s">
        <v>64</v>
      </c>
      <c r="B31" s="172" t="s">
        <v>75</v>
      </c>
      <c r="C31" s="142">
        <v>2911785.0</v>
      </c>
      <c r="D31" s="142">
        <v>6518.0</v>
      </c>
      <c r="E31" s="65">
        <f t="shared" si="1"/>
        <v>0.002238489449</v>
      </c>
      <c r="F31" s="71">
        <v>3008764.0</v>
      </c>
      <c r="G31" s="71">
        <v>4800000.0</v>
      </c>
      <c r="H31" s="69">
        <f t="shared" si="45"/>
        <v>0.9677678276</v>
      </c>
      <c r="I31" s="69">
        <f t="shared" si="46"/>
        <v>0.01045</v>
      </c>
      <c r="J31" s="65">
        <v>0.006</v>
      </c>
      <c r="K31" s="65">
        <v>0.00445</v>
      </c>
      <c r="L31" s="70">
        <v>0.0841</v>
      </c>
      <c r="M31" s="71"/>
      <c r="N31" s="71"/>
      <c r="O31" s="71"/>
      <c r="P31" s="72">
        <f t="shared" si="47"/>
        <v>18.32449172</v>
      </c>
      <c r="Q31" s="75"/>
      <c r="R31" s="65">
        <v>0.5114699899064048</v>
      </c>
      <c r="S31" s="75">
        <v>1.0785465222976693</v>
      </c>
      <c r="T31" s="145">
        <v>7.071464013104681E-4</v>
      </c>
      <c r="U31" s="72">
        <f t="shared" si="4"/>
        <v>97900.85</v>
      </c>
      <c r="V31" s="72">
        <f t="shared" si="48"/>
        <v>119439.037</v>
      </c>
      <c r="W31" s="72">
        <v>120036.23218499999</v>
      </c>
      <c r="X31" s="72">
        <f t="shared" si="49"/>
        <v>33.6222798</v>
      </c>
      <c r="Y31" s="72">
        <f t="shared" si="7"/>
        <v>15.02007518</v>
      </c>
      <c r="Z31" s="83">
        <v>101174.76</v>
      </c>
    </row>
    <row r="32">
      <c r="A32" s="95" t="s">
        <v>40</v>
      </c>
      <c r="B32" s="172" t="s">
        <v>75</v>
      </c>
      <c r="C32" s="142">
        <v>2449672.0</v>
      </c>
      <c r="D32" s="142">
        <v>5153.0</v>
      </c>
      <c r="E32" s="65">
        <f t="shared" si="1"/>
        <v>0.002103546924</v>
      </c>
      <c r="F32" s="67">
        <v>2500447.0</v>
      </c>
      <c r="G32" s="71">
        <v>1500000.0</v>
      </c>
      <c r="H32" s="69">
        <f t="shared" si="45"/>
        <v>0.9796936308</v>
      </c>
      <c r="I32" s="106" t="s">
        <v>67</v>
      </c>
      <c r="J32" s="106" t="s">
        <v>67</v>
      </c>
      <c r="K32" s="106" t="s">
        <v>67</v>
      </c>
      <c r="L32" s="70">
        <v>0.0375</v>
      </c>
      <c r="M32" s="71"/>
      <c r="N32" s="71"/>
      <c r="O32" s="71"/>
      <c r="P32" s="72">
        <f t="shared" si="47"/>
        <v>26.80780365</v>
      </c>
      <c r="Q32" s="75"/>
      <c r="R32" s="65">
        <v>0.3443270703125</v>
      </c>
      <c r="S32" s="75">
        <v>1.062439453125</v>
      </c>
      <c r="T32" s="145">
        <v>0.0010625474717881943</v>
      </c>
      <c r="U32" s="72">
        <f t="shared" si="4"/>
        <v>113230.01</v>
      </c>
      <c r="V32" s="72">
        <f t="shared" si="48"/>
        <v>138140.6122</v>
      </c>
      <c r="W32" s="72">
        <v>138831.31526099995</v>
      </c>
      <c r="X32" s="72">
        <f t="shared" si="49"/>
        <v>46.22251877</v>
      </c>
      <c r="Y32" s="72">
        <f t="shared" si="7"/>
        <v>21.97360955</v>
      </c>
      <c r="Z32" s="83"/>
    </row>
    <row r="33">
      <c r="A33" s="121" t="s">
        <v>46</v>
      </c>
      <c r="C33" s="125">
        <f t="shared" ref="C33:D33" si="50">SUM(C30:C32)</f>
        <v>9811324</v>
      </c>
      <c r="D33" s="125">
        <f t="shared" si="50"/>
        <v>85211</v>
      </c>
      <c r="E33" s="126">
        <f t="shared" si="1"/>
        <v>0.008684964435</v>
      </c>
      <c r="F33" s="125">
        <f t="shared" ref="F33:G33" si="51">SUM(F30:F32)</f>
        <v>9966156</v>
      </c>
      <c r="G33" s="125">
        <f t="shared" si="51"/>
        <v>10751000</v>
      </c>
      <c r="H33" s="126">
        <f t="shared" si="45"/>
        <v>0.9844642207</v>
      </c>
      <c r="I33" s="126">
        <f t="shared" ref="I33:L33" si="52">AVERAGE(I30:I32)</f>
        <v>0.03395</v>
      </c>
      <c r="J33" s="126">
        <f t="shared" si="52"/>
        <v>0.0141</v>
      </c>
      <c r="K33" s="126">
        <f t="shared" si="52"/>
        <v>0.01985</v>
      </c>
      <c r="L33" s="126">
        <f t="shared" si="52"/>
        <v>0.0483</v>
      </c>
      <c r="M33" s="125">
        <f t="shared" ref="M33:O33" si="53">SUM(M30:M32)</f>
        <v>0</v>
      </c>
      <c r="N33" s="125">
        <f t="shared" si="53"/>
        <v>0</v>
      </c>
      <c r="O33" s="125">
        <f t="shared" si="53"/>
        <v>0</v>
      </c>
      <c r="P33" s="131">
        <f>V33/D33</f>
        <v>10.03100276</v>
      </c>
      <c r="Q33" s="125">
        <f>SUM(Q30:Q32)</f>
        <v>0</v>
      </c>
      <c r="R33" s="126">
        <f t="shared" ref="R33:T33" si="54">AVERAGE(R30:R32)</f>
        <v>0.4665314819</v>
      </c>
      <c r="S33" s="133">
        <f t="shared" si="54"/>
        <v>1.13894564</v>
      </c>
      <c r="T33" s="135">
        <f t="shared" si="54"/>
        <v>0.0008009258092</v>
      </c>
      <c r="U33" s="131">
        <f t="shared" si="4"/>
        <v>700616.21</v>
      </c>
      <c r="V33" s="131">
        <f t="shared" ref="V33:W33" si="55">SUM(V30:V32)</f>
        <v>854751.7762</v>
      </c>
      <c r="W33" s="131">
        <f t="shared" si="55"/>
        <v>859025.5351</v>
      </c>
      <c r="X33" s="131">
        <f>U33/(G33/1000)</f>
        <v>65.16753883</v>
      </c>
      <c r="Y33" s="131">
        <f t="shared" si="7"/>
        <v>8.22213341</v>
      </c>
      <c r="Z33" s="131"/>
    </row>
    <row r="34">
      <c r="A34" s="95" t="s">
        <v>35</v>
      </c>
      <c r="B34" s="174" t="s">
        <v>77</v>
      </c>
      <c r="C34" s="175">
        <v>2615002.0</v>
      </c>
      <c r="D34" s="175">
        <v>1443.0</v>
      </c>
      <c r="E34" s="65">
        <f t="shared" si="1"/>
        <v>0.0005518160216</v>
      </c>
      <c r="F34" s="176">
        <v>2842793.0</v>
      </c>
      <c r="G34" s="177">
        <v>2377675.0</v>
      </c>
      <c r="H34" s="178">
        <f t="shared" si="45"/>
        <v>0.9198707046</v>
      </c>
      <c r="I34" s="69">
        <f t="shared" ref="I34:I35" si="56">IFERROR(J34+K34,"-")</f>
        <v>0.0476</v>
      </c>
      <c r="J34" s="179">
        <v>0.0468</v>
      </c>
      <c r="K34" s="179">
        <v>8.0E-4</v>
      </c>
      <c r="L34" s="179">
        <v>0.0526</v>
      </c>
      <c r="M34" s="180"/>
      <c r="N34" s="177"/>
      <c r="O34" s="177"/>
      <c r="P34" s="181">
        <f t="shared" ref="P34:P35" si="57">IFERROR(V34/D34,"-")</f>
        <v>263.1040067</v>
      </c>
      <c r="Q34" s="182"/>
      <c r="R34" s="183">
        <v>0.4818</v>
      </c>
      <c r="S34" s="184">
        <v>1.223</v>
      </c>
      <c r="T34" s="185">
        <v>0.001388888888888889</v>
      </c>
      <c r="U34" s="72">
        <f t="shared" si="4"/>
        <v>311195.9686</v>
      </c>
      <c r="V34" s="72">
        <f t="shared" ref="V34:V35" si="58">W34/1.005</f>
        <v>379659.0816</v>
      </c>
      <c r="W34" s="72">
        <v>381557.37705647596</v>
      </c>
      <c r="X34" s="72">
        <f t="shared" ref="X34:X35" si="59">U34/C34*1000</f>
        <v>119.0041035</v>
      </c>
      <c r="Y34" s="72">
        <f t="shared" si="7"/>
        <v>215.6590219</v>
      </c>
      <c r="Z34" s="83"/>
    </row>
    <row r="35">
      <c r="A35" s="186" t="s">
        <v>78</v>
      </c>
      <c r="B35" s="174" t="s">
        <v>77</v>
      </c>
      <c r="C35" s="175">
        <v>3434947.0</v>
      </c>
      <c r="D35" s="175">
        <v>9000.0</v>
      </c>
      <c r="E35" s="65">
        <f t="shared" si="1"/>
        <v>0.002620127763</v>
      </c>
      <c r="F35" s="176">
        <v>3354851.0</v>
      </c>
      <c r="G35" s="177">
        <v>6000000.0</v>
      </c>
      <c r="H35" s="178">
        <f t="shared" si="45"/>
        <v>1.023874682</v>
      </c>
      <c r="I35" s="69">
        <f t="shared" si="56"/>
        <v>0.0445</v>
      </c>
      <c r="J35" s="179">
        <v>0.0287</v>
      </c>
      <c r="K35" s="179">
        <v>0.0158</v>
      </c>
      <c r="L35" s="179">
        <v>0.0505</v>
      </c>
      <c r="M35" s="180"/>
      <c r="N35" s="177"/>
      <c r="O35" s="177"/>
      <c r="P35" s="181">
        <f t="shared" si="57"/>
        <v>39.8208</v>
      </c>
      <c r="Q35" s="182"/>
      <c r="R35" s="183">
        <v>0.24891060332761128</v>
      </c>
      <c r="S35" s="187">
        <v>1.5954047273207448</v>
      </c>
      <c r="T35" s="188">
        <v>0.0010936239124374606</v>
      </c>
      <c r="U35" s="72">
        <f t="shared" si="4"/>
        <v>293760</v>
      </c>
      <c r="V35" s="72">
        <f t="shared" si="58"/>
        <v>358387.2</v>
      </c>
      <c r="W35" s="72">
        <v>360179.13599999994</v>
      </c>
      <c r="X35" s="72">
        <f t="shared" si="59"/>
        <v>85.52097019</v>
      </c>
      <c r="Y35" s="72">
        <f t="shared" si="7"/>
        <v>32.64</v>
      </c>
      <c r="Z35" s="83">
        <f>Y35*1.22</f>
        <v>39.8208</v>
      </c>
    </row>
    <row r="36">
      <c r="A36" s="189" t="s">
        <v>46</v>
      </c>
      <c r="C36" s="190">
        <f t="shared" ref="C36:D36" si="60">SUM(C34:C35)</f>
        <v>6049949</v>
      </c>
      <c r="D36" s="190">
        <f t="shared" si="60"/>
        <v>10443</v>
      </c>
      <c r="E36" s="191">
        <f t="shared" si="1"/>
        <v>0.001726130253</v>
      </c>
      <c r="F36" s="190">
        <f t="shared" ref="F36:G36" si="61">SUM(F34:F35)</f>
        <v>6197644</v>
      </c>
      <c r="G36" s="190">
        <f t="shared" si="61"/>
        <v>8377675</v>
      </c>
      <c r="H36" s="126">
        <f t="shared" si="45"/>
        <v>0.9761691701</v>
      </c>
      <c r="I36" s="191">
        <f t="shared" ref="I36:L36" si="62">AVERAGE(I34:I35)</f>
        <v>0.04605</v>
      </c>
      <c r="J36" s="126">
        <f t="shared" si="62"/>
        <v>0.03775</v>
      </c>
      <c r="K36" s="126">
        <f t="shared" si="62"/>
        <v>0.0083</v>
      </c>
      <c r="L36" s="126">
        <f t="shared" si="62"/>
        <v>0.05155</v>
      </c>
      <c r="M36" s="190">
        <f t="shared" ref="M36:O36" si="63">SUM(M34:M35)</f>
        <v>0</v>
      </c>
      <c r="N36" s="190">
        <f t="shared" si="63"/>
        <v>0</v>
      </c>
      <c r="O36" s="190">
        <f t="shared" si="63"/>
        <v>0</v>
      </c>
      <c r="P36" s="192">
        <f>V36/D36</f>
        <v>70.67377972</v>
      </c>
      <c r="Q36" s="190">
        <f>SUM(Q34:Q35)</f>
        <v>0</v>
      </c>
      <c r="R36" s="191">
        <f t="shared" ref="R36:T36" si="64">AVERAGE(R34:R35)</f>
        <v>0.3653553017</v>
      </c>
      <c r="S36" s="193">
        <f t="shared" si="64"/>
        <v>1.409202364</v>
      </c>
      <c r="T36" s="194">
        <f t="shared" si="64"/>
        <v>0.001241256401</v>
      </c>
      <c r="U36" s="192">
        <f>U34</f>
        <v>311195.9686</v>
      </c>
      <c r="V36" s="192">
        <f t="shared" ref="V36:W36" si="65">SUM(V34:V35)</f>
        <v>738046.2816</v>
      </c>
      <c r="W36" s="192">
        <f t="shared" si="65"/>
        <v>741736.5131</v>
      </c>
      <c r="X36" s="192">
        <f>U36/(G36/1000)</f>
        <v>37.14586309</v>
      </c>
      <c r="Y36" s="192">
        <f t="shared" si="7"/>
        <v>29.7994799</v>
      </c>
      <c r="Z36" s="131"/>
    </row>
    <row r="37">
      <c r="A37" s="95" t="s">
        <v>40</v>
      </c>
      <c r="B37" s="52" t="s">
        <v>80</v>
      </c>
      <c r="C37" s="57">
        <v>6423443.0</v>
      </c>
      <c r="D37" s="57">
        <v>16336.0</v>
      </c>
      <c r="E37" s="65">
        <f t="shared" si="1"/>
        <v>0.002543184395</v>
      </c>
      <c r="F37" s="67">
        <v>6581881.0</v>
      </c>
      <c r="G37" s="67">
        <v>6663146.0</v>
      </c>
      <c r="H37" s="69">
        <f t="shared" si="45"/>
        <v>0.9759281579</v>
      </c>
      <c r="I37" s="70">
        <v>0.0</v>
      </c>
      <c r="J37" s="70">
        <v>0.0</v>
      </c>
      <c r="K37" s="70">
        <v>0.0</v>
      </c>
      <c r="L37" s="70">
        <v>0.0228</v>
      </c>
      <c r="M37" s="71"/>
      <c r="N37" s="71"/>
      <c r="O37" s="71"/>
      <c r="P37" s="72">
        <f>IFERROR(V37/D37,"-")</f>
        <v>28.73914767</v>
      </c>
      <c r="Q37" s="75"/>
      <c r="R37" s="70">
        <v>0.4923</v>
      </c>
      <c r="S37" s="77">
        <v>1.05</v>
      </c>
      <c r="T37" s="79">
        <v>0.0010879629629629629</v>
      </c>
      <c r="U37" s="72">
        <f t="shared" ref="U37:U55" si="71">V37/1.22</f>
        <v>384821.8987</v>
      </c>
      <c r="V37" s="72">
        <f>W37/1.005</f>
        <v>469482.7164</v>
      </c>
      <c r="W37" s="83">
        <v>471830.13</v>
      </c>
      <c r="X37" s="72">
        <f>U37/C37*1000</f>
        <v>59.90897696</v>
      </c>
      <c r="Y37" s="72">
        <f t="shared" si="7"/>
        <v>23.55667842</v>
      </c>
      <c r="Z37" s="83"/>
    </row>
    <row r="38">
      <c r="A38" s="121" t="s">
        <v>46</v>
      </c>
      <c r="C38" s="125">
        <f t="shared" ref="C38:D38" si="66">C37</f>
        <v>6423443</v>
      </c>
      <c r="D38" s="125">
        <f t="shared" si="66"/>
        <v>16336</v>
      </c>
      <c r="E38" s="126">
        <f t="shared" si="1"/>
        <v>0.002543184395</v>
      </c>
      <c r="F38" s="125">
        <f t="shared" ref="F38:G38" si="67">SUM(F37)</f>
        <v>6581881</v>
      </c>
      <c r="G38" s="125">
        <f t="shared" si="67"/>
        <v>6663146</v>
      </c>
      <c r="H38" s="126">
        <f t="shared" si="45"/>
        <v>0.9759281579</v>
      </c>
      <c r="I38" s="126">
        <f t="shared" ref="I38:L38" si="68">AVERAGE(I37)</f>
        <v>0</v>
      </c>
      <c r="J38" s="126">
        <f t="shared" si="68"/>
        <v>0</v>
      </c>
      <c r="K38" s="126">
        <f t="shared" si="68"/>
        <v>0</v>
      </c>
      <c r="L38" s="126">
        <f t="shared" si="68"/>
        <v>0.0228</v>
      </c>
      <c r="M38" s="125">
        <f t="shared" ref="M38:O38" si="69">SUM(M37)</f>
        <v>0</v>
      </c>
      <c r="N38" s="125">
        <f t="shared" si="69"/>
        <v>0</v>
      </c>
      <c r="O38" s="125">
        <f t="shared" si="69"/>
        <v>0</v>
      </c>
      <c r="P38" s="131">
        <f>V38/D38</f>
        <v>28.73914767</v>
      </c>
      <c r="Q38" s="125">
        <f>SUM(Q37)</f>
        <v>0</v>
      </c>
      <c r="R38" s="126">
        <f t="shared" ref="R38:S38" si="70">AVERAGE(R37)</f>
        <v>0.4923</v>
      </c>
      <c r="S38" s="133">
        <f t="shared" si="70"/>
        <v>1.05</v>
      </c>
      <c r="T38" s="135">
        <f>T37</f>
        <v>0.001087962963</v>
      </c>
      <c r="U38" s="131">
        <f t="shared" si="71"/>
        <v>384821.8987</v>
      </c>
      <c r="V38" s="131">
        <f t="shared" ref="V38:W38" si="72">V37</f>
        <v>469482.7164</v>
      </c>
      <c r="W38" s="131">
        <f t="shared" si="72"/>
        <v>471830.13</v>
      </c>
      <c r="X38" s="131">
        <f>U38/(G38/1000)</f>
        <v>57.75378458</v>
      </c>
      <c r="Y38" s="131">
        <f t="shared" si="7"/>
        <v>23.55667842</v>
      </c>
      <c r="Z38" s="131"/>
    </row>
    <row r="39">
      <c r="A39" s="36" t="s">
        <v>39</v>
      </c>
      <c r="B39" s="52" t="s">
        <v>81</v>
      </c>
      <c r="C39" s="57">
        <v>4538598.0</v>
      </c>
      <c r="D39" s="57">
        <v>62080.0</v>
      </c>
      <c r="E39" s="65">
        <f t="shared" si="1"/>
        <v>0.01367823279</v>
      </c>
      <c r="F39" s="67">
        <v>4437847.0</v>
      </c>
      <c r="G39" s="67">
        <v>4545456.0</v>
      </c>
      <c r="H39" s="69">
        <f t="shared" si="45"/>
        <v>1.022702675</v>
      </c>
      <c r="I39" s="70">
        <v>0.0678</v>
      </c>
      <c r="J39" s="70">
        <v>0.026</v>
      </c>
      <c r="K39" s="70">
        <v>0.0418</v>
      </c>
      <c r="L39" s="70">
        <v>0.0364</v>
      </c>
      <c r="M39" s="71"/>
      <c r="N39" s="71"/>
      <c r="O39" s="71"/>
      <c r="P39" s="72">
        <f t="shared" ref="P39:P40" si="73">IFERROR(V39/D39,"-")</f>
        <v>9.422098111</v>
      </c>
      <c r="Q39" s="75"/>
      <c r="R39" s="70">
        <v>0.4589</v>
      </c>
      <c r="S39" s="77">
        <v>1.55</v>
      </c>
      <c r="T39" s="79">
        <v>7.986111111111112E-4</v>
      </c>
      <c r="U39" s="72">
        <f t="shared" si="71"/>
        <v>479445.7793</v>
      </c>
      <c r="V39" s="72">
        <f t="shared" ref="V39:V40" si="74">W39/1.005</f>
        <v>584923.8507</v>
      </c>
      <c r="W39" s="83">
        <v>587848.47</v>
      </c>
      <c r="X39" s="72">
        <f t="shared" ref="X39:X40" si="75">U39/C39*1000</f>
        <v>105.6374192</v>
      </c>
      <c r="Y39" s="72">
        <f t="shared" si="7"/>
        <v>7.723031239</v>
      </c>
      <c r="Z39" s="83">
        <v>485552.03</v>
      </c>
    </row>
    <row r="40">
      <c r="A40" s="90" t="s">
        <v>83</v>
      </c>
      <c r="B40" s="52" t="s">
        <v>81</v>
      </c>
      <c r="C40" s="57">
        <v>2718763.0</v>
      </c>
      <c r="D40" s="57">
        <v>28278.0</v>
      </c>
      <c r="E40" s="65">
        <f t="shared" si="1"/>
        <v>0.01040105371</v>
      </c>
      <c r="F40" s="67">
        <v>2852622.0</v>
      </c>
      <c r="G40" s="67">
        <v>2719318.0</v>
      </c>
      <c r="H40" s="69">
        <f t="shared" si="45"/>
        <v>0.9530751007</v>
      </c>
      <c r="I40" s="70">
        <v>0.0395</v>
      </c>
      <c r="J40" s="70">
        <v>0.0324</v>
      </c>
      <c r="K40" s="70">
        <v>0.0071</v>
      </c>
      <c r="L40" s="70">
        <v>0.0334</v>
      </c>
      <c r="M40" s="71"/>
      <c r="N40" s="71"/>
      <c r="O40" s="71"/>
      <c r="P40" s="72">
        <f t="shared" si="73"/>
        <v>17.35818397</v>
      </c>
      <c r="Q40" s="75"/>
      <c r="R40" s="70">
        <v>0.2896</v>
      </c>
      <c r="S40" s="77">
        <v>1.51</v>
      </c>
      <c r="T40" s="79">
        <v>7.407407407407407E-4</v>
      </c>
      <c r="U40" s="72">
        <f t="shared" si="71"/>
        <v>402339.9396</v>
      </c>
      <c r="V40" s="72">
        <f t="shared" si="74"/>
        <v>490854.7264</v>
      </c>
      <c r="W40" s="83">
        <v>493309.0</v>
      </c>
      <c r="X40" s="72">
        <f t="shared" si="75"/>
        <v>147.9863966</v>
      </c>
      <c r="Y40" s="72">
        <f t="shared" si="7"/>
        <v>14.22801965</v>
      </c>
      <c r="Z40" s="83"/>
    </row>
    <row r="41">
      <c r="A41" s="121" t="s">
        <v>46</v>
      </c>
      <c r="C41" s="125">
        <f t="shared" ref="C41:D41" si="76">SUM(C39:C40)</f>
        <v>7257361</v>
      </c>
      <c r="D41" s="125">
        <f t="shared" si="76"/>
        <v>90358</v>
      </c>
      <c r="E41" s="126">
        <f t="shared" si="1"/>
        <v>0.01245053126</v>
      </c>
      <c r="F41" s="125">
        <f t="shared" ref="F41:G41" si="77">SUM(F39:F40)</f>
        <v>7290469</v>
      </c>
      <c r="G41" s="125">
        <f t="shared" si="77"/>
        <v>7264774</v>
      </c>
      <c r="H41" s="126">
        <f t="shared" si="45"/>
        <v>0.9954587284</v>
      </c>
      <c r="I41" s="126">
        <f t="shared" ref="I41:L41" si="78">AVERAGE(I39:I40)</f>
        <v>0.05365</v>
      </c>
      <c r="J41" s="126">
        <f t="shared" si="78"/>
        <v>0.0292</v>
      </c>
      <c r="K41" s="126">
        <f t="shared" si="78"/>
        <v>0.02445</v>
      </c>
      <c r="L41" s="126">
        <f t="shared" si="78"/>
        <v>0.0349</v>
      </c>
      <c r="M41" s="125">
        <f t="shared" ref="M41:O41" si="79">SUM(M39:M40)</f>
        <v>0</v>
      </c>
      <c r="N41" s="125">
        <f t="shared" si="79"/>
        <v>0</v>
      </c>
      <c r="O41" s="125">
        <f t="shared" si="79"/>
        <v>0</v>
      </c>
      <c r="P41" s="131">
        <f>V41/D41</f>
        <v>0</v>
      </c>
      <c r="Q41" s="125">
        <f>SUM(Q39:Q40)</f>
        <v>0</v>
      </c>
      <c r="R41" s="126">
        <f t="shared" ref="R41:T41" si="80">AVERAGE(R39:R40)</f>
        <v>0.37425</v>
      </c>
      <c r="S41" s="133">
        <f t="shared" si="80"/>
        <v>1.53</v>
      </c>
      <c r="T41" s="135">
        <f t="shared" si="80"/>
        <v>0.0007696759259</v>
      </c>
      <c r="U41" s="131">
        <f t="shared" si="71"/>
        <v>0</v>
      </c>
      <c r="V41" s="131"/>
      <c r="W41" s="131"/>
      <c r="X41" s="131">
        <f>U41/(G41/1000)</f>
        <v>0</v>
      </c>
      <c r="Y41" s="131">
        <f t="shared" si="7"/>
        <v>0</v>
      </c>
      <c r="Z41" s="131"/>
    </row>
    <row r="42">
      <c r="A42" s="36" t="s">
        <v>23</v>
      </c>
      <c r="B42" s="172" t="s">
        <v>84</v>
      </c>
      <c r="C42" s="57">
        <v>780592.0</v>
      </c>
      <c r="D42" s="57">
        <v>1450.0</v>
      </c>
      <c r="E42" s="65">
        <f t="shared" si="1"/>
        <v>0.001857564515</v>
      </c>
      <c r="F42" s="67">
        <v>752740.0</v>
      </c>
      <c r="G42" s="57">
        <v>901000.0</v>
      </c>
      <c r="H42" s="69">
        <f t="shared" si="45"/>
        <v>1.037000824</v>
      </c>
      <c r="I42" s="70">
        <v>0.0583</v>
      </c>
      <c r="J42" s="70">
        <v>0.0547</v>
      </c>
      <c r="K42" s="70">
        <v>0.0035</v>
      </c>
      <c r="L42" s="70">
        <v>0.0694</v>
      </c>
      <c r="M42" s="71"/>
      <c r="N42" s="71"/>
      <c r="O42" s="71"/>
      <c r="P42" s="72">
        <f t="shared" ref="P42:P44" si="81">IFERROR(V42/D42,"-")</f>
        <v>242.134795</v>
      </c>
      <c r="Q42" s="75"/>
      <c r="R42" s="70">
        <v>0.47</v>
      </c>
      <c r="S42" s="77">
        <v>1.22</v>
      </c>
      <c r="T42" s="79">
        <v>0.0013310185185185185</v>
      </c>
      <c r="U42" s="72">
        <f t="shared" si="71"/>
        <v>287783.158</v>
      </c>
      <c r="V42" s="72">
        <f t="shared" ref="V42:V44" si="82">W42/1.005</f>
        <v>351095.4527</v>
      </c>
      <c r="W42" s="83">
        <v>352850.93</v>
      </c>
      <c r="X42" s="72">
        <f t="shared" ref="X42:X44" si="83">U42/C42*1000</f>
        <v>368.6729533</v>
      </c>
      <c r="Y42" s="72">
        <f t="shared" si="7"/>
        <v>198.4711434</v>
      </c>
      <c r="Z42" s="83"/>
    </row>
    <row r="43">
      <c r="A43" s="36" t="s">
        <v>41</v>
      </c>
      <c r="B43" s="52" t="s">
        <v>84</v>
      </c>
      <c r="C43" s="57">
        <v>2517096.0</v>
      </c>
      <c r="D43" s="57">
        <v>5531.0</v>
      </c>
      <c r="E43" s="65">
        <f t="shared" si="1"/>
        <v>0.002197373481</v>
      </c>
      <c r="F43" s="67">
        <v>2567472.0</v>
      </c>
      <c r="G43" s="57">
        <v>1690225.0</v>
      </c>
      <c r="H43" s="69">
        <f t="shared" si="45"/>
        <v>0.9803791434</v>
      </c>
      <c r="I43" s="106" t="s">
        <v>67</v>
      </c>
      <c r="J43" s="106" t="s">
        <v>67</v>
      </c>
      <c r="K43" s="106" t="s">
        <v>67</v>
      </c>
      <c r="L43" s="70">
        <v>0.0614</v>
      </c>
      <c r="M43" s="71"/>
      <c r="N43" s="71"/>
      <c r="O43" s="71"/>
      <c r="P43" s="72">
        <f t="shared" si="81"/>
        <v>88.34939747</v>
      </c>
      <c r="Q43" s="75"/>
      <c r="R43" s="70">
        <v>0.5406</v>
      </c>
      <c r="S43" s="77">
        <v>1.03</v>
      </c>
      <c r="T43" s="79">
        <v>8.912037037037037E-4</v>
      </c>
      <c r="U43" s="72">
        <f t="shared" si="71"/>
        <v>400541.4077</v>
      </c>
      <c r="V43" s="72">
        <f t="shared" si="82"/>
        <v>488660.5174</v>
      </c>
      <c r="W43" s="83">
        <v>491103.82</v>
      </c>
      <c r="X43" s="72">
        <f t="shared" si="83"/>
        <v>159.1283796</v>
      </c>
      <c r="Y43" s="72">
        <f t="shared" si="7"/>
        <v>72.41753891</v>
      </c>
      <c r="Z43" s="83"/>
    </row>
    <row r="44">
      <c r="A44" s="148" t="s">
        <v>72</v>
      </c>
      <c r="B44" s="52" t="s">
        <v>84</v>
      </c>
      <c r="C44" s="57">
        <v>5460452.0</v>
      </c>
      <c r="D44" s="57">
        <v>24060.0</v>
      </c>
      <c r="E44" s="65">
        <f t="shared" si="1"/>
        <v>0.004406228642</v>
      </c>
      <c r="F44" s="67" t="s">
        <v>67</v>
      </c>
      <c r="G44" s="67">
        <v>1600000.0</v>
      </c>
      <c r="H44" s="69" t="str">
        <f t="shared" si="45"/>
        <v>-</v>
      </c>
      <c r="I44" s="106" t="s">
        <v>67</v>
      </c>
      <c r="J44" s="106" t="s">
        <v>67</v>
      </c>
      <c r="K44" s="106" t="s">
        <v>67</v>
      </c>
      <c r="L44" s="106" t="s">
        <v>67</v>
      </c>
      <c r="M44" s="67">
        <v>8.0</v>
      </c>
      <c r="N44" s="71"/>
      <c r="O44" s="71"/>
      <c r="P44" s="72">
        <f t="shared" si="81"/>
        <v>17.62240336</v>
      </c>
      <c r="Q44" s="75"/>
      <c r="R44" s="106" t="s">
        <v>67</v>
      </c>
      <c r="S44" s="77" t="s">
        <v>67</v>
      </c>
      <c r="T44" s="106" t="s">
        <v>67</v>
      </c>
      <c r="U44" s="72">
        <f t="shared" si="71"/>
        <v>347536.9056</v>
      </c>
      <c r="V44" s="72">
        <f t="shared" si="82"/>
        <v>423995.0249</v>
      </c>
      <c r="W44" s="83">
        <v>426115.0</v>
      </c>
      <c r="X44" s="72">
        <f t="shared" si="83"/>
        <v>63.64617904</v>
      </c>
      <c r="Y44" s="72">
        <f t="shared" si="7"/>
        <v>14.44459292</v>
      </c>
      <c r="Z44" s="83"/>
    </row>
    <row r="45">
      <c r="A45" s="121" t="s">
        <v>46</v>
      </c>
      <c r="C45" s="125">
        <f t="shared" ref="C45:D45" si="84">SUM(C42:C44)</f>
        <v>8758140</v>
      </c>
      <c r="D45" s="125">
        <f t="shared" si="84"/>
        <v>31041</v>
      </c>
      <c r="E45" s="126">
        <f t="shared" si="1"/>
        <v>0.003544245696</v>
      </c>
      <c r="F45" s="125">
        <f t="shared" ref="F45:G45" si="85">SUM(F42:F44)</f>
        <v>3320212</v>
      </c>
      <c r="G45" s="125">
        <f t="shared" si="85"/>
        <v>4191225</v>
      </c>
      <c r="H45" s="152"/>
      <c r="I45" s="126">
        <f t="shared" ref="I45:L45" si="86">AVERAGE(I42:I44)</f>
        <v>0.0583</v>
      </c>
      <c r="J45" s="126">
        <f t="shared" si="86"/>
        <v>0.0547</v>
      </c>
      <c r="K45" s="126">
        <f t="shared" si="86"/>
        <v>0.0035</v>
      </c>
      <c r="L45" s="126">
        <f t="shared" si="86"/>
        <v>0.0654</v>
      </c>
      <c r="M45" s="125">
        <f t="shared" ref="M45:O45" si="87">SUM(M42:M44)</f>
        <v>8</v>
      </c>
      <c r="N45" s="125">
        <f t="shared" si="87"/>
        <v>0</v>
      </c>
      <c r="O45" s="125">
        <f t="shared" si="87"/>
        <v>0</v>
      </c>
      <c r="P45" s="131">
        <f>V45/D45</f>
        <v>40.71231581</v>
      </c>
      <c r="Q45" s="125">
        <f>SUM(Q42:Q44)</f>
        <v>0</v>
      </c>
      <c r="R45" s="126">
        <f t="shared" ref="R45:T45" si="88">AVERAGE(R42:R44)</f>
        <v>0.5053</v>
      </c>
      <c r="S45" s="133">
        <f t="shared" si="88"/>
        <v>1.125</v>
      </c>
      <c r="T45" s="135">
        <f t="shared" si="88"/>
        <v>0.001111111111</v>
      </c>
      <c r="U45" s="131">
        <f t="shared" si="71"/>
        <v>1035861.471</v>
      </c>
      <c r="V45" s="131">
        <f t="shared" ref="V45:W45" si="89">SUM(V42:V44)</f>
        <v>1263750.995</v>
      </c>
      <c r="W45" s="131">
        <f t="shared" si="89"/>
        <v>1270069.75</v>
      </c>
      <c r="X45" s="131">
        <f>U45/(G45/1000)</f>
        <v>247.1500507</v>
      </c>
      <c r="Y45" s="131">
        <f t="shared" si="7"/>
        <v>33.37075066</v>
      </c>
      <c r="Z45" s="131"/>
    </row>
    <row r="46">
      <c r="A46" s="36" t="s">
        <v>23</v>
      </c>
      <c r="B46" s="52" t="s">
        <v>89</v>
      </c>
      <c r="C46" s="57">
        <v>1400635.0</v>
      </c>
      <c r="D46" s="57">
        <v>2618.0</v>
      </c>
      <c r="E46" s="65">
        <f t="shared" si="1"/>
        <v>0.001869152206</v>
      </c>
      <c r="F46" s="67">
        <v>1427363.0</v>
      </c>
      <c r="G46" s="67">
        <v>1110000.0</v>
      </c>
      <c r="H46" s="69">
        <f t="shared" ref="H46:H54" si="90">IFERROR(C46/F46,"-")</f>
        <v>0.9812745602</v>
      </c>
      <c r="I46" s="70">
        <f t="shared" ref="I46:I48" si="91">SUM(J46:K46)</f>
        <v>0.1105</v>
      </c>
      <c r="J46" s="70">
        <v>0.1105</v>
      </c>
      <c r="K46" s="70">
        <v>0.0</v>
      </c>
      <c r="L46" s="70">
        <v>0.0595</v>
      </c>
      <c r="M46" s="71"/>
      <c r="N46" s="71"/>
      <c r="O46" s="71"/>
      <c r="P46" s="72">
        <f t="shared" ref="P46:P48" si="92">IFERROR(V46/D46,"-")</f>
        <v>165.8620534</v>
      </c>
      <c r="Q46" s="75"/>
      <c r="R46" s="70">
        <v>0.47</v>
      </c>
      <c r="S46" s="77">
        <v>1.12</v>
      </c>
      <c r="T46" s="79">
        <v>0.0012268518518518518</v>
      </c>
      <c r="U46" s="72">
        <f t="shared" si="71"/>
        <v>355923.6522</v>
      </c>
      <c r="V46" s="72">
        <f t="shared" ref="V46:V48" si="93">W46/1.005</f>
        <v>434226.8557</v>
      </c>
      <c r="W46" s="83">
        <v>436397.99</v>
      </c>
      <c r="X46" s="72">
        <f t="shared" ref="X46:X48" si="94">U46/C46*1000</f>
        <v>254.1159204</v>
      </c>
      <c r="Y46" s="72">
        <f t="shared" si="7"/>
        <v>135.9525028</v>
      </c>
      <c r="Z46" s="83"/>
    </row>
    <row r="47">
      <c r="A47" s="36" t="s">
        <v>41</v>
      </c>
      <c r="B47" s="52" t="s">
        <v>89</v>
      </c>
      <c r="C47" s="57">
        <v>1915548.0</v>
      </c>
      <c r="D47" s="57">
        <v>2249.0</v>
      </c>
      <c r="E47" s="65">
        <f t="shared" si="1"/>
        <v>0.001174076557</v>
      </c>
      <c r="F47" s="67">
        <v>1944969.0</v>
      </c>
      <c r="G47" s="67">
        <v>1355875.0</v>
      </c>
      <c r="H47" s="69">
        <f t="shared" si="90"/>
        <v>0.9848732808</v>
      </c>
      <c r="I47" s="70">
        <f t="shared" si="91"/>
        <v>0</v>
      </c>
      <c r="J47" s="106" t="s">
        <v>71</v>
      </c>
      <c r="K47" s="106" t="s">
        <v>71</v>
      </c>
      <c r="L47" s="70">
        <v>0.178</v>
      </c>
      <c r="M47" s="71"/>
      <c r="N47" s="71"/>
      <c r="O47" s="71"/>
      <c r="P47" s="72">
        <f t="shared" si="92"/>
        <v>171.9265301</v>
      </c>
      <c r="Q47" s="75"/>
      <c r="R47" s="70">
        <v>0.3371</v>
      </c>
      <c r="S47" s="77">
        <v>1.19</v>
      </c>
      <c r="T47" s="79">
        <v>0.0016782407407407408</v>
      </c>
      <c r="U47" s="72">
        <f t="shared" si="71"/>
        <v>316936.6936</v>
      </c>
      <c r="V47" s="72">
        <f t="shared" si="93"/>
        <v>386662.7662</v>
      </c>
      <c r="W47" s="83">
        <v>388596.08</v>
      </c>
      <c r="X47" s="72">
        <f t="shared" si="94"/>
        <v>165.454843</v>
      </c>
      <c r="Y47" s="72">
        <f t="shared" si="7"/>
        <v>140.9233853</v>
      </c>
      <c r="Z47" s="83"/>
    </row>
    <row r="48">
      <c r="A48" s="36" t="s">
        <v>76</v>
      </c>
      <c r="B48" s="52" t="s">
        <v>89</v>
      </c>
      <c r="C48" s="57">
        <v>2697346.0</v>
      </c>
      <c r="D48" s="57">
        <v>38502.0</v>
      </c>
      <c r="E48" s="65">
        <f t="shared" si="1"/>
        <v>0.01427403084</v>
      </c>
      <c r="F48" s="67">
        <v>2684823.0</v>
      </c>
      <c r="G48" s="67">
        <v>2696986.0</v>
      </c>
      <c r="H48" s="69">
        <f t="shared" si="90"/>
        <v>1.004664367</v>
      </c>
      <c r="I48" s="70">
        <f t="shared" si="91"/>
        <v>0.124</v>
      </c>
      <c r="J48" s="102">
        <v>0.046</v>
      </c>
      <c r="K48" s="102">
        <v>0.078</v>
      </c>
      <c r="L48" s="102">
        <v>0.0356</v>
      </c>
      <c r="M48" s="71"/>
      <c r="N48" s="71"/>
      <c r="O48" s="71"/>
      <c r="P48" s="72">
        <f t="shared" si="92"/>
        <v>10.5437805</v>
      </c>
      <c r="Q48" s="75"/>
      <c r="R48" s="106">
        <v>29.4</v>
      </c>
      <c r="S48" s="77">
        <v>1.69</v>
      </c>
      <c r="T48" s="157">
        <v>7.638888888888889E-4</v>
      </c>
      <c r="U48" s="72">
        <f t="shared" si="71"/>
        <v>332751.3417</v>
      </c>
      <c r="V48" s="72">
        <f t="shared" si="93"/>
        <v>405956.6368</v>
      </c>
      <c r="W48" s="198">
        <v>407986.42</v>
      </c>
      <c r="X48" s="72">
        <f t="shared" si="94"/>
        <v>123.3624984</v>
      </c>
      <c r="Y48" s="72">
        <f t="shared" si="7"/>
        <v>8.642443033</v>
      </c>
      <c r="Z48" s="83"/>
    </row>
    <row r="49">
      <c r="A49" s="121" t="s">
        <v>46</v>
      </c>
      <c r="C49" s="125">
        <f t="shared" ref="C49:D49" si="95">SUM(C46:C48)</f>
        <v>6013529</v>
      </c>
      <c r="D49" s="125">
        <f t="shared" si="95"/>
        <v>43369</v>
      </c>
      <c r="E49" s="126">
        <f t="shared" si="1"/>
        <v>0.007211905023</v>
      </c>
      <c r="F49" s="125">
        <f t="shared" ref="F49:G49" si="96">SUM(F46:F48)</f>
        <v>6057155</v>
      </c>
      <c r="G49" s="125">
        <f t="shared" si="96"/>
        <v>5162861</v>
      </c>
      <c r="H49" s="126">
        <f t="shared" si="90"/>
        <v>0.9927976088</v>
      </c>
      <c r="I49" s="126">
        <f t="shared" ref="I49:L49" si="97">AVERAGE(I46:I48)</f>
        <v>0.07816666667</v>
      </c>
      <c r="J49" s="126">
        <f t="shared" si="97"/>
        <v>0.07825</v>
      </c>
      <c r="K49" s="126">
        <f t="shared" si="97"/>
        <v>0.039</v>
      </c>
      <c r="L49" s="126">
        <f t="shared" si="97"/>
        <v>0.09103333333</v>
      </c>
      <c r="M49" s="125">
        <f t="shared" ref="M49:O49" si="98">SUM(M46:M48)</f>
        <v>0</v>
      </c>
      <c r="N49" s="125">
        <f t="shared" si="98"/>
        <v>0</v>
      </c>
      <c r="O49" s="125">
        <f t="shared" si="98"/>
        <v>0</v>
      </c>
      <c r="P49" s="131">
        <f>V49/D49</f>
        <v>28.28855308</v>
      </c>
      <c r="Q49" s="125">
        <f>SUM(Q46:Q48)</f>
        <v>0</v>
      </c>
      <c r="R49" s="126">
        <f t="shared" ref="R49:T49" si="99">AVERAGE(R46:R48)</f>
        <v>10.06903333</v>
      </c>
      <c r="S49" s="126">
        <f t="shared" si="99"/>
        <v>1.333333333</v>
      </c>
      <c r="T49" s="126">
        <f t="shared" si="99"/>
        <v>0.001222993827</v>
      </c>
      <c r="U49" s="131">
        <f t="shared" si="71"/>
        <v>1005611.687</v>
      </c>
      <c r="V49" s="131">
        <f t="shared" ref="V49:W49" si="100">SUM(V46:V48)</f>
        <v>1226846.259</v>
      </c>
      <c r="W49" s="131">
        <f t="shared" si="100"/>
        <v>1232980.49</v>
      </c>
      <c r="X49" s="131">
        <f>U49/(G49/1000)</f>
        <v>194.7779899</v>
      </c>
      <c r="Y49" s="131">
        <f t="shared" si="7"/>
        <v>23.18733859</v>
      </c>
      <c r="Z49" s="131"/>
    </row>
    <row r="50">
      <c r="A50" s="36" t="s">
        <v>78</v>
      </c>
      <c r="B50" s="52" t="s">
        <v>90</v>
      </c>
      <c r="C50" s="57">
        <v>2714896.0</v>
      </c>
      <c r="D50" s="57">
        <v>6984.0</v>
      </c>
      <c r="E50" s="65">
        <f t="shared" si="1"/>
        <v>0.002572474231</v>
      </c>
      <c r="F50" s="67">
        <v>2669274.0</v>
      </c>
      <c r="G50" s="67">
        <v>4654667.0</v>
      </c>
      <c r="H50" s="69">
        <f t="shared" si="90"/>
        <v>1.017091539</v>
      </c>
      <c r="I50" s="70">
        <f>SUM(J50:K50)</f>
        <v>0.0432</v>
      </c>
      <c r="J50" s="70">
        <v>0.0217</v>
      </c>
      <c r="K50" s="70">
        <v>0.0215</v>
      </c>
      <c r="L50" s="70">
        <v>0.0562</v>
      </c>
      <c r="M50" s="71"/>
      <c r="N50" s="71"/>
      <c r="O50" s="71"/>
      <c r="P50" s="72">
        <f>IFERROR(V50/D50,"-")</f>
        <v>39.8094023</v>
      </c>
      <c r="Q50" s="75"/>
      <c r="R50" s="69">
        <v>0.1977</v>
      </c>
      <c r="S50" s="75">
        <v>1.38</v>
      </c>
      <c r="T50" s="147">
        <v>0.0012268518518518518</v>
      </c>
      <c r="U50" s="72">
        <f t="shared" si="71"/>
        <v>227892.5128</v>
      </c>
      <c r="V50" s="72">
        <f>W50/1.005</f>
        <v>278028.8657</v>
      </c>
      <c r="W50" s="83">
        <v>279419.01</v>
      </c>
      <c r="X50" s="72">
        <f>U50/C50*1000</f>
        <v>83.94152588</v>
      </c>
      <c r="Y50" s="72">
        <f t="shared" si="7"/>
        <v>32.63065762</v>
      </c>
      <c r="Z50" s="83"/>
    </row>
    <row r="51">
      <c r="A51" s="121" t="s">
        <v>46</v>
      </c>
      <c r="C51" s="125">
        <f t="shared" ref="C51:D51" si="101">C50</f>
        <v>2714896</v>
      </c>
      <c r="D51" s="125">
        <f t="shared" si="101"/>
        <v>6984</v>
      </c>
      <c r="E51" s="126">
        <f t="shared" si="1"/>
        <v>0.002572474231</v>
      </c>
      <c r="F51" s="125">
        <f t="shared" ref="F51:G51" si="102">F50</f>
        <v>2669274</v>
      </c>
      <c r="G51" s="125">
        <f t="shared" si="102"/>
        <v>4654667</v>
      </c>
      <c r="H51" s="126">
        <f t="shared" si="90"/>
        <v>1.017091539</v>
      </c>
      <c r="I51" s="126">
        <f t="shared" ref="I51:L51" si="103">AVERAGE(I50)</f>
        <v>0.0432</v>
      </c>
      <c r="J51" s="126">
        <f t="shared" si="103"/>
        <v>0.0217</v>
      </c>
      <c r="K51" s="126">
        <f t="shared" si="103"/>
        <v>0.0215</v>
      </c>
      <c r="L51" s="126">
        <f t="shared" si="103"/>
        <v>0.0562</v>
      </c>
      <c r="M51" s="148" t="str">
        <f t="shared" ref="M51:O51" si="104">M50</f>
        <v/>
      </c>
      <c r="N51" s="125" t="str">
        <f t="shared" si="104"/>
        <v/>
      </c>
      <c r="O51" s="125" t="str">
        <f t="shared" si="104"/>
        <v/>
      </c>
      <c r="P51" s="131">
        <f>V51/D51</f>
        <v>39.8094023</v>
      </c>
      <c r="Q51" s="125">
        <f>SUM(Q48:Q50)</f>
        <v>0</v>
      </c>
      <c r="R51" s="126">
        <f t="shared" ref="R51:S51" si="105">AVERAGE(R50)</f>
        <v>0.1977</v>
      </c>
      <c r="S51" s="133">
        <f t="shared" si="105"/>
        <v>1.38</v>
      </c>
      <c r="T51" s="135">
        <f>T50</f>
        <v>0.001226851852</v>
      </c>
      <c r="U51" s="131">
        <f t="shared" si="71"/>
        <v>227892.5128</v>
      </c>
      <c r="V51" s="131">
        <f t="shared" ref="V51:W51" si="106">SUM(V50)</f>
        <v>278028.8657</v>
      </c>
      <c r="W51" s="131">
        <f t="shared" si="106"/>
        <v>279419.01</v>
      </c>
      <c r="X51" s="131">
        <f>U51/(G51/1000)</f>
        <v>48.96000355</v>
      </c>
      <c r="Y51" s="131">
        <f t="shared" si="7"/>
        <v>32.63065762</v>
      </c>
      <c r="Z51" s="131"/>
    </row>
    <row r="52">
      <c r="A52" s="90" t="s">
        <v>92</v>
      </c>
      <c r="B52" s="200" t="s">
        <v>93</v>
      </c>
      <c r="C52" s="201">
        <v>457833.0</v>
      </c>
      <c r="D52" s="201">
        <v>1663.0</v>
      </c>
      <c r="E52" s="65">
        <f t="shared" si="1"/>
        <v>0.003632328819</v>
      </c>
      <c r="F52" s="67" t="s">
        <v>67</v>
      </c>
      <c r="G52" s="67">
        <v>400000.0</v>
      </c>
      <c r="H52" s="69" t="str">
        <f t="shared" si="90"/>
        <v>-</v>
      </c>
      <c r="I52" s="71" t="s">
        <v>67</v>
      </c>
      <c r="J52" s="71" t="s">
        <v>67</v>
      </c>
      <c r="K52" s="71" t="s">
        <v>67</v>
      </c>
      <c r="L52" s="71" t="s">
        <v>67</v>
      </c>
      <c r="M52" s="71"/>
      <c r="N52" s="71"/>
      <c r="O52" s="71"/>
      <c r="P52" s="72">
        <f t="shared" ref="P52:P54" si="107">IFERROR(V52/D52,"-")</f>
        <v>201.1051178</v>
      </c>
      <c r="Q52" s="75"/>
      <c r="R52" s="69">
        <v>0.48445000000000005</v>
      </c>
      <c r="S52" s="75">
        <v>1.0899999999999999</v>
      </c>
      <c r="T52" s="147">
        <v>7.87037037037037E-4</v>
      </c>
      <c r="U52" s="72">
        <f t="shared" si="71"/>
        <v>274129.3532</v>
      </c>
      <c r="V52" s="72">
        <f t="shared" ref="V52:V54" si="108">W52/1.005</f>
        <v>334437.8109</v>
      </c>
      <c r="W52" s="198">
        <v>336110.0</v>
      </c>
      <c r="X52" s="72">
        <f t="shared" ref="X52:X54" si="109">U52/C52*1000</f>
        <v>598.7540287</v>
      </c>
      <c r="Y52" s="72">
        <f t="shared" si="7"/>
        <v>164.8402605</v>
      </c>
      <c r="Z52" s="83"/>
    </row>
    <row r="53">
      <c r="A53" s="95" t="s">
        <v>39</v>
      </c>
      <c r="B53" s="200" t="s">
        <v>93</v>
      </c>
      <c r="C53" s="57">
        <v>1791139.0</v>
      </c>
      <c r="D53" s="57">
        <v>8423.0</v>
      </c>
      <c r="E53" s="65">
        <f t="shared" si="1"/>
        <v>0.004702594271</v>
      </c>
      <c r="F53" s="67">
        <v>1826612.0</v>
      </c>
      <c r="G53" s="67">
        <v>1804000.0</v>
      </c>
      <c r="H53" s="69">
        <f t="shared" si="90"/>
        <v>0.9805798933</v>
      </c>
      <c r="I53" s="70">
        <f t="shared" ref="I53:I54" si="110">SUM(J53:K53)</f>
        <v>0.038</v>
      </c>
      <c r="J53" s="70">
        <v>0.0157</v>
      </c>
      <c r="K53" s="70">
        <v>0.0223</v>
      </c>
      <c r="L53" s="70">
        <v>0.0741</v>
      </c>
      <c r="M53" s="71"/>
      <c r="N53" s="71"/>
      <c r="O53" s="71"/>
      <c r="P53" s="72">
        <f t="shared" si="107"/>
        <v>28.53743983</v>
      </c>
      <c r="Q53" s="75"/>
      <c r="R53" s="70">
        <v>0.4537</v>
      </c>
      <c r="S53" s="77">
        <v>1.35</v>
      </c>
      <c r="T53" s="79">
        <v>8.680555555555555E-4</v>
      </c>
      <c r="U53" s="72">
        <f t="shared" si="71"/>
        <v>197025.2916</v>
      </c>
      <c r="V53" s="72">
        <f t="shared" si="108"/>
        <v>240370.8557</v>
      </c>
      <c r="W53" s="83">
        <v>241572.71</v>
      </c>
      <c r="X53" s="72">
        <f t="shared" si="109"/>
        <v>110.0000009</v>
      </c>
      <c r="Y53" s="72">
        <f t="shared" si="7"/>
        <v>23.39134413</v>
      </c>
      <c r="Z53" s="83">
        <f>W53</f>
        <v>241572.71</v>
      </c>
    </row>
    <row r="54">
      <c r="A54" s="36" t="s">
        <v>64</v>
      </c>
      <c r="B54" s="200" t="s">
        <v>93</v>
      </c>
      <c r="C54" s="57">
        <v>3102439.0</v>
      </c>
      <c r="D54" s="57">
        <v>6824.0</v>
      </c>
      <c r="E54" s="65">
        <f t="shared" si="1"/>
        <v>0.002199559766</v>
      </c>
      <c r="F54" s="67">
        <v>3274887.0</v>
      </c>
      <c r="G54" s="67">
        <v>3415600.0</v>
      </c>
      <c r="H54" s="69">
        <f t="shared" si="90"/>
        <v>0.9473423052</v>
      </c>
      <c r="I54" s="70">
        <f t="shared" si="110"/>
        <v>0.0149</v>
      </c>
      <c r="J54" s="102">
        <v>0.0098</v>
      </c>
      <c r="K54" s="102">
        <v>0.0051</v>
      </c>
      <c r="L54" s="70">
        <v>0.1304</v>
      </c>
      <c r="M54" s="71"/>
      <c r="N54" s="71"/>
      <c r="O54" s="71"/>
      <c r="P54" s="72">
        <f t="shared" si="107"/>
        <v>17.84725697</v>
      </c>
      <c r="Q54" s="75" t="s">
        <v>67</v>
      </c>
      <c r="R54" s="102">
        <v>0.5247</v>
      </c>
      <c r="S54" s="77">
        <v>1.19</v>
      </c>
      <c r="T54" s="157">
        <v>7.523148148148148E-4</v>
      </c>
      <c r="U54" s="72">
        <f t="shared" si="71"/>
        <v>99827.60786</v>
      </c>
      <c r="V54" s="72">
        <f t="shared" si="108"/>
        <v>121789.6816</v>
      </c>
      <c r="W54" s="83">
        <v>122398.63</v>
      </c>
      <c r="X54" s="72">
        <f t="shared" si="109"/>
        <v>32.17713801</v>
      </c>
      <c r="Y54" s="72">
        <f t="shared" si="7"/>
        <v>14.62889916</v>
      </c>
      <c r="Z54" s="83"/>
    </row>
    <row r="55">
      <c r="A55" s="121" t="s">
        <v>46</v>
      </c>
      <c r="C55" s="125">
        <f t="shared" ref="C55:D55" si="111">SUM(C52:C54)</f>
        <v>5351411</v>
      </c>
      <c r="D55" s="125">
        <f t="shared" si="111"/>
        <v>16910</v>
      </c>
      <c r="E55" s="126">
        <f t="shared" si="1"/>
        <v>0.003159914273</v>
      </c>
      <c r="F55" s="125">
        <f t="shared" ref="F55:G55" si="112">SUM(F52:F54)</f>
        <v>5101499</v>
      </c>
      <c r="G55" s="125">
        <f t="shared" si="112"/>
        <v>5619600</v>
      </c>
      <c r="H55" s="152"/>
      <c r="I55" s="126">
        <f t="shared" ref="I55:L55" si="113">AVERAGE(I52:I54)</f>
        <v>0.02645</v>
      </c>
      <c r="J55" s="126">
        <f t="shared" si="113"/>
        <v>0.01275</v>
      </c>
      <c r="K55" s="126">
        <f t="shared" si="113"/>
        <v>0.0137</v>
      </c>
      <c r="L55" s="126">
        <f t="shared" si="113"/>
        <v>0.10225</v>
      </c>
      <c r="M55" s="148">
        <f t="shared" ref="M55:O55" si="114">SUM(M52:M54)</f>
        <v>0</v>
      </c>
      <c r="N55" s="125">
        <f t="shared" si="114"/>
        <v>0</v>
      </c>
      <c r="O55" s="125">
        <f t="shared" si="114"/>
        <v>0</v>
      </c>
      <c r="P55" s="131">
        <f>V55/D55</f>
        <v>41.19446175</v>
      </c>
      <c r="Q55" s="125">
        <f>SUM(Q52:Q54)</f>
        <v>0</v>
      </c>
      <c r="R55" s="126">
        <f t="shared" ref="R55:T55" si="115">AVERAGE(R52:R54)</f>
        <v>0.4876166667</v>
      </c>
      <c r="S55" s="133">
        <f t="shared" si="115"/>
        <v>1.21</v>
      </c>
      <c r="T55" s="135">
        <f t="shared" si="115"/>
        <v>0.0008024691358</v>
      </c>
      <c r="U55" s="131">
        <f t="shared" si="71"/>
        <v>570982.2527</v>
      </c>
      <c r="V55" s="131">
        <f t="shared" ref="V55:W55" si="116">SUM(V52:V54)</f>
        <v>696598.3483</v>
      </c>
      <c r="W55" s="131">
        <f t="shared" si="116"/>
        <v>700081.34</v>
      </c>
      <c r="X55" s="131">
        <f>U55/(G55/1000)</f>
        <v>101.6054973</v>
      </c>
      <c r="Y55" s="131">
        <f t="shared" si="7"/>
        <v>33.76595226</v>
      </c>
      <c r="Z55" s="131"/>
    </row>
    <row r="56">
      <c r="A56" s="158" t="s">
        <v>35</v>
      </c>
      <c r="B56" s="52" t="s">
        <v>94</v>
      </c>
      <c r="C56" s="57">
        <v>3113127.0</v>
      </c>
      <c r="D56" s="57">
        <v>2016.0</v>
      </c>
      <c r="E56" s="65">
        <f t="shared" si="1"/>
        <v>0.000647580391</v>
      </c>
      <c r="F56" s="67">
        <v>3356628.0</v>
      </c>
      <c r="G56" s="67">
        <v>2800000.0</v>
      </c>
      <c r="H56" s="69">
        <f t="shared" ref="H56:H70" si="117">IFERROR(C56/F56,"-")</f>
        <v>0.9274566619</v>
      </c>
      <c r="I56" s="70">
        <v>0.0587</v>
      </c>
      <c r="J56" s="70">
        <v>0.0564</v>
      </c>
      <c r="K56" s="70">
        <v>0.0023</v>
      </c>
      <c r="L56" s="70">
        <v>0.0582</v>
      </c>
      <c r="M56" s="71"/>
      <c r="N56" s="71"/>
      <c r="O56" s="71"/>
      <c r="P56" s="72">
        <f t="shared" ref="P56:P57" si="118">IFERROR(V57/D56,"-")</f>
        <v>263.6377438</v>
      </c>
      <c r="Q56" s="75"/>
      <c r="R56" s="70">
        <v>0.47</v>
      </c>
      <c r="S56" s="77">
        <v>1.45</v>
      </c>
      <c r="T56" s="79">
        <v>0.001412037037037037</v>
      </c>
      <c r="U56" s="72">
        <f t="shared" ref="U56:U57" si="119">V57/1.22</f>
        <v>435650.5668</v>
      </c>
      <c r="V56" s="72">
        <f t="shared" ref="V56:V58" si="120">W56/1.005</f>
        <v>446716.2985</v>
      </c>
      <c r="W56" s="83">
        <v>448949.88</v>
      </c>
      <c r="X56" s="72">
        <f t="shared" ref="X56:X58" si="121">U56/C56*1000</f>
        <v>139.9398633</v>
      </c>
      <c r="Y56" s="72">
        <f t="shared" si="7"/>
        <v>216.0965113</v>
      </c>
      <c r="Z56" s="83"/>
    </row>
    <row r="57">
      <c r="A57" s="95" t="s">
        <v>39</v>
      </c>
      <c r="B57" s="52" t="s">
        <v>94</v>
      </c>
      <c r="C57" s="57">
        <v>3960459.0</v>
      </c>
      <c r="D57" s="57">
        <v>46218.0</v>
      </c>
      <c r="E57" s="65">
        <f t="shared" si="1"/>
        <v>0.01166985948</v>
      </c>
      <c r="F57" s="67">
        <v>4013924.0</v>
      </c>
      <c r="G57" s="67">
        <v>4597000.0</v>
      </c>
      <c r="H57" s="69">
        <f t="shared" si="117"/>
        <v>0.9866801165</v>
      </c>
      <c r="I57" s="70">
        <v>0.039</v>
      </c>
      <c r="J57" s="70">
        <v>0.0237</v>
      </c>
      <c r="K57" s="70">
        <v>0.0153</v>
      </c>
      <c r="L57" s="70">
        <v>0.0534</v>
      </c>
      <c r="M57" s="71"/>
      <c r="N57" s="71"/>
      <c r="O57" s="71"/>
      <c r="P57" s="72">
        <f t="shared" si="118"/>
        <v>8.47644055</v>
      </c>
      <c r="Q57" s="75"/>
      <c r="R57" s="70">
        <v>0.3296</v>
      </c>
      <c r="S57" s="77">
        <v>1.41</v>
      </c>
      <c r="T57" s="79">
        <v>0.0010763888888888889</v>
      </c>
      <c r="U57" s="72">
        <f t="shared" si="119"/>
        <v>321118.1388</v>
      </c>
      <c r="V57" s="72">
        <f t="shared" si="120"/>
        <v>531493.6915</v>
      </c>
      <c r="W57" s="83">
        <v>534151.16</v>
      </c>
      <c r="X57" s="72">
        <f t="shared" si="121"/>
        <v>81.08104106</v>
      </c>
      <c r="Y57" s="72">
        <f t="shared" si="7"/>
        <v>6.94790209</v>
      </c>
      <c r="Z57" s="83">
        <v>463147.78</v>
      </c>
    </row>
    <row r="58">
      <c r="A58" s="158" t="s">
        <v>41</v>
      </c>
      <c r="B58" s="52" t="s">
        <v>94</v>
      </c>
      <c r="C58" s="57">
        <v>1685573.0</v>
      </c>
      <c r="D58" s="57">
        <v>5833.0</v>
      </c>
      <c r="E58" s="65">
        <f t="shared" si="1"/>
        <v>0.003460544278</v>
      </c>
      <c r="F58" s="67">
        <v>1646138.0</v>
      </c>
      <c r="G58" s="67">
        <v>1375000.0</v>
      </c>
      <c r="H58" s="69">
        <f t="shared" si="117"/>
        <v>1.023956072</v>
      </c>
      <c r="I58" s="70">
        <v>0.0</v>
      </c>
      <c r="J58" s="70">
        <v>0.0</v>
      </c>
      <c r="K58" s="70">
        <v>0.0</v>
      </c>
      <c r="L58" s="70">
        <v>0.0253</v>
      </c>
      <c r="M58" s="71"/>
      <c r="N58" s="71"/>
      <c r="O58" s="71"/>
      <c r="P58" s="72">
        <f>IFERROR(V58/D58,"-")</f>
        <v>67.16340294</v>
      </c>
      <c r="Q58" s="75"/>
      <c r="R58" s="70">
        <v>0.4714</v>
      </c>
      <c r="S58" s="77">
        <v>1.04</v>
      </c>
      <c r="T58" s="79">
        <v>0.0010532407407407407</v>
      </c>
      <c r="U58" s="72">
        <f t="shared" ref="U58:U80" si="127">V58/1.22</f>
        <v>321118.1388</v>
      </c>
      <c r="V58" s="72">
        <f t="shared" si="120"/>
        <v>391764.1294</v>
      </c>
      <c r="W58" s="83">
        <v>393722.95</v>
      </c>
      <c r="X58" s="72">
        <f t="shared" si="121"/>
        <v>190.5097785</v>
      </c>
      <c r="Y58" s="72">
        <f t="shared" si="7"/>
        <v>55.05196962</v>
      </c>
      <c r="Z58" s="83"/>
    </row>
    <row r="59">
      <c r="A59" s="121" t="s">
        <v>46</v>
      </c>
      <c r="C59" s="125">
        <f t="shared" ref="C59:D59" si="122">SUM(C56:C58)</f>
        <v>8759159</v>
      </c>
      <c r="D59" s="125">
        <f t="shared" si="122"/>
        <v>54067</v>
      </c>
      <c r="E59" s="126">
        <f t="shared" si="1"/>
        <v>0.006172624564</v>
      </c>
      <c r="F59" s="125">
        <f t="shared" ref="F59:G59" si="123">SUM(F56:F58)</f>
        <v>9016690</v>
      </c>
      <c r="G59" s="125">
        <f t="shared" si="123"/>
        <v>8772000</v>
      </c>
      <c r="H59" s="126">
        <f t="shared" si="117"/>
        <v>0.9714384103</v>
      </c>
      <c r="I59" s="126">
        <f t="shared" ref="I59:L59" si="124">AVERAGE(I56:I58)</f>
        <v>0.03256666667</v>
      </c>
      <c r="J59" s="126">
        <f t="shared" si="124"/>
        <v>0.0267</v>
      </c>
      <c r="K59" s="126">
        <f t="shared" si="124"/>
        <v>0.005866666667</v>
      </c>
      <c r="L59" s="126">
        <f t="shared" si="124"/>
        <v>0.04563333333</v>
      </c>
      <c r="M59" s="125">
        <f t="shared" ref="M59:O59" si="125">SUM(M56:M58)</f>
        <v>0</v>
      </c>
      <c r="N59" s="125">
        <f t="shared" si="125"/>
        <v>0</v>
      </c>
      <c r="O59" s="125">
        <f t="shared" si="125"/>
        <v>0</v>
      </c>
      <c r="P59" s="131">
        <f>V59/D59</f>
        <v>25.33845265</v>
      </c>
      <c r="Q59" s="206"/>
      <c r="R59" s="126">
        <f t="shared" ref="R59:T59" si="126">AVERAGE(R56:R58)</f>
        <v>0.4236666667</v>
      </c>
      <c r="S59" s="133">
        <f t="shared" si="126"/>
        <v>1.3</v>
      </c>
      <c r="T59" s="135">
        <f t="shared" si="126"/>
        <v>0.001180555556</v>
      </c>
      <c r="U59" s="131">
        <f t="shared" si="127"/>
        <v>1122929.606</v>
      </c>
      <c r="V59" s="131">
        <f t="shared" ref="V59:W59" si="128">SUM(V56:V58)</f>
        <v>1369974.119</v>
      </c>
      <c r="W59" s="131">
        <f t="shared" si="128"/>
        <v>1376823.99</v>
      </c>
      <c r="X59" s="131">
        <f>U59/(G59/1000)</f>
        <v>128.012951</v>
      </c>
      <c r="Y59" s="131">
        <f t="shared" si="7"/>
        <v>20.76922348</v>
      </c>
      <c r="Z59" s="131"/>
    </row>
    <row r="60">
      <c r="A60" s="95" t="s">
        <v>39</v>
      </c>
      <c r="B60" s="52" t="s">
        <v>95</v>
      </c>
      <c r="C60" s="57">
        <v>3967722.0</v>
      </c>
      <c r="D60" s="57">
        <v>37310.0</v>
      </c>
      <c r="E60" s="65">
        <f t="shared" si="1"/>
        <v>0.00940338058</v>
      </c>
      <c r="F60" s="67">
        <v>4092664.0</v>
      </c>
      <c r="G60" s="67">
        <v>3980000.0</v>
      </c>
      <c r="H60" s="69">
        <f t="shared" si="117"/>
        <v>0.9694717182</v>
      </c>
      <c r="I60" s="70">
        <f t="shared" ref="I60:I62" si="129">SUM(J60:K60)</f>
        <v>0.1478</v>
      </c>
      <c r="J60" s="70">
        <v>0.0695</v>
      </c>
      <c r="K60" s="70">
        <v>0.0783</v>
      </c>
      <c r="L60" s="70">
        <v>0.0707</v>
      </c>
      <c r="M60" s="71"/>
      <c r="N60" s="71"/>
      <c r="O60" s="71"/>
      <c r="P60" s="72">
        <f t="shared" ref="P60:P62" si="130">IFERROR(V60/D60,"-")</f>
        <v>14.27146417</v>
      </c>
      <c r="Q60" s="75"/>
      <c r="R60" s="70">
        <v>0.3068</v>
      </c>
      <c r="S60" s="77">
        <v>2.06</v>
      </c>
      <c r="T60" s="79">
        <v>0.0010648148148148149</v>
      </c>
      <c r="U60" s="72">
        <f t="shared" si="127"/>
        <v>436449.4495</v>
      </c>
      <c r="V60" s="72">
        <f t="shared" ref="V60:V62" si="131">W60/1.005</f>
        <v>532468.3284</v>
      </c>
      <c r="W60" s="83">
        <v>535130.67</v>
      </c>
      <c r="X60" s="72">
        <f t="shared" ref="X60:X62" si="132">U60/C60*1000</f>
        <v>110.0000074</v>
      </c>
      <c r="Y60" s="72">
        <f t="shared" si="7"/>
        <v>11.69792145</v>
      </c>
      <c r="Z60" s="83">
        <f>W60</f>
        <v>535130.67</v>
      </c>
    </row>
    <row r="61">
      <c r="A61" s="36" t="s">
        <v>76</v>
      </c>
      <c r="B61" s="52" t="s">
        <v>95</v>
      </c>
      <c r="C61" s="57">
        <v>5978556.0</v>
      </c>
      <c r="D61" s="57">
        <v>15277.0</v>
      </c>
      <c r="E61" s="65">
        <f t="shared" si="1"/>
        <v>0.002555299306</v>
      </c>
      <c r="F61" s="67">
        <v>6701849.0</v>
      </c>
      <c r="G61" s="67">
        <v>5725120.0</v>
      </c>
      <c r="H61" s="69">
        <f t="shared" si="117"/>
        <v>0.8920756048</v>
      </c>
      <c r="I61" s="70">
        <f t="shared" si="129"/>
        <v>0.0487</v>
      </c>
      <c r="J61" s="70">
        <v>0.032</v>
      </c>
      <c r="K61" s="70">
        <v>0.0167</v>
      </c>
      <c r="L61" s="70">
        <v>0.2262</v>
      </c>
      <c r="M61" s="71"/>
      <c r="N61" s="71"/>
      <c r="O61" s="71"/>
      <c r="P61" s="72">
        <f t="shared" si="130"/>
        <v>29.71800876</v>
      </c>
      <c r="Q61" s="75"/>
      <c r="R61" s="70">
        <v>0.5299</v>
      </c>
      <c r="S61" s="77">
        <v>1.06</v>
      </c>
      <c r="T61" s="79">
        <v>6.481481481481481E-4</v>
      </c>
      <c r="U61" s="72">
        <f t="shared" si="127"/>
        <v>372132.8032</v>
      </c>
      <c r="V61" s="72">
        <f t="shared" si="131"/>
        <v>454002.0199</v>
      </c>
      <c r="W61" s="83">
        <v>456272.03</v>
      </c>
      <c r="X61" s="72">
        <f t="shared" si="132"/>
        <v>62.24459605</v>
      </c>
      <c r="Y61" s="72">
        <f t="shared" si="7"/>
        <v>24.35902358</v>
      </c>
      <c r="Z61" s="83"/>
    </row>
    <row r="62">
      <c r="A62" s="36" t="s">
        <v>64</v>
      </c>
      <c r="B62" s="52" t="s">
        <v>95</v>
      </c>
      <c r="C62" s="57">
        <v>398005.0</v>
      </c>
      <c r="D62" s="57">
        <v>398.0</v>
      </c>
      <c r="E62" s="65">
        <f t="shared" si="1"/>
        <v>0.0009999874373</v>
      </c>
      <c r="F62" s="67">
        <v>153511.0</v>
      </c>
      <c r="G62" s="67">
        <v>398000.0</v>
      </c>
      <c r="H62" s="69">
        <f t="shared" si="117"/>
        <v>2.592680655</v>
      </c>
      <c r="I62" s="70">
        <f t="shared" si="129"/>
        <v>0.0703</v>
      </c>
      <c r="J62" s="70">
        <v>0.0386</v>
      </c>
      <c r="K62" s="70">
        <v>0.0317</v>
      </c>
      <c r="L62" s="70">
        <v>0.0567</v>
      </c>
      <c r="M62" s="71"/>
      <c r="N62" s="71"/>
      <c r="O62" s="71"/>
      <c r="P62" s="72">
        <f t="shared" si="130"/>
        <v>43.1641541</v>
      </c>
      <c r="Q62" s="75"/>
      <c r="R62" s="70">
        <v>0.2651</v>
      </c>
      <c r="S62" s="77">
        <v>1.11</v>
      </c>
      <c r="T62" s="79">
        <v>9.837962962962962E-4</v>
      </c>
      <c r="U62" s="72">
        <f t="shared" si="127"/>
        <v>14081.42077</v>
      </c>
      <c r="V62" s="72">
        <f t="shared" si="131"/>
        <v>17179.33333</v>
      </c>
      <c r="W62" s="83">
        <v>17265.23</v>
      </c>
      <c r="X62" s="72">
        <f t="shared" si="132"/>
        <v>35.38000971</v>
      </c>
      <c r="Y62" s="72">
        <f t="shared" si="7"/>
        <v>35.38045418</v>
      </c>
      <c r="Z62" s="83">
        <f>W62</f>
        <v>17265.23</v>
      </c>
    </row>
    <row r="63">
      <c r="A63" s="121" t="s">
        <v>46</v>
      </c>
      <c r="C63" s="125">
        <f t="shared" ref="C63:D63" si="133">SUM(C60:C62)</f>
        <v>10344283</v>
      </c>
      <c r="D63" s="125">
        <f t="shared" si="133"/>
        <v>52985</v>
      </c>
      <c r="E63" s="126">
        <f t="shared" si="1"/>
        <v>0.005122152981</v>
      </c>
      <c r="F63" s="125">
        <f t="shared" ref="F63:G63" si="134">SUM(F60:F62)</f>
        <v>10948024</v>
      </c>
      <c r="G63" s="125">
        <f t="shared" si="134"/>
        <v>10103120</v>
      </c>
      <c r="H63" s="126">
        <f t="shared" si="117"/>
        <v>0.9448538841</v>
      </c>
      <c r="I63" s="126">
        <f t="shared" ref="I63:L63" si="135">AVERAGE(I60:I62)</f>
        <v>0.08893333333</v>
      </c>
      <c r="J63" s="126">
        <f t="shared" si="135"/>
        <v>0.0467</v>
      </c>
      <c r="K63" s="126">
        <f t="shared" si="135"/>
        <v>0.04223333333</v>
      </c>
      <c r="L63" s="126">
        <f t="shared" si="135"/>
        <v>0.1178666667</v>
      </c>
      <c r="M63" s="125">
        <f t="shared" ref="M63:O63" si="136">SUM(M60:M61)</f>
        <v>0</v>
      </c>
      <c r="N63" s="125">
        <f t="shared" si="136"/>
        <v>0</v>
      </c>
      <c r="O63" s="125">
        <f t="shared" si="136"/>
        <v>0</v>
      </c>
      <c r="P63" s="131">
        <f>V63/D63</f>
        <v>18.94214743</v>
      </c>
      <c r="Q63" s="206"/>
      <c r="R63" s="126">
        <f t="shared" ref="R63:T63" si="137">AVERAGE(R60:R62)</f>
        <v>0.3672666667</v>
      </c>
      <c r="S63" s="133">
        <f t="shared" si="137"/>
        <v>1.41</v>
      </c>
      <c r="T63" s="135">
        <f t="shared" si="137"/>
        <v>0.0008989197531</v>
      </c>
      <c r="U63" s="131">
        <f t="shared" si="127"/>
        <v>822663.6734</v>
      </c>
      <c r="V63" s="131">
        <f t="shared" ref="V63:W63" si="138">SUM(V60:V62)</f>
        <v>1003649.682</v>
      </c>
      <c r="W63" s="131">
        <f t="shared" si="138"/>
        <v>1008667.93</v>
      </c>
      <c r="X63" s="131">
        <f>U63/(G63/1000)</f>
        <v>81.42669526</v>
      </c>
      <c r="Y63" s="131">
        <f t="shared" si="7"/>
        <v>15.52635035</v>
      </c>
      <c r="Z63" s="131"/>
    </row>
    <row r="64">
      <c r="A64" s="90" t="s">
        <v>37</v>
      </c>
      <c r="B64" s="52" t="s">
        <v>97</v>
      </c>
      <c r="C64" s="57">
        <v>3370038.0</v>
      </c>
      <c r="D64" s="57">
        <v>7773.0</v>
      </c>
      <c r="E64" s="65">
        <f t="shared" si="1"/>
        <v>0.002306502182</v>
      </c>
      <c r="F64" s="67">
        <v>3036944.0</v>
      </c>
      <c r="G64" s="67">
        <v>3369764.0</v>
      </c>
      <c r="H64" s="69">
        <f t="shared" si="117"/>
        <v>1.109680653</v>
      </c>
      <c r="I64" s="70">
        <f t="shared" ref="I64:I65" si="139">SUM(J64:K64)</f>
        <v>0.0534</v>
      </c>
      <c r="J64" s="70">
        <v>0.0441</v>
      </c>
      <c r="K64" s="70">
        <v>0.0093</v>
      </c>
      <c r="L64" s="70">
        <v>0.022</v>
      </c>
      <c r="M64" s="71"/>
      <c r="N64" s="71"/>
      <c r="O64" s="71"/>
      <c r="P64" s="72">
        <f t="shared" ref="P64:P66" si="140">IFERROR(V64/D64,"-")</f>
        <v>47.00630771</v>
      </c>
      <c r="Q64" s="75"/>
      <c r="R64" s="70">
        <v>0.2235</v>
      </c>
      <c r="S64" s="77">
        <v>2.03</v>
      </c>
      <c r="T64" s="79">
        <v>0.0014583333333333334</v>
      </c>
      <c r="U64" s="72">
        <f t="shared" si="127"/>
        <v>299491.8277</v>
      </c>
      <c r="V64" s="72">
        <f t="shared" ref="V64:V66" si="141">W64/1.005</f>
        <v>365380.0299</v>
      </c>
      <c r="W64" s="83">
        <v>367206.93</v>
      </c>
      <c r="X64" s="72">
        <f t="shared" ref="X64:X66" si="142">U64/C64*1000</f>
        <v>88.86897648</v>
      </c>
      <c r="Y64" s="72">
        <f t="shared" si="7"/>
        <v>38.52976042</v>
      </c>
      <c r="Z64" s="83"/>
    </row>
    <row r="65">
      <c r="A65" s="95" t="s">
        <v>39</v>
      </c>
      <c r="B65" s="52" t="s">
        <v>97</v>
      </c>
      <c r="C65" s="57">
        <v>2435333.0</v>
      </c>
      <c r="D65" s="57">
        <v>29759.0</v>
      </c>
      <c r="E65" s="65">
        <f t="shared" si="1"/>
        <v>0.01221968413</v>
      </c>
      <c r="F65" s="67">
        <v>2470789.0</v>
      </c>
      <c r="G65" s="67">
        <v>3010433.0</v>
      </c>
      <c r="H65" s="69">
        <f t="shared" si="117"/>
        <v>0.985649928</v>
      </c>
      <c r="I65" s="70">
        <f t="shared" si="139"/>
        <v>0.1413</v>
      </c>
      <c r="J65" s="70">
        <v>0.049</v>
      </c>
      <c r="K65" s="70">
        <v>0.0923</v>
      </c>
      <c r="L65" s="70">
        <v>0.076</v>
      </c>
      <c r="M65" s="71"/>
      <c r="N65" s="71"/>
      <c r="O65" s="71"/>
      <c r="P65" s="72">
        <f t="shared" si="140"/>
        <v>10.98228071</v>
      </c>
      <c r="Q65" s="75"/>
      <c r="R65" s="70">
        <v>0.2577</v>
      </c>
      <c r="S65" s="77">
        <v>2.31</v>
      </c>
      <c r="T65" s="79">
        <v>0.0012268518518518518</v>
      </c>
      <c r="U65" s="72">
        <f t="shared" si="127"/>
        <v>267886.6324</v>
      </c>
      <c r="V65" s="72">
        <f t="shared" si="141"/>
        <v>326821.6915</v>
      </c>
      <c r="W65" s="83">
        <v>328455.8</v>
      </c>
      <c r="X65" s="72">
        <f t="shared" si="142"/>
        <v>110.000001</v>
      </c>
      <c r="Y65" s="72">
        <f t="shared" si="7"/>
        <v>9.001869431</v>
      </c>
      <c r="Z65" s="83">
        <f>W65</f>
        <v>328455.8</v>
      </c>
    </row>
    <row r="66">
      <c r="A66" s="158" t="s">
        <v>41</v>
      </c>
      <c r="B66" s="52" t="s">
        <v>97</v>
      </c>
      <c r="C66" s="57">
        <v>1734065.0</v>
      </c>
      <c r="D66" s="57">
        <v>1127.0</v>
      </c>
      <c r="E66" s="65">
        <f t="shared" si="1"/>
        <v>0.0006499179673</v>
      </c>
      <c r="F66" s="67">
        <v>1806301.0</v>
      </c>
      <c r="G66" s="67">
        <v>1557377.0</v>
      </c>
      <c r="H66" s="69">
        <f t="shared" si="117"/>
        <v>0.96000888</v>
      </c>
      <c r="I66" s="71" t="s">
        <v>67</v>
      </c>
      <c r="J66" s="71" t="s">
        <v>67</v>
      </c>
      <c r="K66" s="71" t="s">
        <v>67</v>
      </c>
      <c r="L66" s="70">
        <v>0.1469</v>
      </c>
      <c r="M66" s="71"/>
      <c r="N66" s="71"/>
      <c r="O66" s="71"/>
      <c r="P66" s="72">
        <f t="shared" si="140"/>
        <v>392.4350828</v>
      </c>
      <c r="Q66" s="75"/>
      <c r="R66" s="70">
        <v>0.5435</v>
      </c>
      <c r="S66" s="77">
        <v>1.06</v>
      </c>
      <c r="T66" s="79">
        <v>9.606481481481482E-4</v>
      </c>
      <c r="U66" s="72">
        <f t="shared" si="127"/>
        <v>362519.9494</v>
      </c>
      <c r="V66" s="72">
        <f t="shared" si="141"/>
        <v>442274.3383</v>
      </c>
      <c r="W66" s="83">
        <v>444485.71</v>
      </c>
      <c r="X66" s="72">
        <f t="shared" si="142"/>
        <v>209.0578781</v>
      </c>
      <c r="Y66" s="72">
        <f t="shared" si="7"/>
        <v>321.6681007</v>
      </c>
      <c r="Z66" s="83"/>
    </row>
    <row r="67">
      <c r="A67" s="121" t="s">
        <v>46</v>
      </c>
      <c r="C67" s="125">
        <f t="shared" ref="C67:D67" si="143">SUM(C64:C66)</f>
        <v>7539436</v>
      </c>
      <c r="D67" s="125">
        <f t="shared" si="143"/>
        <v>38659</v>
      </c>
      <c r="E67" s="126">
        <f t="shared" si="1"/>
        <v>0.005127571877</v>
      </c>
      <c r="F67" s="125">
        <f t="shared" ref="F67:G67" si="144">SUM(F64:F66)</f>
        <v>7314034</v>
      </c>
      <c r="G67" s="125">
        <f t="shared" si="144"/>
        <v>7937574</v>
      </c>
      <c r="H67" s="126">
        <f t="shared" si="117"/>
        <v>1.03081774</v>
      </c>
      <c r="I67" s="126">
        <f t="shared" ref="I67:L67" si="145">AVERAGE(I64:I66)</f>
        <v>0.09735</v>
      </c>
      <c r="J67" s="126">
        <f t="shared" si="145"/>
        <v>0.04655</v>
      </c>
      <c r="K67" s="126">
        <f t="shared" si="145"/>
        <v>0.0508</v>
      </c>
      <c r="L67" s="126">
        <f t="shared" si="145"/>
        <v>0.08163333333</v>
      </c>
      <c r="M67" s="125">
        <f t="shared" ref="M67:O67" si="146">SUM(M64:M66)</f>
        <v>0</v>
      </c>
      <c r="N67" s="125">
        <f t="shared" si="146"/>
        <v>0</v>
      </c>
      <c r="O67" s="125">
        <f t="shared" si="146"/>
        <v>0</v>
      </c>
      <c r="P67" s="131">
        <f>V67/D67</f>
        <v>29.34571664</v>
      </c>
      <c r="Q67" s="206"/>
      <c r="R67" s="126">
        <f t="shared" ref="R67:T67" si="147">AVERAGE(R64:R66)</f>
        <v>0.3415666667</v>
      </c>
      <c r="S67" s="133">
        <f t="shared" si="147"/>
        <v>1.8</v>
      </c>
      <c r="T67" s="135">
        <f t="shared" si="147"/>
        <v>0.001215277778</v>
      </c>
      <c r="U67" s="131">
        <f t="shared" si="127"/>
        <v>929898.4096</v>
      </c>
      <c r="V67" s="131">
        <f t="shared" ref="V67:W67" si="148">SUM(V64:V66)</f>
        <v>1134476.06</v>
      </c>
      <c r="W67" s="131">
        <f t="shared" si="148"/>
        <v>1140148.44</v>
      </c>
      <c r="X67" s="131">
        <f>U67/(G67/1000)</f>
        <v>117.1514634</v>
      </c>
      <c r="Y67" s="131">
        <f t="shared" si="7"/>
        <v>24.0538661</v>
      </c>
      <c r="Z67" s="131"/>
    </row>
    <row r="68">
      <c r="A68" s="90" t="s">
        <v>98</v>
      </c>
      <c r="B68" s="218" t="s">
        <v>99</v>
      </c>
      <c r="C68" s="57">
        <v>3126206.0</v>
      </c>
      <c r="D68" s="57">
        <v>33754.0</v>
      </c>
      <c r="E68" s="65">
        <f t="shared" si="1"/>
        <v>0.01079711318</v>
      </c>
      <c r="F68" s="67">
        <v>3106799.0</v>
      </c>
      <c r="G68" s="67">
        <v>3126000.0</v>
      </c>
      <c r="H68" s="69">
        <f t="shared" si="117"/>
        <v>1.006246622</v>
      </c>
      <c r="I68" s="70">
        <f>SUM(J68:K68)</f>
        <v>0.0587</v>
      </c>
      <c r="J68" s="70">
        <v>0.058</v>
      </c>
      <c r="K68" s="70">
        <v>7.0E-4</v>
      </c>
      <c r="L68" s="70">
        <v>0.1042</v>
      </c>
      <c r="M68" s="71"/>
      <c r="N68" s="71"/>
      <c r="O68" s="71"/>
      <c r="P68" s="72">
        <f t="shared" ref="P68:P69" si="149">IFERROR(V68/D68,"-")</f>
        <v>16.72188659</v>
      </c>
      <c r="Q68" s="75"/>
      <c r="R68" s="70">
        <v>0.3531</v>
      </c>
      <c r="S68" s="77">
        <v>1.4</v>
      </c>
      <c r="T68" s="79">
        <v>6.365740740740741E-4</v>
      </c>
      <c r="U68" s="72">
        <f t="shared" si="127"/>
        <v>462648</v>
      </c>
      <c r="V68" s="72">
        <f t="shared" ref="V68:V69" si="150">W68/1.005</f>
        <v>564430.56</v>
      </c>
      <c r="W68" s="83">
        <v>567252.7128</v>
      </c>
      <c r="X68" s="72">
        <f t="shared" ref="X68:X69" si="151">U68/C68*1000</f>
        <v>147.9902476</v>
      </c>
      <c r="Y68" s="72">
        <f t="shared" si="7"/>
        <v>13.70646442</v>
      </c>
      <c r="Z68" s="83"/>
    </row>
    <row r="69">
      <c r="A69" s="158" t="s">
        <v>41</v>
      </c>
      <c r="B69" s="218" t="s">
        <v>99</v>
      </c>
      <c r="C69" s="57">
        <v>1772242.0</v>
      </c>
      <c r="D69" s="57">
        <v>787.0</v>
      </c>
      <c r="E69" s="65">
        <f t="shared" si="1"/>
        <v>0.0004440702793</v>
      </c>
      <c r="F69" s="67">
        <v>1826608.0</v>
      </c>
      <c r="G69" s="67">
        <v>1640000.0</v>
      </c>
      <c r="H69" s="69">
        <f t="shared" si="117"/>
        <v>0.9702366353</v>
      </c>
      <c r="I69" s="71" t="s">
        <v>67</v>
      </c>
      <c r="J69" s="71" t="s">
        <v>67</v>
      </c>
      <c r="K69" s="71" t="s">
        <v>67</v>
      </c>
      <c r="L69" s="70">
        <v>0.3666</v>
      </c>
      <c r="M69" s="71"/>
      <c r="N69" s="71"/>
      <c r="O69" s="71"/>
      <c r="P69" s="72">
        <f t="shared" si="149"/>
        <v>629.7864806</v>
      </c>
      <c r="Q69" s="75"/>
      <c r="R69" s="70">
        <v>0.5407</v>
      </c>
      <c r="S69" s="77">
        <v>1.09</v>
      </c>
      <c r="T69" s="79">
        <v>0.0010416666666666667</v>
      </c>
      <c r="U69" s="72">
        <f t="shared" si="127"/>
        <v>406263.9018</v>
      </c>
      <c r="V69" s="72">
        <f t="shared" si="150"/>
        <v>495641.9602</v>
      </c>
      <c r="W69" s="83">
        <v>498120.17</v>
      </c>
      <c r="X69" s="72">
        <f t="shared" si="151"/>
        <v>229.2372609</v>
      </c>
      <c r="Y69" s="72">
        <f t="shared" si="7"/>
        <v>516.2184267</v>
      </c>
      <c r="Z69" s="83"/>
    </row>
    <row r="70">
      <c r="A70" s="121" t="s">
        <v>46</v>
      </c>
      <c r="C70" s="125">
        <f t="shared" ref="C70:D70" si="152">SUM(C68:C69)</f>
        <v>4898448</v>
      </c>
      <c r="D70" s="125">
        <f t="shared" si="152"/>
        <v>34541</v>
      </c>
      <c r="E70" s="126">
        <f t="shared" si="1"/>
        <v>0.007051417102</v>
      </c>
      <c r="F70" s="125">
        <f t="shared" ref="F70:G70" si="153">SUM(F68:F69)</f>
        <v>4933407</v>
      </c>
      <c r="G70" s="125">
        <f t="shared" si="153"/>
        <v>4766000</v>
      </c>
      <c r="H70" s="126">
        <f t="shared" si="117"/>
        <v>0.992913822</v>
      </c>
      <c r="I70" s="126">
        <f t="shared" ref="I70:L70" si="154">AVERAGE(I68:I69)</f>
        <v>0.0587</v>
      </c>
      <c r="J70" s="126">
        <f t="shared" si="154"/>
        <v>0.058</v>
      </c>
      <c r="K70" s="126">
        <f t="shared" si="154"/>
        <v>0.0007</v>
      </c>
      <c r="L70" s="126">
        <f t="shared" si="154"/>
        <v>0.2354</v>
      </c>
      <c r="M70" s="125">
        <f t="shared" ref="M70:O70" si="155">SUM(M68:M69)</f>
        <v>0</v>
      </c>
      <c r="N70" s="125">
        <f t="shared" si="155"/>
        <v>0</v>
      </c>
      <c r="O70" s="125">
        <f t="shared" si="155"/>
        <v>0</v>
      </c>
      <c r="P70" s="131">
        <f>V70/D70</f>
        <v>63.53459888</v>
      </c>
      <c r="Q70" s="206"/>
      <c r="R70" s="126">
        <f t="shared" ref="R70:T70" si="156">AVERAGE(R68:R69)</f>
        <v>0.4469</v>
      </c>
      <c r="S70" s="133">
        <f t="shared" si="156"/>
        <v>1.245</v>
      </c>
      <c r="T70" s="135">
        <f t="shared" si="156"/>
        <v>0.0008391203704</v>
      </c>
      <c r="U70" s="131">
        <f t="shared" si="127"/>
        <v>1798810.311</v>
      </c>
      <c r="V70" s="131">
        <f t="shared" ref="V70:W70" si="157">SUM(V67:V69)</f>
        <v>2194548.58</v>
      </c>
      <c r="W70" s="131">
        <f t="shared" si="157"/>
        <v>2205521.323</v>
      </c>
      <c r="X70" s="131">
        <f>U70/(G70/1000)</f>
        <v>377.4255794</v>
      </c>
      <c r="Y70" s="131">
        <f t="shared" si="7"/>
        <v>52.07754007</v>
      </c>
      <c r="Z70" s="131"/>
    </row>
    <row r="71">
      <c r="A71" s="36" t="s">
        <v>23</v>
      </c>
      <c r="B71" s="218" t="s">
        <v>87</v>
      </c>
      <c r="C71" s="57">
        <v>151406.0</v>
      </c>
      <c r="D71" s="57">
        <v>424.0</v>
      </c>
      <c r="E71" s="65"/>
      <c r="F71" s="67"/>
      <c r="G71" s="67"/>
      <c r="H71" s="69"/>
      <c r="I71" s="71"/>
      <c r="J71" s="71"/>
      <c r="K71" s="71"/>
      <c r="L71" s="70"/>
      <c r="M71" s="71"/>
      <c r="N71" s="71"/>
      <c r="O71" s="71"/>
      <c r="P71" s="72"/>
      <c r="Q71" s="75"/>
      <c r="R71" s="70"/>
      <c r="S71" s="77"/>
      <c r="T71" s="79"/>
      <c r="U71" s="72">
        <f t="shared" si="127"/>
        <v>41576.02153</v>
      </c>
      <c r="V71" s="72">
        <f t="shared" ref="V71:V75" si="158">W71/1.005</f>
        <v>50722.74627</v>
      </c>
      <c r="W71" s="83">
        <v>50976.36</v>
      </c>
      <c r="X71" s="72">
        <f t="shared" ref="X71:X75" si="159">U71/C71*1000</f>
        <v>274.5995636</v>
      </c>
      <c r="Y71" s="72">
        <f t="shared" si="7"/>
        <v>98.05665456</v>
      </c>
      <c r="Z71" s="83"/>
    </row>
    <row r="72">
      <c r="A72" s="90" t="s">
        <v>117</v>
      </c>
      <c r="B72" s="218" t="s">
        <v>87</v>
      </c>
      <c r="C72" s="57">
        <v>218893.0</v>
      </c>
      <c r="D72" s="57">
        <v>123.0</v>
      </c>
      <c r="E72" s="65"/>
      <c r="F72" s="67"/>
      <c r="G72" s="67"/>
      <c r="H72" s="69"/>
      <c r="I72" s="71"/>
      <c r="J72" s="71"/>
      <c r="K72" s="71"/>
      <c r="L72" s="70"/>
      <c r="M72" s="71"/>
      <c r="N72" s="71"/>
      <c r="O72" s="71"/>
      <c r="P72" s="72"/>
      <c r="Q72" s="75"/>
      <c r="R72" s="70"/>
      <c r="S72" s="77"/>
      <c r="T72" s="79"/>
      <c r="U72" s="72">
        <f t="shared" si="127"/>
        <v>28604.94262</v>
      </c>
      <c r="V72" s="72">
        <f t="shared" si="158"/>
        <v>34898.03</v>
      </c>
      <c r="W72" s="83">
        <v>35072.52015</v>
      </c>
      <c r="X72" s="72">
        <f t="shared" si="159"/>
        <v>130.6800246</v>
      </c>
      <c r="Y72" s="72">
        <f t="shared" si="7"/>
        <v>232.5605091</v>
      </c>
      <c r="Z72" s="83"/>
    </row>
    <row r="73">
      <c r="A73" s="95" t="s">
        <v>39</v>
      </c>
      <c r="B73" s="218" t="s">
        <v>87</v>
      </c>
      <c r="C73" s="57">
        <v>613365.0</v>
      </c>
      <c r="D73" s="142">
        <v>12071.0</v>
      </c>
      <c r="E73" s="65"/>
      <c r="F73" s="67"/>
      <c r="G73" s="67"/>
      <c r="H73" s="69"/>
      <c r="I73" s="71"/>
      <c r="J73" s="71"/>
      <c r="K73" s="71"/>
      <c r="L73" s="70"/>
      <c r="M73" s="71"/>
      <c r="N73" s="71"/>
      <c r="O73" s="71"/>
      <c r="P73" s="72"/>
      <c r="Q73" s="75"/>
      <c r="R73" s="70"/>
      <c r="S73" s="77"/>
      <c r="T73" s="79"/>
      <c r="U73" s="72">
        <f t="shared" si="127"/>
        <v>67470.14754</v>
      </c>
      <c r="V73" s="72">
        <f t="shared" si="158"/>
        <v>82313.58</v>
      </c>
      <c r="W73" s="83">
        <v>82725.1479</v>
      </c>
      <c r="X73" s="72">
        <f t="shared" si="159"/>
        <v>109.999996</v>
      </c>
      <c r="Y73" s="72">
        <f t="shared" si="7"/>
        <v>5.589441433</v>
      </c>
      <c r="Z73" s="83">
        <f>W73</f>
        <v>82725.1479</v>
      </c>
    </row>
    <row r="74">
      <c r="A74" s="158" t="s">
        <v>41</v>
      </c>
      <c r="B74" s="218" t="s">
        <v>87</v>
      </c>
      <c r="C74" s="57">
        <v>86979.0</v>
      </c>
      <c r="D74" s="57">
        <v>153.0</v>
      </c>
      <c r="E74" s="65"/>
      <c r="F74" s="67"/>
      <c r="G74" s="67"/>
      <c r="H74" s="69"/>
      <c r="I74" s="71"/>
      <c r="J74" s="71"/>
      <c r="K74" s="71"/>
      <c r="L74" s="70"/>
      <c r="M74" s="71"/>
      <c r="N74" s="71"/>
      <c r="O74" s="71"/>
      <c r="P74" s="72"/>
      <c r="Q74" s="75"/>
      <c r="R74" s="70"/>
      <c r="S74" s="77"/>
      <c r="T74" s="79"/>
      <c r="U74" s="72">
        <f t="shared" si="127"/>
        <v>18989.66393</v>
      </c>
      <c r="V74" s="72">
        <f t="shared" si="158"/>
        <v>23167.39</v>
      </c>
      <c r="W74" s="83">
        <v>23283.226949999997</v>
      </c>
      <c r="X74" s="72">
        <f t="shared" si="159"/>
        <v>218.3246983</v>
      </c>
      <c r="Y74" s="72">
        <f t="shared" si="7"/>
        <v>124.1154506</v>
      </c>
      <c r="Z74" s="83"/>
    </row>
    <row r="75">
      <c r="A75" s="148" t="s">
        <v>72</v>
      </c>
      <c r="B75" s="218" t="s">
        <v>87</v>
      </c>
      <c r="C75" s="57">
        <v>1596042.0</v>
      </c>
      <c r="D75" s="57">
        <v>4606.0</v>
      </c>
      <c r="E75" s="65"/>
      <c r="F75" s="67"/>
      <c r="G75" s="67"/>
      <c r="H75" s="69"/>
      <c r="I75" s="71"/>
      <c r="J75" s="71"/>
      <c r="K75" s="71"/>
      <c r="L75" s="70"/>
      <c r="M75" s="71"/>
      <c r="N75" s="71"/>
      <c r="O75" s="71"/>
      <c r="P75" s="72"/>
      <c r="Q75" s="75"/>
      <c r="R75" s="70"/>
      <c r="S75" s="77"/>
      <c r="T75" s="79"/>
      <c r="U75" s="72">
        <f t="shared" si="127"/>
        <v>66569.09836</v>
      </c>
      <c r="V75" s="72">
        <f t="shared" si="158"/>
        <v>81214.3</v>
      </c>
      <c r="W75" s="83">
        <v>81620.3715</v>
      </c>
      <c r="X75" s="72">
        <f t="shared" si="159"/>
        <v>41.70886378</v>
      </c>
      <c r="Y75" s="72">
        <f t="shared" si="7"/>
        <v>14.45269178</v>
      </c>
      <c r="Z75" s="83"/>
    </row>
    <row r="76">
      <c r="A76" s="121" t="s">
        <v>46</v>
      </c>
      <c r="C76" s="125">
        <f t="shared" ref="C76:D76" si="160">SUM(C71:C75)</f>
        <v>2666685</v>
      </c>
      <c r="D76" s="125">
        <f t="shared" si="160"/>
        <v>17377</v>
      </c>
      <c r="E76" s="126">
        <f t="shared" ref="E76:E79" si="165">IFERROR(D76/C76,"-")</f>
        <v>0.0065163302</v>
      </c>
      <c r="F76" s="125">
        <f t="shared" ref="F76:G76" si="161">SUM(F73:F74)</f>
        <v>0</v>
      </c>
      <c r="G76" s="125">
        <f t="shared" si="161"/>
        <v>0</v>
      </c>
      <c r="H76" s="126" t="str">
        <f t="shared" ref="H76:H80" si="166">IFERROR(C76/F76,"-")</f>
        <v>-</v>
      </c>
      <c r="I76" s="126" t="str">
        <f t="shared" ref="I76:L76" si="162">AVERAGE(I73:I74)</f>
        <v>#DIV/0!</v>
      </c>
      <c r="J76" s="126" t="str">
        <f t="shared" si="162"/>
        <v>#DIV/0!</v>
      </c>
      <c r="K76" s="126" t="str">
        <f t="shared" si="162"/>
        <v>#DIV/0!</v>
      </c>
      <c r="L76" s="126" t="str">
        <f t="shared" si="162"/>
        <v>#DIV/0!</v>
      </c>
      <c r="M76" s="125">
        <f t="shared" ref="M76:O76" si="163">SUM(M73:M74)</f>
        <v>0</v>
      </c>
      <c r="N76" s="125">
        <f t="shared" si="163"/>
        <v>0</v>
      </c>
      <c r="O76" s="125">
        <f t="shared" si="163"/>
        <v>0</v>
      </c>
      <c r="P76" s="131">
        <f>V76/D76</f>
        <v>8.078437014</v>
      </c>
      <c r="Q76" s="206"/>
      <c r="R76" s="126" t="str">
        <f t="shared" ref="R76:T76" si="164">AVERAGE(R73:R74)</f>
        <v>#DIV/0!</v>
      </c>
      <c r="S76" s="133" t="str">
        <f t="shared" si="164"/>
        <v>#DIV/0!</v>
      </c>
      <c r="T76" s="135" t="str">
        <f t="shared" si="164"/>
        <v>#DIV/0!</v>
      </c>
      <c r="U76" s="131">
        <f t="shared" si="127"/>
        <v>115064.7541</v>
      </c>
      <c r="V76" s="131">
        <f>SUM(V72:V74)</f>
        <v>140379</v>
      </c>
      <c r="W76" s="131">
        <f>SUM(W71:W75)</f>
        <v>273677.6265</v>
      </c>
      <c r="X76" s="131" t="str">
        <f>U76/(G76/1000)</f>
        <v>#DIV/0!</v>
      </c>
      <c r="Y76" s="131">
        <f t="shared" si="7"/>
        <v>6.621669684</v>
      </c>
      <c r="Z76" s="131"/>
    </row>
    <row r="77">
      <c r="A77" s="148" t="s">
        <v>100</v>
      </c>
      <c r="B77" s="52" t="s">
        <v>101</v>
      </c>
      <c r="C77" s="142" t="s">
        <v>67</v>
      </c>
      <c r="D77" s="142" t="s">
        <v>67</v>
      </c>
      <c r="E77" s="65" t="str">
        <f t="shared" si="165"/>
        <v>-</v>
      </c>
      <c r="F77" s="71" t="s">
        <v>67</v>
      </c>
      <c r="G77" s="71" t="s">
        <v>67</v>
      </c>
      <c r="H77" s="69" t="str">
        <f t="shared" si="166"/>
        <v>-</v>
      </c>
      <c r="I77" s="69"/>
      <c r="J77" s="69"/>
      <c r="K77" s="69"/>
      <c r="L77" s="69"/>
      <c r="M77" s="71"/>
      <c r="N77" s="71"/>
      <c r="O77" s="71"/>
      <c r="P77" s="72"/>
      <c r="Q77" s="75"/>
      <c r="R77" s="69"/>
      <c r="S77" s="75"/>
      <c r="T77" s="147"/>
      <c r="U77" s="72">
        <f t="shared" si="127"/>
        <v>229716.09</v>
      </c>
      <c r="V77" s="72">
        <v>280253.6298</v>
      </c>
      <c r="W77" s="83">
        <f t="shared" ref="W77:W79" si="167">V77+(U77*0.05)</f>
        <v>291739.4343</v>
      </c>
      <c r="X77" s="72"/>
      <c r="Y77" s="72"/>
      <c r="Z77" s="83"/>
    </row>
    <row r="78">
      <c r="A78" s="148" t="s">
        <v>102</v>
      </c>
      <c r="B78" s="52" t="s">
        <v>101</v>
      </c>
      <c r="C78" s="142" t="s">
        <v>67</v>
      </c>
      <c r="D78" s="142" t="s">
        <v>67</v>
      </c>
      <c r="E78" s="65" t="str">
        <f t="shared" si="165"/>
        <v>-</v>
      </c>
      <c r="F78" s="71" t="s">
        <v>67</v>
      </c>
      <c r="G78" s="71" t="s">
        <v>67</v>
      </c>
      <c r="H78" s="69" t="str">
        <f t="shared" si="166"/>
        <v>-</v>
      </c>
      <c r="I78" s="69"/>
      <c r="J78" s="69"/>
      <c r="K78" s="69"/>
      <c r="L78" s="69"/>
      <c r="M78" s="71"/>
      <c r="N78" s="71"/>
      <c r="O78" s="71"/>
      <c r="P78" s="72"/>
      <c r="Q78" s="75"/>
      <c r="R78" s="69"/>
      <c r="S78" s="75"/>
      <c r="T78" s="147"/>
      <c r="U78" s="72">
        <f t="shared" si="127"/>
        <v>18562.77</v>
      </c>
      <c r="V78" s="72">
        <v>22646.5794</v>
      </c>
      <c r="W78" s="83">
        <f t="shared" si="167"/>
        <v>23574.7179</v>
      </c>
      <c r="X78" s="72"/>
      <c r="Y78" s="72"/>
      <c r="Z78" s="83"/>
    </row>
    <row r="79">
      <c r="A79" s="90" t="s">
        <v>103</v>
      </c>
      <c r="B79" s="52" t="s">
        <v>101</v>
      </c>
      <c r="C79" s="142" t="s">
        <v>67</v>
      </c>
      <c r="D79" s="142" t="s">
        <v>67</v>
      </c>
      <c r="E79" s="65" t="str">
        <f t="shared" si="165"/>
        <v>-</v>
      </c>
      <c r="F79" s="71" t="s">
        <v>67</v>
      </c>
      <c r="G79" s="71" t="s">
        <v>67</v>
      </c>
      <c r="H79" s="69" t="str">
        <f t="shared" si="166"/>
        <v>-</v>
      </c>
      <c r="I79" s="69"/>
      <c r="J79" s="69"/>
      <c r="K79" s="69"/>
      <c r="L79" s="69"/>
      <c r="M79" s="71"/>
      <c r="N79" s="71"/>
      <c r="O79" s="71"/>
      <c r="P79" s="72"/>
      <c r="Q79" s="75"/>
      <c r="R79" s="69"/>
      <c r="S79" s="75"/>
      <c r="T79" s="147"/>
      <c r="U79" s="72">
        <f t="shared" si="127"/>
        <v>151060.25</v>
      </c>
      <c r="V79" s="72">
        <v>184293.505</v>
      </c>
      <c r="W79" s="83">
        <f t="shared" si="167"/>
        <v>191846.5175</v>
      </c>
      <c r="X79" s="72"/>
      <c r="Y79" s="72"/>
      <c r="Z79" s="83"/>
    </row>
    <row r="80">
      <c r="A80" s="225" t="s">
        <v>46</v>
      </c>
      <c r="B80" s="220"/>
      <c r="C80" s="148"/>
      <c r="D80" s="148"/>
      <c r="E80" s="226"/>
      <c r="F80" s="148"/>
      <c r="G80" s="148"/>
      <c r="H80" s="152" t="str">
        <f t="shared" si="166"/>
        <v>-</v>
      </c>
      <c r="I80" s="148"/>
      <c r="J80" s="148"/>
      <c r="K80" s="148"/>
      <c r="L80" s="148"/>
      <c r="M80" s="148"/>
      <c r="N80" s="148"/>
      <c r="O80" s="148"/>
      <c r="P80" s="227"/>
      <c r="Q80" s="206"/>
      <c r="R80" s="226"/>
      <c r="S80" s="206"/>
      <c r="T80" s="148"/>
      <c r="U80" s="131">
        <f t="shared" si="127"/>
        <v>399339.11</v>
      </c>
      <c r="V80" s="131">
        <f>SUM(V77:V79)</f>
        <v>487193.7142</v>
      </c>
      <c r="W80" s="131">
        <f>V80*1.01</f>
        <v>492065.6513</v>
      </c>
      <c r="X80" s="227"/>
      <c r="Y80" s="227"/>
      <c r="Z80" s="131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229"/>
      <c r="K81" s="229"/>
      <c r="L81" s="229"/>
      <c r="M81" s="15"/>
      <c r="N81" s="15"/>
      <c r="O81" s="15"/>
      <c r="P81" s="15"/>
      <c r="Q81" s="15"/>
      <c r="R81" s="15"/>
      <c r="S81" s="15"/>
      <c r="T81" s="15"/>
      <c r="U81" s="74"/>
      <c r="V81" s="74"/>
      <c r="W81" s="74"/>
      <c r="X81" s="74"/>
      <c r="Y81" s="74"/>
      <c r="Z81" s="15"/>
    </row>
    <row r="82">
      <c r="C82" s="15"/>
      <c r="D82" s="15"/>
      <c r="E82" s="15"/>
      <c r="F82" s="15"/>
      <c r="G82" s="15"/>
      <c r="H82" s="15"/>
      <c r="I82" s="15"/>
      <c r="J82" s="229"/>
      <c r="K82" s="229"/>
      <c r="L82" s="229"/>
      <c r="M82" s="15"/>
      <c r="N82" s="15"/>
      <c r="O82" s="15"/>
      <c r="P82" s="15"/>
      <c r="Q82" s="15"/>
      <c r="R82" s="15"/>
      <c r="S82" s="15"/>
      <c r="T82" s="15"/>
      <c r="U82" s="74"/>
      <c r="V82" s="74"/>
      <c r="W82" s="74"/>
      <c r="X82" s="74"/>
      <c r="Y82" s="74"/>
      <c r="Z82" s="15"/>
    </row>
    <row r="83">
      <c r="C83" s="15"/>
      <c r="D83" s="15"/>
      <c r="E83" s="15"/>
      <c r="F83" s="15"/>
      <c r="G83" s="15"/>
      <c r="H83" s="15"/>
      <c r="I83" s="15"/>
      <c r="J83" s="229"/>
      <c r="K83" s="229"/>
      <c r="L83" s="229"/>
      <c r="M83" s="15"/>
      <c r="N83" s="15"/>
      <c r="O83" s="15"/>
      <c r="P83" s="15"/>
      <c r="Q83" s="15"/>
      <c r="R83" s="15"/>
      <c r="S83" s="15"/>
      <c r="T83" s="15"/>
      <c r="U83" s="74"/>
      <c r="V83" s="74"/>
      <c r="W83" s="74"/>
      <c r="X83" s="74"/>
      <c r="Y83" s="74"/>
      <c r="Z83" s="15"/>
    </row>
    <row r="84">
      <c r="C84" s="15"/>
      <c r="D84" s="15"/>
      <c r="E84" s="15"/>
      <c r="F84" s="15"/>
      <c r="G84" s="15"/>
      <c r="H84" s="15"/>
      <c r="I84" s="15"/>
      <c r="J84" s="229"/>
      <c r="K84" s="229"/>
      <c r="L84" s="229"/>
      <c r="M84" s="15"/>
      <c r="N84" s="15"/>
      <c r="O84" s="15"/>
      <c r="P84" s="15"/>
      <c r="Q84" s="15"/>
      <c r="R84" s="15"/>
      <c r="S84" s="15"/>
      <c r="T84" s="15"/>
      <c r="U84" s="74"/>
      <c r="V84" s="74"/>
      <c r="W84" s="231">
        <v>249783.35</v>
      </c>
      <c r="X84" s="74"/>
      <c r="Y84" s="74"/>
      <c r="Z84" s="15"/>
    </row>
    <row r="85">
      <c r="A85" s="15"/>
      <c r="B85" s="15"/>
      <c r="C85" s="139">
        <f t="shared" ref="C85:D85" si="168">SUM(C72,C71,C56,C52,C46,C42,C34,C25,C24,C19,C18,C3,C2)</f>
        <v>19275363</v>
      </c>
      <c r="D85" s="139">
        <f t="shared" si="168"/>
        <v>22681</v>
      </c>
      <c r="E85" s="15"/>
      <c r="F85" s="15"/>
      <c r="G85" s="15"/>
      <c r="H85" s="15"/>
      <c r="I85" s="15"/>
      <c r="J85" s="229"/>
      <c r="K85" s="229"/>
      <c r="L85" s="229"/>
      <c r="M85" s="15"/>
      <c r="N85" s="15"/>
      <c r="O85" s="15"/>
      <c r="P85" s="15"/>
      <c r="Q85" s="15"/>
      <c r="R85" s="15"/>
      <c r="S85" s="15"/>
      <c r="T85" s="15"/>
      <c r="U85" s="74"/>
      <c r="V85" s="74">
        <f>SUM(V72,V71,V56,V52,V46,V42,V34,V25,V24,V19,V18,V3,V2)</f>
        <v>4441562.311</v>
      </c>
      <c r="W85" s="231">
        <v>1.902143787E7</v>
      </c>
      <c r="X85" s="74"/>
      <c r="Y85" s="74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229"/>
      <c r="K86" s="229"/>
      <c r="L86" s="229"/>
      <c r="M86" s="15"/>
      <c r="N86" s="15"/>
      <c r="O86" s="15"/>
      <c r="P86" s="15"/>
      <c r="Q86" s="15"/>
      <c r="R86" s="15"/>
      <c r="S86" s="15"/>
      <c r="T86" s="15"/>
      <c r="U86" s="74"/>
      <c r="V86" s="74">
        <v>1.0690959373932388E7</v>
      </c>
      <c r="W86" s="231">
        <v>3.203844697E7</v>
      </c>
      <c r="X86" s="74"/>
      <c r="Y86" s="74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229"/>
      <c r="K87" s="229"/>
      <c r="L87" s="229"/>
      <c r="M87" s="15"/>
      <c r="N87" s="15"/>
      <c r="O87" s="15"/>
      <c r="P87" s="15"/>
      <c r="Q87" s="15"/>
      <c r="R87" s="15"/>
      <c r="S87" s="15"/>
      <c r="T87" s="15"/>
      <c r="U87" s="74"/>
      <c r="V87" s="231" t="s">
        <v>118</v>
      </c>
      <c r="W87" s="74">
        <f>W84+W85+W86</f>
        <v>51309668.19</v>
      </c>
      <c r="X87" s="74"/>
      <c r="Y87" s="74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229"/>
      <c r="K88" s="229"/>
      <c r="L88" s="229"/>
      <c r="M88" s="15"/>
      <c r="N88" s="15"/>
      <c r="O88" s="15"/>
      <c r="P88" s="15"/>
      <c r="Q88" s="15"/>
      <c r="R88" s="15"/>
      <c r="S88" s="15"/>
      <c r="T88" s="15"/>
      <c r="U88" s="74"/>
      <c r="V88" s="74"/>
      <c r="W88" s="74"/>
      <c r="X88" s="74"/>
      <c r="Y88" s="74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229"/>
      <c r="K89" s="229"/>
      <c r="L89" s="229"/>
      <c r="M89" s="15"/>
      <c r="N89" s="15"/>
      <c r="O89" s="15"/>
      <c r="P89" s="15"/>
      <c r="Q89" s="15"/>
      <c r="R89" s="15"/>
      <c r="S89" s="15"/>
      <c r="T89" s="15"/>
      <c r="U89" s="74"/>
      <c r="V89" s="74"/>
      <c r="W89" s="74"/>
      <c r="X89" s="74"/>
      <c r="Y89" s="74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229"/>
      <c r="K90" s="229"/>
      <c r="L90" s="229"/>
      <c r="M90" s="15"/>
      <c r="N90" s="15"/>
      <c r="O90" s="15"/>
      <c r="P90" s="15"/>
      <c r="Q90" s="15"/>
      <c r="R90" s="15"/>
      <c r="S90" s="15"/>
      <c r="T90" s="15"/>
      <c r="U90" s="74"/>
      <c r="V90" s="74"/>
      <c r="W90" s="74"/>
      <c r="X90" s="74"/>
      <c r="Y90" s="74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229"/>
      <c r="K91" s="229"/>
      <c r="L91" s="229"/>
      <c r="M91" s="15"/>
      <c r="N91" s="15"/>
      <c r="O91" s="15"/>
      <c r="P91" s="15"/>
      <c r="Q91" s="15"/>
      <c r="R91" s="15"/>
      <c r="S91" s="15"/>
      <c r="T91" s="15"/>
      <c r="U91" s="74"/>
      <c r="V91" s="74"/>
      <c r="W91" s="74"/>
      <c r="X91" s="74"/>
      <c r="Y91" s="74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229"/>
      <c r="K92" s="229"/>
      <c r="L92" s="229"/>
      <c r="M92" s="15"/>
      <c r="N92" s="15"/>
      <c r="O92" s="15"/>
      <c r="P92" s="15"/>
      <c r="Q92" s="15"/>
      <c r="R92" s="15"/>
      <c r="S92" s="15"/>
      <c r="T92" s="15"/>
      <c r="U92" s="74"/>
      <c r="V92" s="74"/>
      <c r="W92" s="74"/>
      <c r="X92" s="74"/>
      <c r="Y92" s="74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229"/>
      <c r="K93" s="229"/>
      <c r="L93" s="229"/>
      <c r="M93" s="15"/>
      <c r="N93" s="15"/>
      <c r="O93" s="15"/>
      <c r="P93" s="15"/>
      <c r="Q93" s="15"/>
      <c r="R93" s="15"/>
      <c r="S93" s="15"/>
      <c r="T93" s="15"/>
      <c r="U93" s="74"/>
      <c r="V93" s="74"/>
      <c r="W93" s="74"/>
      <c r="X93" s="74"/>
      <c r="Y93" s="74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229"/>
      <c r="K94" s="229"/>
      <c r="L94" s="229"/>
      <c r="M94" s="15"/>
      <c r="N94" s="15"/>
      <c r="O94" s="15"/>
      <c r="P94" s="15"/>
      <c r="Q94" s="15"/>
      <c r="R94" s="15"/>
      <c r="S94" s="15"/>
      <c r="T94" s="15"/>
      <c r="U94" s="74"/>
      <c r="V94" s="74"/>
      <c r="W94" s="74"/>
      <c r="X94" s="74"/>
      <c r="Y94" s="74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229"/>
      <c r="K95" s="229"/>
      <c r="L95" s="229"/>
      <c r="M95" s="15"/>
      <c r="N95" s="15"/>
      <c r="O95" s="15"/>
      <c r="P95" s="15"/>
      <c r="Q95" s="15"/>
      <c r="R95" s="15"/>
      <c r="S95" s="15"/>
      <c r="T95" s="15"/>
      <c r="U95" s="74"/>
      <c r="V95" s="74"/>
      <c r="W95" s="74"/>
      <c r="X95" s="74"/>
      <c r="Y95" s="74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229"/>
      <c r="K96" s="229"/>
      <c r="L96" s="229"/>
      <c r="M96" s="15"/>
      <c r="N96" s="15"/>
      <c r="O96" s="15"/>
      <c r="P96" s="15"/>
      <c r="Q96" s="15"/>
      <c r="R96" s="15"/>
      <c r="S96" s="15"/>
      <c r="T96" s="15"/>
      <c r="U96" s="74"/>
      <c r="V96" s="74"/>
      <c r="W96" s="74"/>
      <c r="X96" s="74"/>
      <c r="Y96" s="74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229"/>
      <c r="K97" s="229"/>
      <c r="L97" s="229"/>
      <c r="M97" s="15"/>
      <c r="N97" s="15"/>
      <c r="O97" s="15"/>
      <c r="P97" s="15"/>
      <c r="Q97" s="15"/>
      <c r="R97" s="15"/>
      <c r="S97" s="15"/>
      <c r="T97" s="15"/>
      <c r="U97" s="74"/>
      <c r="V97" s="74"/>
      <c r="W97" s="74"/>
      <c r="X97" s="74"/>
      <c r="Y97" s="74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229"/>
      <c r="K98" s="229"/>
      <c r="L98" s="229"/>
      <c r="M98" s="15"/>
      <c r="N98" s="15"/>
      <c r="O98" s="15"/>
      <c r="P98" s="15"/>
      <c r="Q98" s="15"/>
      <c r="R98" s="15"/>
      <c r="S98" s="15"/>
      <c r="T98" s="15"/>
      <c r="U98" s="74"/>
      <c r="V98" s="74"/>
      <c r="W98" s="74"/>
      <c r="X98" s="74"/>
      <c r="Y98" s="74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229"/>
      <c r="K99" s="229"/>
      <c r="L99" s="229"/>
      <c r="M99" s="15"/>
      <c r="N99" s="15"/>
      <c r="O99" s="15"/>
      <c r="P99" s="15"/>
      <c r="Q99" s="15"/>
      <c r="R99" s="15"/>
      <c r="S99" s="15"/>
      <c r="T99" s="15"/>
      <c r="U99" s="74"/>
      <c r="V99" s="74"/>
      <c r="W99" s="74"/>
      <c r="X99" s="74"/>
      <c r="Y99" s="74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229"/>
      <c r="K100" s="229"/>
      <c r="L100" s="229"/>
      <c r="M100" s="15"/>
      <c r="N100" s="15"/>
      <c r="O100" s="15"/>
      <c r="P100" s="15"/>
      <c r="Q100" s="15"/>
      <c r="R100" s="15"/>
      <c r="S100" s="15"/>
      <c r="T100" s="15"/>
      <c r="U100" s="74"/>
      <c r="V100" s="74"/>
      <c r="W100" s="74"/>
      <c r="X100" s="74"/>
      <c r="Y100" s="74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229"/>
      <c r="K101" s="229"/>
      <c r="L101" s="229"/>
      <c r="M101" s="15"/>
      <c r="N101" s="15"/>
      <c r="O101" s="15"/>
      <c r="P101" s="15"/>
      <c r="Q101" s="15"/>
      <c r="R101" s="15"/>
      <c r="S101" s="15"/>
      <c r="T101" s="15"/>
      <c r="U101" s="74"/>
      <c r="V101" s="74"/>
      <c r="W101" s="74"/>
      <c r="X101" s="74"/>
      <c r="Y101" s="74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229"/>
      <c r="K102" s="229"/>
      <c r="L102" s="229"/>
      <c r="M102" s="15"/>
      <c r="N102" s="15"/>
      <c r="O102" s="15"/>
      <c r="P102" s="15"/>
      <c r="Q102" s="15"/>
      <c r="R102" s="15"/>
      <c r="S102" s="15"/>
      <c r="T102" s="15"/>
      <c r="U102" s="74"/>
      <c r="V102" s="74"/>
      <c r="W102" s="74"/>
      <c r="X102" s="74"/>
      <c r="Y102" s="74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229"/>
      <c r="K103" s="229"/>
      <c r="L103" s="229"/>
      <c r="M103" s="15"/>
      <c r="N103" s="15"/>
      <c r="O103" s="15"/>
      <c r="P103" s="15"/>
      <c r="Q103" s="15"/>
      <c r="R103" s="15"/>
      <c r="S103" s="15"/>
      <c r="T103" s="15"/>
      <c r="U103" s="74"/>
      <c r="V103" s="74"/>
      <c r="W103" s="74"/>
      <c r="X103" s="74"/>
      <c r="Y103" s="74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229"/>
      <c r="K104" s="229"/>
      <c r="L104" s="229"/>
      <c r="M104" s="15"/>
      <c r="N104" s="15"/>
      <c r="O104" s="15"/>
      <c r="P104" s="15"/>
      <c r="Q104" s="15"/>
      <c r="R104" s="15"/>
      <c r="S104" s="15"/>
      <c r="T104" s="15"/>
      <c r="U104" s="74"/>
      <c r="V104" s="74"/>
      <c r="W104" s="74"/>
      <c r="X104" s="74"/>
      <c r="Y104" s="74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229"/>
      <c r="K105" s="229"/>
      <c r="L105" s="229"/>
      <c r="M105" s="15"/>
      <c r="N105" s="15"/>
      <c r="O105" s="15"/>
      <c r="P105" s="15"/>
      <c r="Q105" s="15"/>
      <c r="R105" s="15"/>
      <c r="S105" s="15"/>
      <c r="T105" s="15"/>
      <c r="U105" s="74"/>
      <c r="V105" s="74"/>
      <c r="W105" s="74"/>
      <c r="X105" s="74"/>
      <c r="Y105" s="74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229"/>
      <c r="K106" s="229"/>
      <c r="L106" s="229"/>
      <c r="M106" s="15"/>
      <c r="N106" s="15"/>
      <c r="O106" s="15"/>
      <c r="P106" s="15"/>
      <c r="Q106" s="15"/>
      <c r="R106" s="15"/>
      <c r="S106" s="15"/>
      <c r="T106" s="15"/>
      <c r="U106" s="74"/>
      <c r="V106" s="74"/>
      <c r="W106" s="74"/>
      <c r="X106" s="74"/>
      <c r="Y106" s="74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229"/>
      <c r="K107" s="229"/>
      <c r="L107" s="229"/>
      <c r="M107" s="15"/>
      <c r="N107" s="15"/>
      <c r="O107" s="15"/>
      <c r="P107" s="15"/>
      <c r="Q107" s="15"/>
      <c r="R107" s="15"/>
      <c r="S107" s="15"/>
      <c r="T107" s="15"/>
      <c r="U107" s="74"/>
      <c r="V107" s="74"/>
      <c r="W107" s="74"/>
      <c r="X107" s="74"/>
      <c r="Y107" s="74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229"/>
      <c r="K108" s="229"/>
      <c r="L108" s="229"/>
      <c r="M108" s="15"/>
      <c r="N108" s="15"/>
      <c r="O108" s="15"/>
      <c r="P108" s="15"/>
      <c r="Q108" s="15"/>
      <c r="R108" s="15"/>
      <c r="S108" s="15"/>
      <c r="T108" s="15"/>
      <c r="U108" s="74"/>
      <c r="V108" s="74"/>
      <c r="W108" s="74"/>
      <c r="X108" s="74"/>
      <c r="Y108" s="74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229"/>
      <c r="K109" s="229"/>
      <c r="L109" s="229"/>
      <c r="M109" s="15"/>
      <c r="N109" s="15"/>
      <c r="O109" s="15"/>
      <c r="P109" s="15"/>
      <c r="Q109" s="15"/>
      <c r="R109" s="15"/>
      <c r="S109" s="15"/>
      <c r="T109" s="15"/>
      <c r="U109" s="74"/>
      <c r="V109" s="74"/>
      <c r="W109" s="74"/>
      <c r="X109" s="74"/>
      <c r="Y109" s="74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229"/>
      <c r="K110" s="229"/>
      <c r="L110" s="229"/>
      <c r="M110" s="15"/>
      <c r="N110" s="15"/>
      <c r="O110" s="15"/>
      <c r="P110" s="15"/>
      <c r="Q110" s="15"/>
      <c r="R110" s="15"/>
      <c r="S110" s="15"/>
      <c r="T110" s="15"/>
      <c r="U110" s="74"/>
      <c r="V110" s="74"/>
      <c r="W110" s="74"/>
      <c r="X110" s="74"/>
      <c r="Y110" s="74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229"/>
      <c r="K111" s="229"/>
      <c r="L111" s="229"/>
      <c r="M111" s="15"/>
      <c r="N111" s="15"/>
      <c r="O111" s="15"/>
      <c r="P111" s="15"/>
      <c r="Q111" s="15"/>
      <c r="R111" s="15"/>
      <c r="S111" s="15"/>
      <c r="T111" s="15"/>
      <c r="U111" s="74"/>
      <c r="V111" s="74"/>
      <c r="W111" s="74"/>
      <c r="X111" s="74"/>
      <c r="Y111" s="74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229"/>
      <c r="K112" s="229"/>
      <c r="L112" s="229"/>
      <c r="M112" s="15"/>
      <c r="N112" s="15"/>
      <c r="O112" s="15"/>
      <c r="P112" s="15"/>
      <c r="Q112" s="15"/>
      <c r="R112" s="15"/>
      <c r="S112" s="15"/>
      <c r="T112" s="15"/>
      <c r="U112" s="74"/>
      <c r="V112" s="74"/>
      <c r="W112" s="74"/>
      <c r="X112" s="74"/>
      <c r="Y112" s="74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229"/>
      <c r="K113" s="229"/>
      <c r="L113" s="229"/>
      <c r="M113" s="15"/>
      <c r="N113" s="15"/>
      <c r="O113" s="15"/>
      <c r="P113" s="15"/>
      <c r="Q113" s="15"/>
      <c r="R113" s="15"/>
      <c r="S113" s="15"/>
      <c r="T113" s="15"/>
      <c r="U113" s="74"/>
      <c r="V113" s="74"/>
      <c r="W113" s="74"/>
      <c r="X113" s="74"/>
      <c r="Y113" s="74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229"/>
      <c r="K114" s="229"/>
      <c r="L114" s="229"/>
      <c r="M114" s="15"/>
      <c r="N114" s="15"/>
      <c r="O114" s="15"/>
      <c r="P114" s="15"/>
      <c r="Q114" s="15"/>
      <c r="R114" s="15"/>
      <c r="S114" s="15"/>
      <c r="T114" s="15"/>
      <c r="U114" s="74"/>
      <c r="V114" s="74"/>
      <c r="W114" s="74"/>
      <c r="X114" s="74"/>
      <c r="Y114" s="74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229"/>
      <c r="K115" s="229"/>
      <c r="L115" s="229"/>
      <c r="M115" s="15"/>
      <c r="N115" s="15"/>
      <c r="O115" s="15"/>
      <c r="P115" s="15"/>
      <c r="Q115" s="15"/>
      <c r="R115" s="15"/>
      <c r="S115" s="15"/>
      <c r="T115" s="15"/>
      <c r="U115" s="74"/>
      <c r="V115" s="74"/>
      <c r="W115" s="74"/>
      <c r="X115" s="74"/>
      <c r="Y115" s="74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229"/>
      <c r="K116" s="229"/>
      <c r="L116" s="229"/>
      <c r="M116" s="15"/>
      <c r="N116" s="15"/>
      <c r="O116" s="15"/>
      <c r="P116" s="15"/>
      <c r="Q116" s="15"/>
      <c r="R116" s="15"/>
      <c r="S116" s="15"/>
      <c r="T116" s="15"/>
      <c r="U116" s="74"/>
      <c r="V116" s="74"/>
      <c r="W116" s="74"/>
      <c r="X116" s="74"/>
      <c r="Y116" s="74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229"/>
      <c r="K117" s="229"/>
      <c r="L117" s="229"/>
      <c r="M117" s="15"/>
      <c r="N117" s="15"/>
      <c r="O117" s="15"/>
      <c r="P117" s="15"/>
      <c r="Q117" s="15"/>
      <c r="R117" s="15"/>
      <c r="S117" s="15"/>
      <c r="T117" s="15"/>
      <c r="U117" s="74"/>
      <c r="V117" s="74"/>
      <c r="W117" s="74"/>
      <c r="X117" s="74"/>
      <c r="Y117" s="74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229"/>
      <c r="K118" s="229"/>
      <c r="L118" s="229"/>
      <c r="M118" s="15"/>
      <c r="N118" s="15"/>
      <c r="O118" s="15"/>
      <c r="P118" s="15"/>
      <c r="Q118" s="15"/>
      <c r="R118" s="15"/>
      <c r="S118" s="15"/>
      <c r="T118" s="15"/>
      <c r="U118" s="74"/>
      <c r="V118" s="74"/>
      <c r="W118" s="74"/>
      <c r="X118" s="74"/>
      <c r="Y118" s="74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229"/>
      <c r="K119" s="229"/>
      <c r="L119" s="229"/>
      <c r="M119" s="15"/>
      <c r="N119" s="15"/>
      <c r="O119" s="15"/>
      <c r="P119" s="15"/>
      <c r="Q119" s="15"/>
      <c r="R119" s="15"/>
      <c r="S119" s="15"/>
      <c r="T119" s="15"/>
      <c r="U119" s="74"/>
      <c r="V119" s="74"/>
      <c r="W119" s="74"/>
      <c r="X119" s="74"/>
      <c r="Y119" s="74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229"/>
      <c r="K120" s="229"/>
      <c r="L120" s="229"/>
      <c r="M120" s="15"/>
      <c r="N120" s="15"/>
      <c r="O120" s="15"/>
      <c r="P120" s="15"/>
      <c r="Q120" s="15"/>
      <c r="R120" s="15"/>
      <c r="S120" s="15"/>
      <c r="T120" s="15"/>
      <c r="U120" s="74"/>
      <c r="V120" s="74"/>
      <c r="W120" s="74"/>
      <c r="X120" s="74"/>
      <c r="Y120" s="74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229"/>
      <c r="K121" s="229"/>
      <c r="L121" s="229"/>
      <c r="M121" s="15"/>
      <c r="N121" s="15"/>
      <c r="O121" s="15"/>
      <c r="P121" s="15"/>
      <c r="Q121" s="15"/>
      <c r="R121" s="15"/>
      <c r="S121" s="15"/>
      <c r="T121" s="15"/>
      <c r="U121" s="74"/>
      <c r="V121" s="74"/>
      <c r="W121" s="74"/>
      <c r="X121" s="74"/>
      <c r="Y121" s="74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229"/>
      <c r="K122" s="229"/>
      <c r="L122" s="229"/>
      <c r="M122" s="15"/>
      <c r="N122" s="15"/>
      <c r="O122" s="15"/>
      <c r="P122" s="15"/>
      <c r="Q122" s="15"/>
      <c r="R122" s="15"/>
      <c r="S122" s="15"/>
      <c r="T122" s="15"/>
      <c r="U122" s="74"/>
      <c r="V122" s="74"/>
      <c r="W122" s="74"/>
      <c r="X122" s="74"/>
      <c r="Y122" s="74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229"/>
      <c r="K123" s="229"/>
      <c r="L123" s="229"/>
      <c r="M123" s="15"/>
      <c r="N123" s="15"/>
      <c r="O123" s="15"/>
      <c r="P123" s="15"/>
      <c r="Q123" s="15"/>
      <c r="R123" s="15"/>
      <c r="S123" s="15"/>
      <c r="T123" s="15"/>
      <c r="U123" s="74"/>
      <c r="V123" s="74"/>
      <c r="W123" s="74"/>
      <c r="X123" s="74"/>
      <c r="Y123" s="74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229"/>
      <c r="K124" s="229"/>
      <c r="L124" s="229"/>
      <c r="M124" s="15"/>
      <c r="N124" s="15"/>
      <c r="O124" s="15"/>
      <c r="P124" s="15"/>
      <c r="Q124" s="15"/>
      <c r="R124" s="15"/>
      <c r="S124" s="15"/>
      <c r="T124" s="15"/>
      <c r="U124" s="74"/>
      <c r="V124" s="74"/>
      <c r="W124" s="74"/>
      <c r="X124" s="74"/>
      <c r="Y124" s="74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229"/>
      <c r="K125" s="229"/>
      <c r="L125" s="229"/>
      <c r="M125" s="15"/>
      <c r="N125" s="15"/>
      <c r="O125" s="15"/>
      <c r="P125" s="15"/>
      <c r="Q125" s="15"/>
      <c r="R125" s="15"/>
      <c r="S125" s="15"/>
      <c r="T125" s="15"/>
      <c r="U125" s="74"/>
      <c r="V125" s="74"/>
      <c r="W125" s="74"/>
      <c r="X125" s="74"/>
      <c r="Y125" s="74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229"/>
      <c r="K126" s="229"/>
      <c r="L126" s="229"/>
      <c r="M126" s="15"/>
      <c r="N126" s="15"/>
      <c r="O126" s="15"/>
      <c r="P126" s="15"/>
      <c r="Q126" s="15"/>
      <c r="R126" s="15"/>
      <c r="S126" s="15"/>
      <c r="T126" s="15"/>
      <c r="U126" s="74"/>
      <c r="V126" s="74"/>
      <c r="W126" s="74"/>
      <c r="X126" s="74"/>
      <c r="Y126" s="74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229"/>
      <c r="K127" s="229"/>
      <c r="L127" s="229"/>
      <c r="M127" s="15"/>
      <c r="N127" s="15"/>
      <c r="O127" s="15"/>
      <c r="P127" s="15"/>
      <c r="Q127" s="15"/>
      <c r="R127" s="15"/>
      <c r="S127" s="15"/>
      <c r="T127" s="15"/>
      <c r="U127" s="74"/>
      <c r="V127" s="74"/>
      <c r="W127" s="74"/>
      <c r="X127" s="74"/>
      <c r="Y127" s="74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229"/>
      <c r="K128" s="229"/>
      <c r="L128" s="229"/>
      <c r="M128" s="15"/>
      <c r="N128" s="15"/>
      <c r="O128" s="15"/>
      <c r="P128" s="15"/>
      <c r="Q128" s="15"/>
      <c r="R128" s="15"/>
      <c r="S128" s="15"/>
      <c r="T128" s="15"/>
      <c r="U128" s="74"/>
      <c r="V128" s="74"/>
      <c r="W128" s="74"/>
      <c r="X128" s="74"/>
      <c r="Y128" s="74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229"/>
      <c r="K129" s="229"/>
      <c r="L129" s="229"/>
      <c r="M129" s="15"/>
      <c r="N129" s="15"/>
      <c r="O129" s="15"/>
      <c r="P129" s="15"/>
      <c r="Q129" s="15"/>
      <c r="R129" s="15"/>
      <c r="S129" s="15"/>
      <c r="T129" s="15"/>
      <c r="U129" s="74"/>
      <c r="V129" s="74"/>
      <c r="W129" s="74"/>
      <c r="X129" s="74"/>
      <c r="Y129" s="74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229"/>
      <c r="K130" s="229"/>
      <c r="L130" s="229"/>
      <c r="M130" s="15"/>
      <c r="N130" s="15"/>
      <c r="O130" s="15"/>
      <c r="P130" s="15"/>
      <c r="Q130" s="15"/>
      <c r="R130" s="15"/>
      <c r="S130" s="15"/>
      <c r="T130" s="15"/>
      <c r="U130" s="74"/>
      <c r="V130" s="74"/>
      <c r="W130" s="74"/>
      <c r="X130" s="74"/>
      <c r="Y130" s="74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229"/>
      <c r="K131" s="229"/>
      <c r="L131" s="229"/>
      <c r="M131" s="15"/>
      <c r="N131" s="15"/>
      <c r="O131" s="15"/>
      <c r="P131" s="15"/>
      <c r="Q131" s="15"/>
      <c r="R131" s="15"/>
      <c r="S131" s="15"/>
      <c r="T131" s="15"/>
      <c r="U131" s="74"/>
      <c r="V131" s="74"/>
      <c r="W131" s="74"/>
      <c r="X131" s="74"/>
      <c r="Y131" s="74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229"/>
      <c r="K132" s="229"/>
      <c r="L132" s="229"/>
      <c r="M132" s="15"/>
      <c r="N132" s="15"/>
      <c r="O132" s="15"/>
      <c r="P132" s="15"/>
      <c r="Q132" s="15"/>
      <c r="R132" s="15"/>
      <c r="S132" s="15"/>
      <c r="T132" s="15"/>
      <c r="U132" s="74"/>
      <c r="V132" s="74"/>
      <c r="W132" s="74"/>
      <c r="X132" s="74"/>
      <c r="Y132" s="74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229"/>
      <c r="K133" s="229"/>
      <c r="L133" s="229"/>
      <c r="M133" s="15"/>
      <c r="N133" s="15"/>
      <c r="O133" s="15"/>
      <c r="P133" s="15"/>
      <c r="Q133" s="15"/>
      <c r="R133" s="15"/>
      <c r="S133" s="15"/>
      <c r="T133" s="15"/>
      <c r="U133" s="74"/>
      <c r="V133" s="74"/>
      <c r="W133" s="74"/>
      <c r="X133" s="74"/>
      <c r="Y133" s="74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229"/>
      <c r="K134" s="229"/>
      <c r="L134" s="229"/>
      <c r="M134" s="15"/>
      <c r="N134" s="15"/>
      <c r="O134" s="15"/>
      <c r="P134" s="15"/>
      <c r="Q134" s="15"/>
      <c r="R134" s="15"/>
      <c r="S134" s="15"/>
      <c r="T134" s="15"/>
      <c r="U134" s="74"/>
      <c r="V134" s="74"/>
      <c r="W134" s="74"/>
      <c r="X134" s="74"/>
      <c r="Y134" s="74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229"/>
      <c r="K135" s="229"/>
      <c r="L135" s="229"/>
      <c r="M135" s="15"/>
      <c r="N135" s="15"/>
      <c r="O135" s="15"/>
      <c r="P135" s="15"/>
      <c r="Q135" s="15"/>
      <c r="R135" s="15"/>
      <c r="S135" s="15"/>
      <c r="T135" s="15"/>
      <c r="U135" s="74"/>
      <c r="V135" s="74"/>
      <c r="W135" s="74"/>
      <c r="X135" s="74"/>
      <c r="Y135" s="74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229"/>
      <c r="K136" s="229"/>
      <c r="L136" s="229"/>
      <c r="M136" s="15"/>
      <c r="N136" s="15"/>
      <c r="O136" s="15"/>
      <c r="P136" s="15"/>
      <c r="Q136" s="15"/>
      <c r="R136" s="15"/>
      <c r="S136" s="15"/>
      <c r="T136" s="15"/>
      <c r="U136" s="74"/>
      <c r="V136" s="74"/>
      <c r="W136" s="74"/>
      <c r="X136" s="74"/>
      <c r="Y136" s="74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229"/>
      <c r="K137" s="229"/>
      <c r="L137" s="229"/>
      <c r="M137" s="15"/>
      <c r="N137" s="15"/>
      <c r="O137" s="15"/>
      <c r="P137" s="15"/>
      <c r="Q137" s="15"/>
      <c r="R137" s="15"/>
      <c r="S137" s="15"/>
      <c r="T137" s="15"/>
      <c r="U137" s="74"/>
      <c r="V137" s="74"/>
      <c r="W137" s="74"/>
      <c r="X137" s="74"/>
      <c r="Y137" s="74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229"/>
      <c r="K138" s="229"/>
      <c r="L138" s="229"/>
      <c r="M138" s="15"/>
      <c r="N138" s="15"/>
      <c r="O138" s="15"/>
      <c r="P138" s="15"/>
      <c r="Q138" s="15"/>
      <c r="R138" s="15"/>
      <c r="S138" s="15"/>
      <c r="T138" s="15"/>
      <c r="U138" s="74"/>
      <c r="V138" s="74"/>
      <c r="W138" s="74"/>
      <c r="X138" s="74"/>
      <c r="Y138" s="74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229"/>
      <c r="K139" s="229"/>
      <c r="L139" s="229"/>
      <c r="M139" s="15"/>
      <c r="N139" s="15"/>
      <c r="O139" s="15"/>
      <c r="P139" s="15"/>
      <c r="Q139" s="15"/>
      <c r="R139" s="15"/>
      <c r="S139" s="15"/>
      <c r="T139" s="15"/>
      <c r="U139" s="74"/>
      <c r="V139" s="74"/>
      <c r="W139" s="74"/>
      <c r="X139" s="74"/>
      <c r="Y139" s="74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229"/>
      <c r="K140" s="229"/>
      <c r="L140" s="229"/>
      <c r="M140" s="15"/>
      <c r="N140" s="15"/>
      <c r="O140" s="15"/>
      <c r="P140" s="15"/>
      <c r="Q140" s="15"/>
      <c r="R140" s="15"/>
      <c r="S140" s="15"/>
      <c r="T140" s="15"/>
      <c r="U140" s="74"/>
      <c r="V140" s="74"/>
      <c r="W140" s="74"/>
      <c r="X140" s="74"/>
      <c r="Y140" s="74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229"/>
      <c r="K141" s="229"/>
      <c r="L141" s="229"/>
      <c r="M141" s="15"/>
      <c r="N141" s="15"/>
      <c r="O141" s="15"/>
      <c r="P141" s="15"/>
      <c r="Q141" s="15"/>
      <c r="R141" s="15"/>
      <c r="S141" s="15"/>
      <c r="T141" s="15"/>
      <c r="U141" s="74"/>
      <c r="V141" s="74"/>
      <c r="W141" s="74"/>
      <c r="X141" s="74"/>
      <c r="Y141" s="74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229"/>
      <c r="K142" s="229"/>
      <c r="L142" s="229"/>
      <c r="M142" s="15"/>
      <c r="N142" s="15"/>
      <c r="O142" s="15"/>
      <c r="P142" s="15"/>
      <c r="Q142" s="15"/>
      <c r="R142" s="15"/>
      <c r="S142" s="15"/>
      <c r="T142" s="15"/>
      <c r="U142" s="74"/>
      <c r="V142" s="74"/>
      <c r="W142" s="74"/>
      <c r="X142" s="74"/>
      <c r="Y142" s="74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229"/>
      <c r="K143" s="229"/>
      <c r="L143" s="229"/>
      <c r="M143" s="15"/>
      <c r="N143" s="15"/>
      <c r="O143" s="15"/>
      <c r="P143" s="15"/>
      <c r="Q143" s="15"/>
      <c r="R143" s="15"/>
      <c r="S143" s="15"/>
      <c r="T143" s="15"/>
      <c r="U143" s="74"/>
      <c r="V143" s="74"/>
      <c r="W143" s="74"/>
      <c r="X143" s="74"/>
      <c r="Y143" s="74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229"/>
      <c r="K144" s="229"/>
      <c r="L144" s="229"/>
      <c r="M144" s="15"/>
      <c r="N144" s="15"/>
      <c r="O144" s="15"/>
      <c r="P144" s="15"/>
      <c r="Q144" s="15"/>
      <c r="R144" s="15"/>
      <c r="S144" s="15"/>
      <c r="T144" s="15"/>
      <c r="U144" s="74"/>
      <c r="V144" s="74"/>
      <c r="W144" s="74"/>
      <c r="X144" s="74"/>
      <c r="Y144" s="74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229"/>
      <c r="K145" s="229"/>
      <c r="L145" s="229"/>
      <c r="M145" s="15"/>
      <c r="N145" s="15"/>
      <c r="O145" s="15"/>
      <c r="P145" s="15"/>
      <c r="Q145" s="15"/>
      <c r="R145" s="15"/>
      <c r="S145" s="15"/>
      <c r="T145" s="15"/>
      <c r="U145" s="74"/>
      <c r="V145" s="74"/>
      <c r="W145" s="74"/>
      <c r="X145" s="74"/>
      <c r="Y145" s="74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229"/>
      <c r="K146" s="229"/>
      <c r="L146" s="229"/>
      <c r="M146" s="15"/>
      <c r="N146" s="15"/>
      <c r="O146" s="15"/>
      <c r="P146" s="15"/>
      <c r="Q146" s="15"/>
      <c r="R146" s="15"/>
      <c r="S146" s="15"/>
      <c r="T146" s="15"/>
      <c r="U146" s="74"/>
      <c r="V146" s="74"/>
      <c r="W146" s="74"/>
      <c r="X146" s="74"/>
      <c r="Y146" s="74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229"/>
      <c r="K147" s="229"/>
      <c r="L147" s="229"/>
      <c r="M147" s="15"/>
      <c r="N147" s="15"/>
      <c r="O147" s="15"/>
      <c r="P147" s="15"/>
      <c r="Q147" s="15"/>
      <c r="R147" s="15"/>
      <c r="S147" s="15"/>
      <c r="T147" s="15"/>
      <c r="U147" s="74"/>
      <c r="V147" s="74"/>
      <c r="W147" s="74"/>
      <c r="X147" s="74"/>
      <c r="Y147" s="74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229"/>
      <c r="K148" s="229"/>
      <c r="L148" s="229"/>
      <c r="M148" s="15"/>
      <c r="N148" s="15"/>
      <c r="O148" s="15"/>
      <c r="P148" s="15"/>
      <c r="Q148" s="15"/>
      <c r="R148" s="15"/>
      <c r="S148" s="15"/>
      <c r="T148" s="15"/>
      <c r="U148" s="74"/>
      <c r="V148" s="74"/>
      <c r="W148" s="74"/>
      <c r="X148" s="74"/>
      <c r="Y148" s="74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229"/>
      <c r="K149" s="229"/>
      <c r="L149" s="229"/>
      <c r="M149" s="15"/>
      <c r="N149" s="15"/>
      <c r="O149" s="15"/>
      <c r="P149" s="15"/>
      <c r="Q149" s="15"/>
      <c r="R149" s="15"/>
      <c r="S149" s="15"/>
      <c r="T149" s="15"/>
      <c r="U149" s="74"/>
      <c r="V149" s="74"/>
      <c r="W149" s="74"/>
      <c r="X149" s="74"/>
      <c r="Y149" s="74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229"/>
      <c r="K150" s="229"/>
      <c r="L150" s="229"/>
      <c r="M150" s="15"/>
      <c r="N150" s="15"/>
      <c r="O150" s="15"/>
      <c r="P150" s="15"/>
      <c r="Q150" s="15"/>
      <c r="R150" s="15"/>
      <c r="S150" s="15"/>
      <c r="T150" s="15"/>
      <c r="U150" s="74"/>
      <c r="V150" s="74"/>
      <c r="W150" s="74"/>
      <c r="X150" s="74"/>
      <c r="Y150" s="74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229"/>
      <c r="K151" s="229"/>
      <c r="L151" s="229"/>
      <c r="M151" s="15"/>
      <c r="N151" s="15"/>
      <c r="O151" s="15"/>
      <c r="P151" s="15"/>
      <c r="Q151" s="15"/>
      <c r="R151" s="15"/>
      <c r="S151" s="15"/>
      <c r="T151" s="15"/>
      <c r="U151" s="74"/>
      <c r="V151" s="74"/>
      <c r="W151" s="74"/>
      <c r="X151" s="74"/>
      <c r="Y151" s="74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229"/>
      <c r="K152" s="229"/>
      <c r="L152" s="229"/>
      <c r="M152" s="15"/>
      <c r="N152" s="15"/>
      <c r="O152" s="15"/>
      <c r="P152" s="15"/>
      <c r="Q152" s="15"/>
      <c r="R152" s="15"/>
      <c r="S152" s="15"/>
      <c r="T152" s="15"/>
      <c r="U152" s="74"/>
      <c r="V152" s="74"/>
      <c r="W152" s="74"/>
      <c r="X152" s="74"/>
      <c r="Y152" s="74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229"/>
      <c r="K153" s="229"/>
      <c r="L153" s="229"/>
      <c r="M153" s="15"/>
      <c r="N153" s="15"/>
      <c r="O153" s="15"/>
      <c r="P153" s="15"/>
      <c r="Q153" s="15"/>
      <c r="R153" s="15"/>
      <c r="S153" s="15"/>
      <c r="T153" s="15"/>
      <c r="U153" s="74"/>
      <c r="V153" s="74"/>
      <c r="W153" s="74"/>
      <c r="X153" s="74"/>
      <c r="Y153" s="74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229"/>
      <c r="K154" s="229"/>
      <c r="L154" s="229"/>
      <c r="M154" s="15"/>
      <c r="N154" s="15"/>
      <c r="O154" s="15"/>
      <c r="P154" s="15"/>
      <c r="Q154" s="15"/>
      <c r="R154" s="15"/>
      <c r="S154" s="15"/>
      <c r="T154" s="15"/>
      <c r="U154" s="74"/>
      <c r="V154" s="74"/>
      <c r="W154" s="74"/>
      <c r="X154" s="74"/>
      <c r="Y154" s="74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229"/>
      <c r="K155" s="229"/>
      <c r="L155" s="229"/>
      <c r="M155" s="15"/>
      <c r="N155" s="15"/>
      <c r="O155" s="15"/>
      <c r="P155" s="15"/>
      <c r="Q155" s="15"/>
      <c r="R155" s="15"/>
      <c r="S155" s="15"/>
      <c r="T155" s="15"/>
      <c r="U155" s="74"/>
      <c r="V155" s="74"/>
      <c r="W155" s="74"/>
      <c r="X155" s="74"/>
      <c r="Y155" s="74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229"/>
      <c r="K156" s="229"/>
      <c r="L156" s="229"/>
      <c r="M156" s="15"/>
      <c r="N156" s="15"/>
      <c r="O156" s="15"/>
      <c r="P156" s="15"/>
      <c r="Q156" s="15"/>
      <c r="R156" s="15"/>
      <c r="S156" s="15"/>
      <c r="T156" s="15"/>
      <c r="U156" s="74"/>
      <c r="V156" s="74"/>
      <c r="W156" s="74"/>
      <c r="X156" s="74"/>
      <c r="Y156" s="74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229"/>
      <c r="K157" s="229"/>
      <c r="L157" s="229"/>
      <c r="M157" s="15"/>
      <c r="N157" s="15"/>
      <c r="O157" s="15"/>
      <c r="P157" s="15"/>
      <c r="Q157" s="15"/>
      <c r="R157" s="15"/>
      <c r="S157" s="15"/>
      <c r="T157" s="15"/>
      <c r="U157" s="74"/>
      <c r="V157" s="74"/>
      <c r="W157" s="74"/>
      <c r="X157" s="74"/>
      <c r="Y157" s="74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229"/>
      <c r="K158" s="229"/>
      <c r="L158" s="229"/>
      <c r="M158" s="15"/>
      <c r="N158" s="15"/>
      <c r="O158" s="15"/>
      <c r="P158" s="15"/>
      <c r="Q158" s="15"/>
      <c r="R158" s="15"/>
      <c r="S158" s="15"/>
      <c r="T158" s="15"/>
      <c r="U158" s="74"/>
      <c r="V158" s="74"/>
      <c r="W158" s="74"/>
      <c r="X158" s="74"/>
      <c r="Y158" s="74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229"/>
      <c r="K159" s="229"/>
      <c r="L159" s="229"/>
      <c r="M159" s="15"/>
      <c r="N159" s="15"/>
      <c r="O159" s="15"/>
      <c r="P159" s="15"/>
      <c r="Q159" s="15"/>
      <c r="R159" s="15"/>
      <c r="S159" s="15"/>
      <c r="T159" s="15"/>
      <c r="U159" s="74"/>
      <c r="V159" s="74"/>
      <c r="W159" s="74"/>
      <c r="X159" s="74"/>
      <c r="Y159" s="74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229"/>
      <c r="K160" s="229"/>
      <c r="L160" s="229"/>
      <c r="M160" s="15"/>
      <c r="N160" s="15"/>
      <c r="O160" s="15"/>
      <c r="P160" s="15"/>
      <c r="Q160" s="15"/>
      <c r="R160" s="15"/>
      <c r="S160" s="15"/>
      <c r="T160" s="15"/>
      <c r="U160" s="74"/>
      <c r="V160" s="74"/>
      <c r="W160" s="74"/>
      <c r="X160" s="74"/>
      <c r="Y160" s="74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229"/>
      <c r="K161" s="229"/>
      <c r="L161" s="229"/>
      <c r="M161" s="15"/>
      <c r="N161" s="15"/>
      <c r="O161" s="15"/>
      <c r="P161" s="15"/>
      <c r="Q161" s="15"/>
      <c r="R161" s="15"/>
      <c r="S161" s="15"/>
      <c r="T161" s="15"/>
      <c r="U161" s="74"/>
      <c r="V161" s="74"/>
      <c r="W161" s="74"/>
      <c r="X161" s="74"/>
      <c r="Y161" s="74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229"/>
      <c r="K162" s="229"/>
      <c r="L162" s="229"/>
      <c r="M162" s="15"/>
      <c r="N162" s="15"/>
      <c r="O162" s="15"/>
      <c r="P162" s="15"/>
      <c r="Q162" s="15"/>
      <c r="R162" s="15"/>
      <c r="S162" s="15"/>
      <c r="T162" s="15"/>
      <c r="U162" s="74"/>
      <c r="V162" s="74"/>
      <c r="W162" s="74"/>
      <c r="X162" s="74"/>
      <c r="Y162" s="74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229"/>
      <c r="K163" s="229"/>
      <c r="L163" s="229"/>
      <c r="M163" s="15"/>
      <c r="N163" s="15"/>
      <c r="O163" s="15"/>
      <c r="P163" s="15"/>
      <c r="Q163" s="15"/>
      <c r="R163" s="15"/>
      <c r="S163" s="15"/>
      <c r="T163" s="15"/>
      <c r="U163" s="74"/>
      <c r="V163" s="74"/>
      <c r="W163" s="74"/>
      <c r="X163" s="74"/>
      <c r="Y163" s="74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229"/>
      <c r="K164" s="229"/>
      <c r="L164" s="229"/>
      <c r="M164" s="15"/>
      <c r="N164" s="15"/>
      <c r="O164" s="15"/>
      <c r="P164" s="15"/>
      <c r="Q164" s="15"/>
      <c r="R164" s="15"/>
      <c r="S164" s="15"/>
      <c r="T164" s="15"/>
      <c r="U164" s="74"/>
      <c r="V164" s="74"/>
      <c r="W164" s="74"/>
      <c r="X164" s="74"/>
      <c r="Y164" s="74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229"/>
      <c r="K165" s="229"/>
      <c r="L165" s="229"/>
      <c r="M165" s="15"/>
      <c r="N165" s="15"/>
      <c r="O165" s="15"/>
      <c r="P165" s="15"/>
      <c r="Q165" s="15"/>
      <c r="R165" s="15"/>
      <c r="S165" s="15"/>
      <c r="T165" s="15"/>
      <c r="U165" s="74"/>
      <c r="V165" s="74"/>
      <c r="W165" s="74"/>
      <c r="X165" s="74"/>
      <c r="Y165" s="74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229"/>
      <c r="K166" s="229"/>
      <c r="L166" s="229"/>
      <c r="M166" s="15"/>
      <c r="N166" s="15"/>
      <c r="O166" s="15"/>
      <c r="P166" s="15"/>
      <c r="Q166" s="15"/>
      <c r="R166" s="15"/>
      <c r="S166" s="15"/>
      <c r="T166" s="15"/>
      <c r="U166" s="74"/>
      <c r="V166" s="74"/>
      <c r="W166" s="74"/>
      <c r="X166" s="74"/>
      <c r="Y166" s="74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229"/>
      <c r="K167" s="229"/>
      <c r="L167" s="229"/>
      <c r="M167" s="15"/>
      <c r="N167" s="15"/>
      <c r="O167" s="15"/>
      <c r="P167" s="15"/>
      <c r="Q167" s="15"/>
      <c r="R167" s="15"/>
      <c r="S167" s="15"/>
      <c r="T167" s="15"/>
      <c r="U167" s="74"/>
      <c r="V167" s="74"/>
      <c r="W167" s="74"/>
      <c r="X167" s="74"/>
      <c r="Y167" s="74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229"/>
      <c r="K168" s="229"/>
      <c r="L168" s="229"/>
      <c r="M168" s="15"/>
      <c r="N168" s="15"/>
      <c r="O168" s="15"/>
      <c r="P168" s="15"/>
      <c r="Q168" s="15"/>
      <c r="R168" s="15"/>
      <c r="S168" s="15"/>
      <c r="T168" s="15"/>
      <c r="U168" s="74"/>
      <c r="V168" s="74"/>
      <c r="W168" s="74"/>
      <c r="X168" s="74"/>
      <c r="Y168" s="74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229"/>
      <c r="K169" s="229"/>
      <c r="L169" s="229"/>
      <c r="M169" s="15"/>
      <c r="N169" s="15"/>
      <c r="O169" s="15"/>
      <c r="P169" s="15"/>
      <c r="Q169" s="15"/>
      <c r="R169" s="15"/>
      <c r="S169" s="15"/>
      <c r="T169" s="15"/>
      <c r="U169" s="74"/>
      <c r="V169" s="74"/>
      <c r="W169" s="74"/>
      <c r="X169" s="74"/>
      <c r="Y169" s="74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229"/>
      <c r="K170" s="229"/>
      <c r="L170" s="229"/>
      <c r="M170" s="15"/>
      <c r="N170" s="15"/>
      <c r="O170" s="15"/>
      <c r="P170" s="15"/>
      <c r="Q170" s="15"/>
      <c r="R170" s="15"/>
      <c r="S170" s="15"/>
      <c r="T170" s="15"/>
      <c r="U170" s="74"/>
      <c r="V170" s="74"/>
      <c r="W170" s="74"/>
      <c r="X170" s="74"/>
      <c r="Y170" s="74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229"/>
      <c r="K171" s="229"/>
      <c r="L171" s="229"/>
      <c r="M171" s="15"/>
      <c r="N171" s="15"/>
      <c r="O171" s="15"/>
      <c r="P171" s="15"/>
      <c r="Q171" s="15"/>
      <c r="R171" s="15"/>
      <c r="S171" s="15"/>
      <c r="T171" s="15"/>
      <c r="U171" s="74"/>
      <c r="V171" s="74"/>
      <c r="W171" s="74"/>
      <c r="X171" s="74"/>
      <c r="Y171" s="74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229"/>
      <c r="K172" s="229"/>
      <c r="L172" s="229"/>
      <c r="M172" s="15"/>
      <c r="N172" s="15"/>
      <c r="O172" s="15"/>
      <c r="P172" s="15"/>
      <c r="Q172" s="15"/>
      <c r="R172" s="15"/>
      <c r="S172" s="15"/>
      <c r="T172" s="15"/>
      <c r="U172" s="74"/>
      <c r="V172" s="74"/>
      <c r="W172" s="74"/>
      <c r="X172" s="74"/>
      <c r="Y172" s="74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229"/>
      <c r="K173" s="229"/>
      <c r="L173" s="229"/>
      <c r="M173" s="15"/>
      <c r="N173" s="15"/>
      <c r="O173" s="15"/>
      <c r="P173" s="15"/>
      <c r="Q173" s="15"/>
      <c r="R173" s="15"/>
      <c r="S173" s="15"/>
      <c r="T173" s="15"/>
      <c r="U173" s="74"/>
      <c r="V173" s="74"/>
      <c r="W173" s="74"/>
      <c r="X173" s="74"/>
      <c r="Y173" s="74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229"/>
      <c r="K174" s="229"/>
      <c r="L174" s="229"/>
      <c r="M174" s="15"/>
      <c r="N174" s="15"/>
      <c r="O174" s="15"/>
      <c r="P174" s="15"/>
      <c r="Q174" s="15"/>
      <c r="R174" s="15"/>
      <c r="S174" s="15"/>
      <c r="T174" s="15"/>
      <c r="U174" s="74"/>
      <c r="V174" s="74"/>
      <c r="W174" s="74"/>
      <c r="X174" s="74"/>
      <c r="Y174" s="74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229"/>
      <c r="K175" s="229"/>
      <c r="L175" s="229"/>
      <c r="M175" s="15"/>
      <c r="N175" s="15"/>
      <c r="O175" s="15"/>
      <c r="P175" s="15"/>
      <c r="Q175" s="15"/>
      <c r="R175" s="15"/>
      <c r="S175" s="15"/>
      <c r="T175" s="15"/>
      <c r="U175" s="74"/>
      <c r="V175" s="74"/>
      <c r="W175" s="74"/>
      <c r="X175" s="74"/>
      <c r="Y175" s="74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229"/>
      <c r="K176" s="229"/>
      <c r="L176" s="229"/>
      <c r="M176" s="15"/>
      <c r="N176" s="15"/>
      <c r="O176" s="15"/>
      <c r="P176" s="15"/>
      <c r="Q176" s="15"/>
      <c r="R176" s="15"/>
      <c r="S176" s="15"/>
      <c r="T176" s="15"/>
      <c r="U176" s="74"/>
      <c r="V176" s="74"/>
      <c r="W176" s="74"/>
      <c r="X176" s="74"/>
      <c r="Y176" s="74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229"/>
      <c r="K177" s="229"/>
      <c r="L177" s="229"/>
      <c r="M177" s="15"/>
      <c r="N177" s="15"/>
      <c r="O177" s="15"/>
      <c r="P177" s="15"/>
      <c r="Q177" s="15"/>
      <c r="R177" s="15"/>
      <c r="S177" s="15"/>
      <c r="T177" s="15"/>
      <c r="U177" s="74"/>
      <c r="V177" s="74"/>
      <c r="W177" s="74"/>
      <c r="X177" s="74"/>
      <c r="Y177" s="74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229"/>
      <c r="K178" s="229"/>
      <c r="L178" s="229"/>
      <c r="M178" s="15"/>
      <c r="N178" s="15"/>
      <c r="O178" s="15"/>
      <c r="P178" s="15"/>
      <c r="Q178" s="15"/>
      <c r="R178" s="15"/>
      <c r="S178" s="15"/>
      <c r="T178" s="15"/>
      <c r="U178" s="74"/>
      <c r="V178" s="74"/>
      <c r="W178" s="74"/>
      <c r="X178" s="74"/>
      <c r="Y178" s="74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229"/>
      <c r="K179" s="229"/>
      <c r="L179" s="229"/>
      <c r="M179" s="15"/>
      <c r="N179" s="15"/>
      <c r="O179" s="15"/>
      <c r="P179" s="15"/>
      <c r="Q179" s="15"/>
      <c r="R179" s="15"/>
      <c r="S179" s="15"/>
      <c r="T179" s="15"/>
      <c r="U179" s="74"/>
      <c r="V179" s="74"/>
      <c r="W179" s="74"/>
      <c r="X179" s="74"/>
      <c r="Y179" s="74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229"/>
      <c r="K180" s="229"/>
      <c r="L180" s="229"/>
      <c r="M180" s="15"/>
      <c r="N180" s="15"/>
      <c r="O180" s="15"/>
      <c r="P180" s="15"/>
      <c r="Q180" s="15"/>
      <c r="R180" s="15"/>
      <c r="S180" s="15"/>
      <c r="T180" s="15"/>
      <c r="U180" s="74"/>
      <c r="V180" s="74"/>
      <c r="W180" s="74"/>
      <c r="X180" s="74"/>
      <c r="Y180" s="74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229"/>
      <c r="K181" s="229"/>
      <c r="L181" s="229"/>
      <c r="M181" s="15"/>
      <c r="N181" s="15"/>
      <c r="O181" s="15"/>
      <c r="P181" s="15"/>
      <c r="Q181" s="15"/>
      <c r="R181" s="15"/>
      <c r="S181" s="15"/>
      <c r="T181" s="15"/>
      <c r="U181" s="74"/>
      <c r="V181" s="74"/>
      <c r="W181" s="74"/>
      <c r="X181" s="74"/>
      <c r="Y181" s="74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229"/>
      <c r="K182" s="229"/>
      <c r="L182" s="229"/>
      <c r="M182" s="15"/>
      <c r="N182" s="15"/>
      <c r="O182" s="15"/>
      <c r="P182" s="15"/>
      <c r="Q182" s="15"/>
      <c r="R182" s="15"/>
      <c r="S182" s="15"/>
      <c r="T182" s="15"/>
      <c r="U182" s="74"/>
      <c r="V182" s="74"/>
      <c r="W182" s="74"/>
      <c r="X182" s="74"/>
      <c r="Y182" s="74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229"/>
      <c r="K183" s="229"/>
      <c r="L183" s="229"/>
      <c r="M183" s="15"/>
      <c r="N183" s="15"/>
      <c r="O183" s="15"/>
      <c r="P183" s="15"/>
      <c r="Q183" s="15"/>
      <c r="R183" s="15"/>
      <c r="S183" s="15"/>
      <c r="T183" s="15"/>
      <c r="U183" s="74"/>
      <c r="V183" s="74"/>
      <c r="W183" s="74"/>
      <c r="X183" s="74"/>
      <c r="Y183" s="74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229"/>
      <c r="K184" s="229"/>
      <c r="L184" s="229"/>
      <c r="M184" s="15"/>
      <c r="N184" s="15"/>
      <c r="O184" s="15"/>
      <c r="P184" s="15"/>
      <c r="Q184" s="15"/>
      <c r="R184" s="15"/>
      <c r="S184" s="15"/>
      <c r="T184" s="15"/>
      <c r="U184" s="74"/>
      <c r="V184" s="74"/>
      <c r="W184" s="74"/>
      <c r="X184" s="74"/>
      <c r="Y184" s="74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229"/>
      <c r="K185" s="229"/>
      <c r="L185" s="229"/>
      <c r="M185" s="15"/>
      <c r="N185" s="15"/>
      <c r="O185" s="15"/>
      <c r="P185" s="15"/>
      <c r="Q185" s="15"/>
      <c r="R185" s="15"/>
      <c r="S185" s="15"/>
      <c r="T185" s="15"/>
      <c r="U185" s="74"/>
      <c r="V185" s="74"/>
      <c r="W185" s="74"/>
      <c r="X185" s="74"/>
      <c r="Y185" s="74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229"/>
      <c r="K186" s="229"/>
      <c r="L186" s="229"/>
      <c r="M186" s="15"/>
      <c r="N186" s="15"/>
      <c r="O186" s="15"/>
      <c r="P186" s="15"/>
      <c r="Q186" s="15"/>
      <c r="R186" s="15"/>
      <c r="S186" s="15"/>
      <c r="T186" s="15"/>
      <c r="U186" s="74"/>
      <c r="V186" s="74"/>
      <c r="W186" s="74"/>
      <c r="X186" s="74"/>
      <c r="Y186" s="74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229"/>
      <c r="K187" s="229"/>
      <c r="L187" s="229"/>
      <c r="M187" s="15"/>
      <c r="N187" s="15"/>
      <c r="O187" s="15"/>
      <c r="P187" s="15"/>
      <c r="Q187" s="15"/>
      <c r="R187" s="15"/>
      <c r="S187" s="15"/>
      <c r="T187" s="15"/>
      <c r="U187" s="74"/>
      <c r="V187" s="74"/>
      <c r="W187" s="74"/>
      <c r="X187" s="74"/>
      <c r="Y187" s="74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229"/>
      <c r="K188" s="229"/>
      <c r="L188" s="229"/>
      <c r="M188" s="15"/>
      <c r="N188" s="15"/>
      <c r="O188" s="15"/>
      <c r="P188" s="15"/>
      <c r="Q188" s="15"/>
      <c r="R188" s="15"/>
      <c r="S188" s="15"/>
      <c r="T188" s="15"/>
      <c r="U188" s="74"/>
      <c r="V188" s="74"/>
      <c r="W188" s="74"/>
      <c r="X188" s="74"/>
      <c r="Y188" s="74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229"/>
      <c r="K189" s="229"/>
      <c r="L189" s="229"/>
      <c r="M189" s="15"/>
      <c r="N189" s="15"/>
      <c r="O189" s="15"/>
      <c r="P189" s="15"/>
      <c r="Q189" s="15"/>
      <c r="R189" s="15"/>
      <c r="S189" s="15"/>
      <c r="T189" s="15"/>
      <c r="U189" s="74"/>
      <c r="V189" s="74"/>
      <c r="W189" s="74"/>
      <c r="X189" s="74"/>
      <c r="Y189" s="74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229"/>
      <c r="K190" s="229"/>
      <c r="L190" s="229"/>
      <c r="M190" s="15"/>
      <c r="N190" s="15"/>
      <c r="O190" s="15"/>
      <c r="P190" s="15"/>
      <c r="Q190" s="15"/>
      <c r="R190" s="15"/>
      <c r="S190" s="15"/>
      <c r="T190" s="15"/>
      <c r="U190" s="74"/>
      <c r="V190" s="74"/>
      <c r="W190" s="74"/>
      <c r="X190" s="74"/>
      <c r="Y190" s="74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229"/>
      <c r="K191" s="229"/>
      <c r="L191" s="229"/>
      <c r="M191" s="15"/>
      <c r="N191" s="15"/>
      <c r="O191" s="15"/>
      <c r="P191" s="15"/>
      <c r="Q191" s="15"/>
      <c r="R191" s="15"/>
      <c r="S191" s="15"/>
      <c r="T191" s="15"/>
      <c r="U191" s="74"/>
      <c r="V191" s="74"/>
      <c r="W191" s="74"/>
      <c r="X191" s="74"/>
      <c r="Y191" s="74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229"/>
      <c r="K192" s="229"/>
      <c r="L192" s="229"/>
      <c r="M192" s="15"/>
      <c r="N192" s="15"/>
      <c r="O192" s="15"/>
      <c r="P192" s="15"/>
      <c r="Q192" s="15"/>
      <c r="R192" s="15"/>
      <c r="S192" s="15"/>
      <c r="T192" s="15"/>
      <c r="U192" s="74"/>
      <c r="V192" s="74"/>
      <c r="W192" s="74"/>
      <c r="X192" s="74"/>
      <c r="Y192" s="74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229"/>
      <c r="K193" s="229"/>
      <c r="L193" s="229"/>
      <c r="M193" s="15"/>
      <c r="N193" s="15"/>
      <c r="O193" s="15"/>
      <c r="P193" s="15"/>
      <c r="Q193" s="15"/>
      <c r="R193" s="15"/>
      <c r="S193" s="15"/>
      <c r="T193" s="15"/>
      <c r="U193" s="74"/>
      <c r="V193" s="74"/>
      <c r="W193" s="74"/>
      <c r="X193" s="74"/>
      <c r="Y193" s="74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229"/>
      <c r="K194" s="229"/>
      <c r="L194" s="229"/>
      <c r="M194" s="15"/>
      <c r="N194" s="15"/>
      <c r="O194" s="15"/>
      <c r="P194" s="15"/>
      <c r="Q194" s="15"/>
      <c r="R194" s="15"/>
      <c r="S194" s="15"/>
      <c r="T194" s="15"/>
      <c r="U194" s="74"/>
      <c r="V194" s="74"/>
      <c r="W194" s="74"/>
      <c r="X194" s="74"/>
      <c r="Y194" s="74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229"/>
      <c r="K195" s="229"/>
      <c r="L195" s="229"/>
      <c r="M195" s="15"/>
      <c r="N195" s="15"/>
      <c r="O195" s="15"/>
      <c r="P195" s="15"/>
      <c r="Q195" s="15"/>
      <c r="R195" s="15"/>
      <c r="S195" s="15"/>
      <c r="T195" s="15"/>
      <c r="U195" s="74"/>
      <c r="V195" s="74"/>
      <c r="W195" s="74"/>
      <c r="X195" s="74"/>
      <c r="Y195" s="74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229"/>
      <c r="K196" s="229"/>
      <c r="L196" s="229"/>
      <c r="M196" s="15"/>
      <c r="N196" s="15"/>
      <c r="O196" s="15"/>
      <c r="P196" s="15"/>
      <c r="Q196" s="15"/>
      <c r="R196" s="15"/>
      <c r="S196" s="15"/>
      <c r="T196" s="15"/>
      <c r="U196" s="74"/>
      <c r="V196" s="74"/>
      <c r="W196" s="74"/>
      <c r="X196" s="74"/>
      <c r="Y196" s="74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229"/>
      <c r="K197" s="229"/>
      <c r="L197" s="229"/>
      <c r="M197" s="15"/>
      <c r="N197" s="15"/>
      <c r="O197" s="15"/>
      <c r="P197" s="15"/>
      <c r="Q197" s="15"/>
      <c r="R197" s="15"/>
      <c r="S197" s="15"/>
      <c r="T197" s="15"/>
      <c r="U197" s="74"/>
      <c r="V197" s="74"/>
      <c r="W197" s="74"/>
      <c r="X197" s="74"/>
      <c r="Y197" s="74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229"/>
      <c r="K198" s="229"/>
      <c r="L198" s="229"/>
      <c r="M198" s="15"/>
      <c r="N198" s="15"/>
      <c r="O198" s="15"/>
      <c r="P198" s="15"/>
      <c r="Q198" s="15"/>
      <c r="R198" s="15"/>
      <c r="S198" s="15"/>
      <c r="T198" s="15"/>
      <c r="U198" s="74"/>
      <c r="V198" s="74"/>
      <c r="W198" s="74"/>
      <c r="X198" s="74"/>
      <c r="Y198" s="74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229"/>
      <c r="K199" s="229"/>
      <c r="L199" s="229"/>
      <c r="M199" s="15"/>
      <c r="N199" s="15"/>
      <c r="O199" s="15"/>
      <c r="P199" s="15"/>
      <c r="Q199" s="15"/>
      <c r="R199" s="15"/>
      <c r="S199" s="15"/>
      <c r="T199" s="15"/>
      <c r="U199" s="74"/>
      <c r="V199" s="74"/>
      <c r="W199" s="74"/>
      <c r="X199" s="74"/>
      <c r="Y199" s="74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229"/>
      <c r="K200" s="229"/>
      <c r="L200" s="229"/>
      <c r="M200" s="15"/>
      <c r="N200" s="15"/>
      <c r="O200" s="15"/>
      <c r="P200" s="15"/>
      <c r="Q200" s="15"/>
      <c r="R200" s="15"/>
      <c r="S200" s="15"/>
      <c r="T200" s="15"/>
      <c r="U200" s="74"/>
      <c r="V200" s="74"/>
      <c r="W200" s="74"/>
      <c r="X200" s="74"/>
      <c r="Y200" s="74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229"/>
      <c r="K201" s="229"/>
      <c r="L201" s="229"/>
      <c r="M201" s="15"/>
      <c r="N201" s="15"/>
      <c r="O201" s="15"/>
      <c r="P201" s="15"/>
      <c r="Q201" s="15"/>
      <c r="R201" s="15"/>
      <c r="S201" s="15"/>
      <c r="T201" s="15"/>
      <c r="U201" s="74"/>
      <c r="V201" s="74"/>
      <c r="W201" s="74"/>
      <c r="X201" s="74"/>
      <c r="Y201" s="74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229"/>
      <c r="K202" s="229"/>
      <c r="L202" s="229"/>
      <c r="M202" s="15"/>
      <c r="N202" s="15"/>
      <c r="O202" s="15"/>
      <c r="P202" s="15"/>
      <c r="Q202" s="15"/>
      <c r="R202" s="15"/>
      <c r="S202" s="15"/>
      <c r="T202" s="15"/>
      <c r="U202" s="74"/>
      <c r="V202" s="74"/>
      <c r="W202" s="74"/>
      <c r="X202" s="74"/>
      <c r="Y202" s="74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229"/>
      <c r="K203" s="229"/>
      <c r="L203" s="229"/>
      <c r="M203" s="15"/>
      <c r="N203" s="15"/>
      <c r="O203" s="15"/>
      <c r="P203" s="15"/>
      <c r="Q203" s="15"/>
      <c r="R203" s="15"/>
      <c r="S203" s="15"/>
      <c r="T203" s="15"/>
      <c r="U203" s="74"/>
      <c r="V203" s="74"/>
      <c r="W203" s="74"/>
      <c r="X203" s="74"/>
      <c r="Y203" s="74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229"/>
      <c r="K204" s="229"/>
      <c r="L204" s="229"/>
      <c r="M204" s="15"/>
      <c r="N204" s="15"/>
      <c r="O204" s="15"/>
      <c r="P204" s="15"/>
      <c r="Q204" s="15"/>
      <c r="R204" s="15"/>
      <c r="S204" s="15"/>
      <c r="T204" s="15"/>
      <c r="U204" s="74"/>
      <c r="V204" s="74"/>
      <c r="W204" s="74"/>
      <c r="X204" s="74"/>
      <c r="Y204" s="74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229"/>
      <c r="K205" s="229"/>
      <c r="L205" s="229"/>
      <c r="M205" s="15"/>
      <c r="N205" s="15"/>
      <c r="O205" s="15"/>
      <c r="P205" s="15"/>
      <c r="Q205" s="15"/>
      <c r="R205" s="15"/>
      <c r="S205" s="15"/>
      <c r="T205" s="15"/>
      <c r="U205" s="74"/>
      <c r="V205" s="74"/>
      <c r="W205" s="74"/>
      <c r="X205" s="74"/>
      <c r="Y205" s="74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229"/>
      <c r="K206" s="229"/>
      <c r="L206" s="229"/>
      <c r="M206" s="15"/>
      <c r="N206" s="15"/>
      <c r="O206" s="15"/>
      <c r="P206" s="15"/>
      <c r="Q206" s="15"/>
      <c r="R206" s="15"/>
      <c r="S206" s="15"/>
      <c r="T206" s="15"/>
      <c r="U206" s="74"/>
      <c r="V206" s="74"/>
      <c r="W206" s="74"/>
      <c r="X206" s="74"/>
      <c r="Y206" s="74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229"/>
      <c r="K207" s="229"/>
      <c r="L207" s="229"/>
      <c r="M207" s="15"/>
      <c r="N207" s="15"/>
      <c r="O207" s="15"/>
      <c r="P207" s="15"/>
      <c r="Q207" s="15"/>
      <c r="R207" s="15"/>
      <c r="S207" s="15"/>
      <c r="T207" s="15"/>
      <c r="U207" s="74"/>
      <c r="V207" s="74"/>
      <c r="W207" s="74"/>
      <c r="X207" s="74"/>
      <c r="Y207" s="74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229"/>
      <c r="K208" s="229"/>
      <c r="L208" s="229"/>
      <c r="M208" s="15"/>
      <c r="N208" s="15"/>
      <c r="O208" s="15"/>
      <c r="P208" s="15"/>
      <c r="Q208" s="15"/>
      <c r="R208" s="15"/>
      <c r="S208" s="15"/>
      <c r="T208" s="15"/>
      <c r="U208" s="74"/>
      <c r="V208" s="74"/>
      <c r="W208" s="74"/>
      <c r="X208" s="74"/>
      <c r="Y208" s="74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229"/>
      <c r="K209" s="229"/>
      <c r="L209" s="229"/>
      <c r="M209" s="15"/>
      <c r="N209" s="15"/>
      <c r="O209" s="15"/>
      <c r="P209" s="15"/>
      <c r="Q209" s="15"/>
      <c r="R209" s="15"/>
      <c r="S209" s="15"/>
      <c r="T209" s="15"/>
      <c r="U209" s="74"/>
      <c r="V209" s="74"/>
      <c r="W209" s="74"/>
      <c r="X209" s="74"/>
      <c r="Y209" s="74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229"/>
      <c r="K210" s="229"/>
      <c r="L210" s="229"/>
      <c r="M210" s="15"/>
      <c r="N210" s="15"/>
      <c r="O210" s="15"/>
      <c r="P210" s="15"/>
      <c r="Q210" s="15"/>
      <c r="R210" s="15"/>
      <c r="S210" s="15"/>
      <c r="T210" s="15"/>
      <c r="U210" s="74"/>
      <c r="V210" s="74"/>
      <c r="W210" s="74"/>
      <c r="X210" s="74"/>
      <c r="Y210" s="74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229"/>
      <c r="K211" s="229"/>
      <c r="L211" s="229"/>
      <c r="M211" s="15"/>
      <c r="N211" s="15"/>
      <c r="O211" s="15"/>
      <c r="P211" s="15"/>
      <c r="Q211" s="15"/>
      <c r="R211" s="15"/>
      <c r="S211" s="15"/>
      <c r="T211" s="15"/>
      <c r="U211" s="74"/>
      <c r="V211" s="74"/>
      <c r="W211" s="74"/>
      <c r="X211" s="74"/>
      <c r="Y211" s="74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229"/>
      <c r="K212" s="229"/>
      <c r="L212" s="229"/>
      <c r="M212" s="15"/>
      <c r="N212" s="15"/>
      <c r="O212" s="15"/>
      <c r="P212" s="15"/>
      <c r="Q212" s="15"/>
      <c r="R212" s="15"/>
      <c r="S212" s="15"/>
      <c r="T212" s="15"/>
      <c r="U212" s="74"/>
      <c r="V212" s="74"/>
      <c r="W212" s="74"/>
      <c r="X212" s="74"/>
      <c r="Y212" s="74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229"/>
      <c r="K213" s="229"/>
      <c r="L213" s="229"/>
      <c r="M213" s="15"/>
      <c r="N213" s="15"/>
      <c r="O213" s="15"/>
      <c r="P213" s="15"/>
      <c r="Q213" s="15"/>
      <c r="R213" s="15"/>
      <c r="S213" s="15"/>
      <c r="T213" s="15"/>
      <c r="U213" s="74"/>
      <c r="V213" s="74"/>
      <c r="W213" s="74"/>
      <c r="X213" s="74"/>
      <c r="Y213" s="74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229"/>
      <c r="K214" s="229"/>
      <c r="L214" s="229"/>
      <c r="M214" s="15"/>
      <c r="N214" s="15"/>
      <c r="O214" s="15"/>
      <c r="P214" s="15"/>
      <c r="Q214" s="15"/>
      <c r="R214" s="15"/>
      <c r="S214" s="15"/>
      <c r="T214" s="15"/>
      <c r="U214" s="74"/>
      <c r="V214" s="74"/>
      <c r="W214" s="74"/>
      <c r="X214" s="74"/>
      <c r="Y214" s="74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229"/>
      <c r="K215" s="229"/>
      <c r="L215" s="229"/>
      <c r="M215" s="15"/>
      <c r="N215" s="15"/>
      <c r="O215" s="15"/>
      <c r="P215" s="15"/>
      <c r="Q215" s="15"/>
      <c r="R215" s="15"/>
      <c r="S215" s="15"/>
      <c r="T215" s="15"/>
      <c r="U215" s="74"/>
      <c r="V215" s="74"/>
      <c r="W215" s="74"/>
      <c r="X215" s="74"/>
      <c r="Y215" s="74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229"/>
      <c r="K216" s="229"/>
      <c r="L216" s="229"/>
      <c r="M216" s="15"/>
      <c r="N216" s="15"/>
      <c r="O216" s="15"/>
      <c r="P216" s="15"/>
      <c r="Q216" s="15"/>
      <c r="R216" s="15"/>
      <c r="S216" s="15"/>
      <c r="T216" s="15"/>
      <c r="U216" s="74"/>
      <c r="V216" s="74"/>
      <c r="W216" s="74"/>
      <c r="X216" s="74"/>
      <c r="Y216" s="74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229"/>
      <c r="K217" s="229"/>
      <c r="L217" s="229"/>
      <c r="M217" s="15"/>
      <c r="N217" s="15"/>
      <c r="O217" s="15"/>
      <c r="P217" s="15"/>
      <c r="Q217" s="15"/>
      <c r="R217" s="15"/>
      <c r="S217" s="15"/>
      <c r="T217" s="15"/>
      <c r="U217" s="74"/>
      <c r="V217" s="74"/>
      <c r="W217" s="74"/>
      <c r="X217" s="74"/>
      <c r="Y217" s="74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229"/>
      <c r="K218" s="229"/>
      <c r="L218" s="229"/>
      <c r="M218" s="15"/>
      <c r="N218" s="15"/>
      <c r="O218" s="15"/>
      <c r="P218" s="15"/>
      <c r="Q218" s="15"/>
      <c r="R218" s="15"/>
      <c r="S218" s="15"/>
      <c r="T218" s="15"/>
      <c r="U218" s="74"/>
      <c r="V218" s="74"/>
      <c r="W218" s="74"/>
      <c r="X218" s="74"/>
      <c r="Y218" s="74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229"/>
      <c r="K219" s="229"/>
      <c r="L219" s="229"/>
      <c r="M219" s="15"/>
      <c r="N219" s="15"/>
      <c r="O219" s="15"/>
      <c r="P219" s="15"/>
      <c r="Q219" s="15"/>
      <c r="R219" s="15"/>
      <c r="S219" s="15"/>
      <c r="T219" s="15"/>
      <c r="U219" s="74"/>
      <c r="V219" s="74"/>
      <c r="W219" s="74"/>
      <c r="X219" s="74"/>
      <c r="Y219" s="74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229"/>
      <c r="K220" s="229"/>
      <c r="L220" s="229"/>
      <c r="M220" s="15"/>
      <c r="N220" s="15"/>
      <c r="O220" s="15"/>
      <c r="P220" s="15"/>
      <c r="Q220" s="15"/>
      <c r="R220" s="15"/>
      <c r="S220" s="15"/>
      <c r="T220" s="15"/>
      <c r="U220" s="74"/>
      <c r="V220" s="74"/>
      <c r="W220" s="74"/>
      <c r="X220" s="74"/>
      <c r="Y220" s="74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229"/>
      <c r="K221" s="229"/>
      <c r="L221" s="229"/>
      <c r="M221" s="15"/>
      <c r="N221" s="15"/>
      <c r="O221" s="15"/>
      <c r="P221" s="15"/>
      <c r="Q221" s="15"/>
      <c r="R221" s="15"/>
      <c r="S221" s="15"/>
      <c r="T221" s="15"/>
      <c r="U221" s="74"/>
      <c r="V221" s="74"/>
      <c r="W221" s="74"/>
      <c r="X221" s="74"/>
      <c r="Y221" s="74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229"/>
      <c r="K222" s="229"/>
      <c r="L222" s="229"/>
      <c r="M222" s="15"/>
      <c r="N222" s="15"/>
      <c r="O222" s="15"/>
      <c r="P222" s="15"/>
      <c r="Q222" s="15"/>
      <c r="R222" s="15"/>
      <c r="S222" s="15"/>
      <c r="T222" s="15"/>
      <c r="U222" s="74"/>
      <c r="V222" s="74"/>
      <c r="W222" s="74"/>
      <c r="X222" s="74"/>
      <c r="Y222" s="74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229"/>
      <c r="K223" s="229"/>
      <c r="L223" s="229"/>
      <c r="M223" s="15"/>
      <c r="N223" s="15"/>
      <c r="O223" s="15"/>
      <c r="P223" s="15"/>
      <c r="Q223" s="15"/>
      <c r="R223" s="15"/>
      <c r="S223" s="15"/>
      <c r="T223" s="15"/>
      <c r="U223" s="74"/>
      <c r="V223" s="74"/>
      <c r="W223" s="74"/>
      <c r="X223" s="74"/>
      <c r="Y223" s="74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229"/>
      <c r="K224" s="229"/>
      <c r="L224" s="229"/>
      <c r="M224" s="15"/>
      <c r="N224" s="15"/>
      <c r="O224" s="15"/>
      <c r="P224" s="15"/>
      <c r="Q224" s="15"/>
      <c r="R224" s="15"/>
      <c r="S224" s="15"/>
      <c r="T224" s="15"/>
      <c r="U224" s="74"/>
      <c r="V224" s="74"/>
      <c r="W224" s="74"/>
      <c r="X224" s="74"/>
      <c r="Y224" s="74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229"/>
      <c r="K225" s="229"/>
      <c r="L225" s="229"/>
      <c r="M225" s="15"/>
      <c r="N225" s="15"/>
      <c r="O225" s="15"/>
      <c r="P225" s="15"/>
      <c r="Q225" s="15"/>
      <c r="R225" s="15"/>
      <c r="S225" s="15"/>
      <c r="T225" s="15"/>
      <c r="U225" s="74"/>
      <c r="V225" s="74"/>
      <c r="W225" s="74"/>
      <c r="X225" s="74"/>
      <c r="Y225" s="74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229"/>
      <c r="K226" s="229"/>
      <c r="L226" s="229"/>
      <c r="M226" s="15"/>
      <c r="N226" s="15"/>
      <c r="O226" s="15"/>
      <c r="P226" s="15"/>
      <c r="Q226" s="15"/>
      <c r="R226" s="15"/>
      <c r="S226" s="15"/>
      <c r="T226" s="15"/>
      <c r="U226" s="74"/>
      <c r="V226" s="74"/>
      <c r="W226" s="74"/>
      <c r="X226" s="74"/>
      <c r="Y226" s="74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229"/>
      <c r="K227" s="229"/>
      <c r="L227" s="229"/>
      <c r="M227" s="15"/>
      <c r="N227" s="15"/>
      <c r="O227" s="15"/>
      <c r="P227" s="15"/>
      <c r="Q227" s="15"/>
      <c r="R227" s="15"/>
      <c r="S227" s="15"/>
      <c r="T227" s="15"/>
      <c r="U227" s="74"/>
      <c r="V227" s="74"/>
      <c r="W227" s="74"/>
      <c r="X227" s="74"/>
      <c r="Y227" s="74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229"/>
      <c r="K228" s="229"/>
      <c r="L228" s="229"/>
      <c r="M228" s="15"/>
      <c r="N228" s="15"/>
      <c r="O228" s="15"/>
      <c r="P228" s="15"/>
      <c r="Q228" s="15"/>
      <c r="R228" s="15"/>
      <c r="S228" s="15"/>
      <c r="T228" s="15"/>
      <c r="U228" s="74"/>
      <c r="V228" s="74"/>
      <c r="W228" s="74"/>
      <c r="X228" s="74"/>
      <c r="Y228" s="74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229"/>
      <c r="K229" s="229"/>
      <c r="L229" s="229"/>
      <c r="M229" s="15"/>
      <c r="N229" s="15"/>
      <c r="O229" s="15"/>
      <c r="P229" s="15"/>
      <c r="Q229" s="15"/>
      <c r="R229" s="15"/>
      <c r="S229" s="15"/>
      <c r="T229" s="15"/>
      <c r="U229" s="74"/>
      <c r="V229" s="74"/>
      <c r="W229" s="74"/>
      <c r="X229" s="74"/>
      <c r="Y229" s="74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229"/>
      <c r="K230" s="229"/>
      <c r="L230" s="229"/>
      <c r="M230" s="15"/>
      <c r="N230" s="15"/>
      <c r="O230" s="15"/>
      <c r="P230" s="15"/>
      <c r="Q230" s="15"/>
      <c r="R230" s="15"/>
      <c r="S230" s="15"/>
      <c r="T230" s="15"/>
      <c r="U230" s="74"/>
      <c r="V230" s="74"/>
      <c r="W230" s="74"/>
      <c r="X230" s="74"/>
      <c r="Y230" s="74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229"/>
      <c r="K231" s="229"/>
      <c r="L231" s="229"/>
      <c r="M231" s="15"/>
      <c r="N231" s="15"/>
      <c r="O231" s="15"/>
      <c r="P231" s="15"/>
      <c r="Q231" s="15"/>
      <c r="R231" s="15"/>
      <c r="S231" s="15"/>
      <c r="T231" s="15"/>
      <c r="U231" s="74"/>
      <c r="V231" s="74"/>
      <c r="W231" s="74"/>
      <c r="X231" s="74"/>
      <c r="Y231" s="74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229"/>
      <c r="K232" s="229"/>
      <c r="L232" s="229"/>
      <c r="M232" s="15"/>
      <c r="N232" s="15"/>
      <c r="O232" s="15"/>
      <c r="P232" s="15"/>
      <c r="Q232" s="15"/>
      <c r="R232" s="15"/>
      <c r="S232" s="15"/>
      <c r="T232" s="15"/>
      <c r="U232" s="74"/>
      <c r="V232" s="74"/>
      <c r="W232" s="74"/>
      <c r="X232" s="74"/>
      <c r="Y232" s="74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229"/>
      <c r="K233" s="229"/>
      <c r="L233" s="229"/>
      <c r="M233" s="15"/>
      <c r="N233" s="15"/>
      <c r="O233" s="15"/>
      <c r="P233" s="15"/>
      <c r="Q233" s="15"/>
      <c r="R233" s="15"/>
      <c r="S233" s="15"/>
      <c r="T233" s="15"/>
      <c r="U233" s="74"/>
      <c r="V233" s="74"/>
      <c r="W233" s="74"/>
      <c r="X233" s="74"/>
      <c r="Y233" s="74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229"/>
      <c r="K234" s="229"/>
      <c r="L234" s="229"/>
      <c r="M234" s="15"/>
      <c r="N234" s="15"/>
      <c r="O234" s="15"/>
      <c r="P234" s="15"/>
      <c r="Q234" s="15"/>
      <c r="R234" s="15"/>
      <c r="S234" s="15"/>
      <c r="T234" s="15"/>
      <c r="U234" s="74"/>
      <c r="V234" s="74"/>
      <c r="W234" s="74"/>
      <c r="X234" s="74"/>
      <c r="Y234" s="74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229"/>
      <c r="K235" s="229"/>
      <c r="L235" s="229"/>
      <c r="M235" s="15"/>
      <c r="N235" s="15"/>
      <c r="O235" s="15"/>
      <c r="P235" s="15"/>
      <c r="Q235" s="15"/>
      <c r="R235" s="15"/>
      <c r="S235" s="15"/>
      <c r="T235" s="15"/>
      <c r="U235" s="74"/>
      <c r="V235" s="74"/>
      <c r="W235" s="74"/>
      <c r="X235" s="74"/>
      <c r="Y235" s="74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229"/>
      <c r="K236" s="229"/>
      <c r="L236" s="229"/>
      <c r="M236" s="15"/>
      <c r="N236" s="15"/>
      <c r="O236" s="15"/>
      <c r="P236" s="15"/>
      <c r="Q236" s="15"/>
      <c r="R236" s="15"/>
      <c r="S236" s="15"/>
      <c r="T236" s="15"/>
      <c r="U236" s="74"/>
      <c r="V236" s="74"/>
      <c r="W236" s="74"/>
      <c r="X236" s="74"/>
      <c r="Y236" s="74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229"/>
      <c r="K237" s="229"/>
      <c r="L237" s="229"/>
      <c r="M237" s="15"/>
      <c r="N237" s="15"/>
      <c r="O237" s="15"/>
      <c r="P237" s="15"/>
      <c r="Q237" s="15"/>
      <c r="R237" s="15"/>
      <c r="S237" s="15"/>
      <c r="T237" s="15"/>
      <c r="U237" s="74"/>
      <c r="V237" s="74"/>
      <c r="W237" s="74"/>
      <c r="X237" s="74"/>
      <c r="Y237" s="74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229"/>
      <c r="K238" s="229"/>
      <c r="L238" s="229"/>
      <c r="M238" s="15"/>
      <c r="N238" s="15"/>
      <c r="O238" s="15"/>
      <c r="P238" s="15"/>
      <c r="Q238" s="15"/>
      <c r="R238" s="15"/>
      <c r="S238" s="15"/>
      <c r="T238" s="15"/>
      <c r="U238" s="74"/>
      <c r="V238" s="74"/>
      <c r="W238" s="74"/>
      <c r="X238" s="74"/>
      <c r="Y238" s="74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229"/>
      <c r="K239" s="229"/>
      <c r="L239" s="229"/>
      <c r="M239" s="15"/>
      <c r="N239" s="15"/>
      <c r="O239" s="15"/>
      <c r="P239" s="15"/>
      <c r="Q239" s="15"/>
      <c r="R239" s="15"/>
      <c r="S239" s="15"/>
      <c r="T239" s="15"/>
      <c r="U239" s="74"/>
      <c r="V239" s="74"/>
      <c r="W239" s="74"/>
      <c r="X239" s="74"/>
      <c r="Y239" s="74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229"/>
      <c r="K240" s="229"/>
      <c r="L240" s="229"/>
      <c r="M240" s="15"/>
      <c r="N240" s="15"/>
      <c r="O240" s="15"/>
      <c r="P240" s="15"/>
      <c r="Q240" s="15"/>
      <c r="R240" s="15"/>
      <c r="S240" s="15"/>
      <c r="T240" s="15"/>
      <c r="U240" s="74"/>
      <c r="V240" s="74"/>
      <c r="W240" s="74"/>
      <c r="X240" s="74"/>
      <c r="Y240" s="74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229"/>
      <c r="K241" s="229"/>
      <c r="L241" s="229"/>
      <c r="M241" s="15"/>
      <c r="N241" s="15"/>
      <c r="O241" s="15"/>
      <c r="P241" s="15"/>
      <c r="Q241" s="15"/>
      <c r="R241" s="15"/>
      <c r="S241" s="15"/>
      <c r="T241" s="15"/>
      <c r="U241" s="74"/>
      <c r="V241" s="74"/>
      <c r="W241" s="74"/>
      <c r="X241" s="74"/>
      <c r="Y241" s="74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229"/>
      <c r="K242" s="229"/>
      <c r="L242" s="229"/>
      <c r="M242" s="15"/>
      <c r="N242" s="15"/>
      <c r="O242" s="15"/>
      <c r="P242" s="15"/>
      <c r="Q242" s="15"/>
      <c r="R242" s="15"/>
      <c r="S242" s="15"/>
      <c r="T242" s="15"/>
      <c r="U242" s="74"/>
      <c r="V242" s="74"/>
      <c r="W242" s="74"/>
      <c r="X242" s="74"/>
      <c r="Y242" s="74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229"/>
      <c r="K243" s="229"/>
      <c r="L243" s="229"/>
      <c r="M243" s="15"/>
      <c r="N243" s="15"/>
      <c r="O243" s="15"/>
      <c r="P243" s="15"/>
      <c r="Q243" s="15"/>
      <c r="R243" s="15"/>
      <c r="S243" s="15"/>
      <c r="T243" s="15"/>
      <c r="U243" s="74"/>
      <c r="V243" s="74"/>
      <c r="W243" s="74"/>
      <c r="X243" s="74"/>
      <c r="Y243" s="74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229"/>
      <c r="K244" s="229"/>
      <c r="L244" s="229"/>
      <c r="M244" s="15"/>
      <c r="N244" s="15"/>
      <c r="O244" s="15"/>
      <c r="P244" s="15"/>
      <c r="Q244" s="15"/>
      <c r="R244" s="15"/>
      <c r="S244" s="15"/>
      <c r="T244" s="15"/>
      <c r="U244" s="74"/>
      <c r="V244" s="74"/>
      <c r="W244" s="74"/>
      <c r="X244" s="74"/>
      <c r="Y244" s="74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229"/>
      <c r="K245" s="229"/>
      <c r="L245" s="229"/>
      <c r="M245" s="15"/>
      <c r="N245" s="15"/>
      <c r="O245" s="15"/>
      <c r="P245" s="15"/>
      <c r="Q245" s="15"/>
      <c r="R245" s="15"/>
      <c r="S245" s="15"/>
      <c r="T245" s="15"/>
      <c r="U245" s="74"/>
      <c r="V245" s="74"/>
      <c r="W245" s="74"/>
      <c r="X245" s="74"/>
      <c r="Y245" s="74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229"/>
      <c r="K246" s="229"/>
      <c r="L246" s="229"/>
      <c r="M246" s="15"/>
      <c r="N246" s="15"/>
      <c r="O246" s="15"/>
      <c r="P246" s="15"/>
      <c r="Q246" s="15"/>
      <c r="R246" s="15"/>
      <c r="S246" s="15"/>
      <c r="T246" s="15"/>
      <c r="U246" s="74"/>
      <c r="V246" s="74"/>
      <c r="W246" s="74"/>
      <c r="X246" s="74"/>
      <c r="Y246" s="74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229"/>
      <c r="K247" s="229"/>
      <c r="L247" s="229"/>
      <c r="M247" s="15"/>
      <c r="N247" s="15"/>
      <c r="O247" s="15"/>
      <c r="P247" s="15"/>
      <c r="Q247" s="15"/>
      <c r="R247" s="15"/>
      <c r="S247" s="15"/>
      <c r="T247" s="15"/>
      <c r="U247" s="74"/>
      <c r="V247" s="74"/>
      <c r="W247" s="74"/>
      <c r="X247" s="74"/>
      <c r="Y247" s="74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229"/>
      <c r="K248" s="229"/>
      <c r="L248" s="229"/>
      <c r="M248" s="15"/>
      <c r="N248" s="15"/>
      <c r="O248" s="15"/>
      <c r="P248" s="15"/>
      <c r="Q248" s="15"/>
      <c r="R248" s="15"/>
      <c r="S248" s="15"/>
      <c r="T248" s="15"/>
      <c r="U248" s="74"/>
      <c r="V248" s="74"/>
      <c r="W248" s="74"/>
      <c r="X248" s="74"/>
      <c r="Y248" s="74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229"/>
      <c r="K249" s="229"/>
      <c r="L249" s="229"/>
      <c r="M249" s="15"/>
      <c r="N249" s="15"/>
      <c r="O249" s="15"/>
      <c r="P249" s="15"/>
      <c r="Q249" s="15"/>
      <c r="R249" s="15"/>
      <c r="S249" s="15"/>
      <c r="T249" s="15"/>
      <c r="U249" s="74"/>
      <c r="V249" s="74"/>
      <c r="W249" s="74"/>
      <c r="X249" s="74"/>
      <c r="Y249" s="74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229"/>
      <c r="K250" s="229"/>
      <c r="L250" s="229"/>
      <c r="M250" s="15"/>
      <c r="N250" s="15"/>
      <c r="O250" s="15"/>
      <c r="P250" s="15"/>
      <c r="Q250" s="15"/>
      <c r="R250" s="15"/>
      <c r="S250" s="15"/>
      <c r="T250" s="15"/>
      <c r="U250" s="74"/>
      <c r="V250" s="74"/>
      <c r="W250" s="74"/>
      <c r="X250" s="74"/>
      <c r="Y250" s="74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229"/>
      <c r="K251" s="229"/>
      <c r="L251" s="229"/>
      <c r="M251" s="15"/>
      <c r="N251" s="15"/>
      <c r="O251" s="15"/>
      <c r="P251" s="15"/>
      <c r="Q251" s="15"/>
      <c r="R251" s="15"/>
      <c r="S251" s="15"/>
      <c r="T251" s="15"/>
      <c r="U251" s="74"/>
      <c r="V251" s="74"/>
      <c r="W251" s="74"/>
      <c r="X251" s="74"/>
      <c r="Y251" s="74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229"/>
      <c r="K252" s="229"/>
      <c r="L252" s="229"/>
      <c r="M252" s="15"/>
      <c r="N252" s="15"/>
      <c r="O252" s="15"/>
      <c r="P252" s="15"/>
      <c r="Q252" s="15"/>
      <c r="R252" s="15"/>
      <c r="S252" s="15"/>
      <c r="T252" s="15"/>
      <c r="U252" s="74"/>
      <c r="V252" s="74"/>
      <c r="W252" s="74"/>
      <c r="X252" s="74"/>
      <c r="Y252" s="74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229"/>
      <c r="K253" s="229"/>
      <c r="L253" s="229"/>
      <c r="M253" s="15"/>
      <c r="N253" s="15"/>
      <c r="O253" s="15"/>
      <c r="P253" s="15"/>
      <c r="Q253" s="15"/>
      <c r="R253" s="15"/>
      <c r="S253" s="15"/>
      <c r="T253" s="15"/>
      <c r="U253" s="74"/>
      <c r="V253" s="74"/>
      <c r="W253" s="74"/>
      <c r="X253" s="74"/>
      <c r="Y253" s="74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229"/>
      <c r="K254" s="229"/>
      <c r="L254" s="229"/>
      <c r="M254" s="15"/>
      <c r="N254" s="15"/>
      <c r="O254" s="15"/>
      <c r="P254" s="15"/>
      <c r="Q254" s="15"/>
      <c r="R254" s="15"/>
      <c r="S254" s="15"/>
      <c r="T254" s="15"/>
      <c r="U254" s="74"/>
      <c r="V254" s="74"/>
      <c r="W254" s="74"/>
      <c r="X254" s="74"/>
      <c r="Y254" s="74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229"/>
      <c r="K255" s="229"/>
      <c r="L255" s="229"/>
      <c r="M255" s="15"/>
      <c r="N255" s="15"/>
      <c r="O255" s="15"/>
      <c r="P255" s="15"/>
      <c r="Q255" s="15"/>
      <c r="R255" s="15"/>
      <c r="S255" s="15"/>
      <c r="T255" s="15"/>
      <c r="U255" s="74"/>
      <c r="V255" s="74"/>
      <c r="W255" s="74"/>
      <c r="X255" s="74"/>
      <c r="Y255" s="74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229"/>
      <c r="K256" s="229"/>
      <c r="L256" s="229"/>
      <c r="M256" s="15"/>
      <c r="N256" s="15"/>
      <c r="O256" s="15"/>
      <c r="P256" s="15"/>
      <c r="Q256" s="15"/>
      <c r="R256" s="15"/>
      <c r="S256" s="15"/>
      <c r="T256" s="15"/>
      <c r="U256" s="74"/>
      <c r="V256" s="74"/>
      <c r="W256" s="74"/>
      <c r="X256" s="74"/>
      <c r="Y256" s="74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229"/>
      <c r="K257" s="229"/>
      <c r="L257" s="229"/>
      <c r="M257" s="15"/>
      <c r="N257" s="15"/>
      <c r="O257" s="15"/>
      <c r="P257" s="15"/>
      <c r="Q257" s="15"/>
      <c r="R257" s="15"/>
      <c r="S257" s="15"/>
      <c r="T257" s="15"/>
      <c r="U257" s="74"/>
      <c r="V257" s="74"/>
      <c r="W257" s="74"/>
      <c r="X257" s="74"/>
      <c r="Y257" s="74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229"/>
      <c r="K258" s="229"/>
      <c r="L258" s="229"/>
      <c r="M258" s="15"/>
      <c r="N258" s="15"/>
      <c r="O258" s="15"/>
      <c r="P258" s="15"/>
      <c r="Q258" s="15"/>
      <c r="R258" s="15"/>
      <c r="S258" s="15"/>
      <c r="T258" s="15"/>
      <c r="U258" s="74"/>
      <c r="V258" s="74"/>
      <c r="W258" s="74"/>
      <c r="X258" s="74"/>
      <c r="Y258" s="74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229"/>
      <c r="K259" s="229"/>
      <c r="L259" s="229"/>
      <c r="M259" s="15"/>
      <c r="N259" s="15"/>
      <c r="O259" s="15"/>
      <c r="P259" s="15"/>
      <c r="Q259" s="15"/>
      <c r="R259" s="15"/>
      <c r="S259" s="15"/>
      <c r="T259" s="15"/>
      <c r="U259" s="74"/>
      <c r="V259" s="74"/>
      <c r="W259" s="74"/>
      <c r="X259" s="74"/>
      <c r="Y259" s="74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229"/>
      <c r="K260" s="229"/>
      <c r="L260" s="229"/>
      <c r="M260" s="15"/>
      <c r="N260" s="15"/>
      <c r="O260" s="15"/>
      <c r="P260" s="15"/>
      <c r="Q260" s="15"/>
      <c r="R260" s="15"/>
      <c r="S260" s="15"/>
      <c r="T260" s="15"/>
      <c r="U260" s="74"/>
      <c r="V260" s="74"/>
      <c r="W260" s="74"/>
      <c r="X260" s="74"/>
      <c r="Y260" s="74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229"/>
      <c r="K261" s="229"/>
      <c r="L261" s="229"/>
      <c r="M261" s="15"/>
      <c r="N261" s="15"/>
      <c r="O261" s="15"/>
      <c r="P261" s="15"/>
      <c r="Q261" s="15"/>
      <c r="R261" s="15"/>
      <c r="S261" s="15"/>
      <c r="T261" s="15"/>
      <c r="U261" s="74"/>
      <c r="V261" s="74"/>
      <c r="W261" s="74"/>
      <c r="X261" s="74"/>
      <c r="Y261" s="74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229"/>
      <c r="K262" s="229"/>
      <c r="L262" s="229"/>
      <c r="M262" s="15"/>
      <c r="N262" s="15"/>
      <c r="O262" s="15"/>
      <c r="P262" s="15"/>
      <c r="Q262" s="15"/>
      <c r="R262" s="15"/>
      <c r="S262" s="15"/>
      <c r="T262" s="15"/>
      <c r="U262" s="74"/>
      <c r="V262" s="74"/>
      <c r="W262" s="74"/>
      <c r="X262" s="74"/>
      <c r="Y262" s="74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229"/>
      <c r="K263" s="229"/>
      <c r="L263" s="229"/>
      <c r="M263" s="15"/>
      <c r="N263" s="15"/>
      <c r="O263" s="15"/>
      <c r="P263" s="15"/>
      <c r="Q263" s="15"/>
      <c r="R263" s="15"/>
      <c r="S263" s="15"/>
      <c r="T263" s="15"/>
      <c r="U263" s="74"/>
      <c r="V263" s="74"/>
      <c r="W263" s="74"/>
      <c r="X263" s="74"/>
      <c r="Y263" s="74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229"/>
      <c r="K264" s="229"/>
      <c r="L264" s="229"/>
      <c r="M264" s="15"/>
      <c r="N264" s="15"/>
      <c r="O264" s="15"/>
      <c r="P264" s="15"/>
      <c r="Q264" s="15"/>
      <c r="R264" s="15"/>
      <c r="S264" s="15"/>
      <c r="T264" s="15"/>
      <c r="U264" s="74"/>
      <c r="V264" s="74"/>
      <c r="W264" s="74"/>
      <c r="X264" s="74"/>
      <c r="Y264" s="74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229"/>
      <c r="K265" s="229"/>
      <c r="L265" s="229"/>
      <c r="M265" s="15"/>
      <c r="N265" s="15"/>
      <c r="O265" s="15"/>
      <c r="P265" s="15"/>
      <c r="Q265" s="15"/>
      <c r="R265" s="15"/>
      <c r="S265" s="15"/>
      <c r="T265" s="15"/>
      <c r="U265" s="74"/>
      <c r="V265" s="74"/>
      <c r="W265" s="74"/>
      <c r="X265" s="74"/>
      <c r="Y265" s="74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229"/>
      <c r="K266" s="229"/>
      <c r="L266" s="229"/>
      <c r="M266" s="15"/>
      <c r="N266" s="15"/>
      <c r="O266" s="15"/>
      <c r="P266" s="15"/>
      <c r="Q266" s="15"/>
      <c r="R266" s="15"/>
      <c r="S266" s="15"/>
      <c r="T266" s="15"/>
      <c r="U266" s="74"/>
      <c r="V266" s="74"/>
      <c r="W266" s="74"/>
      <c r="X266" s="74"/>
      <c r="Y266" s="74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229"/>
      <c r="K267" s="229"/>
      <c r="L267" s="229"/>
      <c r="M267" s="15"/>
      <c r="N267" s="15"/>
      <c r="O267" s="15"/>
      <c r="P267" s="15"/>
      <c r="Q267" s="15"/>
      <c r="R267" s="15"/>
      <c r="S267" s="15"/>
      <c r="T267" s="15"/>
      <c r="U267" s="74"/>
      <c r="V267" s="74"/>
      <c r="W267" s="74"/>
      <c r="X267" s="74"/>
      <c r="Y267" s="74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229"/>
      <c r="K268" s="229"/>
      <c r="L268" s="229"/>
      <c r="M268" s="15"/>
      <c r="N268" s="15"/>
      <c r="O268" s="15"/>
      <c r="P268" s="15"/>
      <c r="Q268" s="15"/>
      <c r="R268" s="15"/>
      <c r="S268" s="15"/>
      <c r="T268" s="15"/>
      <c r="U268" s="74"/>
      <c r="V268" s="74"/>
      <c r="W268" s="74"/>
      <c r="X268" s="74"/>
      <c r="Y268" s="74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229"/>
      <c r="K269" s="229"/>
      <c r="L269" s="229"/>
      <c r="M269" s="15"/>
      <c r="N269" s="15"/>
      <c r="O269" s="15"/>
      <c r="P269" s="15"/>
      <c r="Q269" s="15"/>
      <c r="R269" s="15"/>
      <c r="S269" s="15"/>
      <c r="T269" s="15"/>
      <c r="U269" s="74"/>
      <c r="V269" s="74"/>
      <c r="W269" s="74"/>
      <c r="X269" s="74"/>
      <c r="Y269" s="74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229"/>
      <c r="K270" s="229"/>
      <c r="L270" s="229"/>
      <c r="M270" s="15"/>
      <c r="N270" s="15"/>
      <c r="O270" s="15"/>
      <c r="P270" s="15"/>
      <c r="Q270" s="15"/>
      <c r="R270" s="15"/>
      <c r="S270" s="15"/>
      <c r="T270" s="15"/>
      <c r="U270" s="74"/>
      <c r="V270" s="74"/>
      <c r="W270" s="74"/>
      <c r="X270" s="74"/>
      <c r="Y270" s="74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229"/>
      <c r="K271" s="229"/>
      <c r="L271" s="229"/>
      <c r="M271" s="15"/>
      <c r="N271" s="15"/>
      <c r="O271" s="15"/>
      <c r="P271" s="15"/>
      <c r="Q271" s="15"/>
      <c r="R271" s="15"/>
      <c r="S271" s="15"/>
      <c r="T271" s="15"/>
      <c r="U271" s="74"/>
      <c r="V271" s="74"/>
      <c r="W271" s="74"/>
      <c r="X271" s="74"/>
      <c r="Y271" s="74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229"/>
      <c r="K272" s="229"/>
      <c r="L272" s="229"/>
      <c r="M272" s="15"/>
      <c r="N272" s="15"/>
      <c r="O272" s="15"/>
      <c r="P272" s="15"/>
      <c r="Q272" s="15"/>
      <c r="R272" s="15"/>
      <c r="S272" s="15"/>
      <c r="T272" s="15"/>
      <c r="U272" s="74"/>
      <c r="V272" s="74"/>
      <c r="W272" s="74"/>
      <c r="X272" s="74"/>
      <c r="Y272" s="74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229"/>
      <c r="K273" s="229"/>
      <c r="L273" s="229"/>
      <c r="M273" s="15"/>
      <c r="N273" s="15"/>
      <c r="O273" s="15"/>
      <c r="P273" s="15"/>
      <c r="Q273" s="15"/>
      <c r="R273" s="15"/>
      <c r="S273" s="15"/>
      <c r="T273" s="15"/>
      <c r="U273" s="74"/>
      <c r="V273" s="74"/>
      <c r="W273" s="74"/>
      <c r="X273" s="74"/>
      <c r="Y273" s="74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229"/>
      <c r="K274" s="229"/>
      <c r="L274" s="229"/>
      <c r="M274" s="15"/>
      <c r="N274" s="15"/>
      <c r="O274" s="15"/>
      <c r="P274" s="15"/>
      <c r="Q274" s="15"/>
      <c r="R274" s="15"/>
      <c r="S274" s="15"/>
      <c r="T274" s="15"/>
      <c r="U274" s="74"/>
      <c r="V274" s="74"/>
      <c r="W274" s="74"/>
      <c r="X274" s="74"/>
      <c r="Y274" s="74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229"/>
      <c r="K275" s="229"/>
      <c r="L275" s="229"/>
      <c r="M275" s="15"/>
      <c r="N275" s="15"/>
      <c r="O275" s="15"/>
      <c r="P275" s="15"/>
      <c r="Q275" s="15"/>
      <c r="R275" s="15"/>
      <c r="S275" s="15"/>
      <c r="T275" s="15"/>
      <c r="U275" s="74"/>
      <c r="V275" s="74"/>
      <c r="W275" s="74"/>
      <c r="X275" s="74"/>
      <c r="Y275" s="74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229"/>
      <c r="K276" s="229"/>
      <c r="L276" s="229"/>
      <c r="M276" s="15"/>
      <c r="N276" s="15"/>
      <c r="O276" s="15"/>
      <c r="P276" s="15"/>
      <c r="Q276" s="15"/>
      <c r="R276" s="15"/>
      <c r="S276" s="15"/>
      <c r="T276" s="15"/>
      <c r="U276" s="74"/>
      <c r="V276" s="74"/>
      <c r="W276" s="74"/>
      <c r="X276" s="74"/>
      <c r="Y276" s="74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229"/>
      <c r="K277" s="229"/>
      <c r="L277" s="229"/>
      <c r="M277" s="15"/>
      <c r="N277" s="15"/>
      <c r="O277" s="15"/>
      <c r="P277" s="15"/>
      <c r="Q277" s="15"/>
      <c r="R277" s="15"/>
      <c r="S277" s="15"/>
      <c r="T277" s="15"/>
      <c r="U277" s="74"/>
      <c r="V277" s="74"/>
      <c r="W277" s="74"/>
      <c r="X277" s="74"/>
      <c r="Y277" s="74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229"/>
      <c r="K278" s="229"/>
      <c r="L278" s="229"/>
      <c r="M278" s="15"/>
      <c r="N278" s="15"/>
      <c r="O278" s="15"/>
      <c r="P278" s="15"/>
      <c r="Q278" s="15"/>
      <c r="R278" s="15"/>
      <c r="S278" s="15"/>
      <c r="T278" s="15"/>
      <c r="U278" s="74"/>
      <c r="V278" s="74"/>
      <c r="W278" s="74"/>
      <c r="X278" s="74"/>
      <c r="Y278" s="74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229"/>
      <c r="K279" s="229"/>
      <c r="L279" s="229"/>
      <c r="M279" s="15"/>
      <c r="N279" s="15"/>
      <c r="O279" s="15"/>
      <c r="P279" s="15"/>
      <c r="Q279" s="15"/>
      <c r="R279" s="15"/>
      <c r="S279" s="15"/>
      <c r="T279" s="15"/>
      <c r="U279" s="74"/>
      <c r="V279" s="74"/>
      <c r="W279" s="74"/>
      <c r="X279" s="74"/>
      <c r="Y279" s="74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229"/>
      <c r="K280" s="229"/>
      <c r="L280" s="229"/>
      <c r="M280" s="15"/>
      <c r="N280" s="15"/>
      <c r="O280" s="15"/>
      <c r="P280" s="15"/>
      <c r="Q280" s="15"/>
      <c r="R280" s="15"/>
      <c r="S280" s="15"/>
      <c r="T280" s="15"/>
      <c r="U280" s="74"/>
      <c r="V280" s="74"/>
      <c r="W280" s="74"/>
      <c r="X280" s="74"/>
      <c r="Y280" s="74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229"/>
      <c r="K281" s="229"/>
      <c r="L281" s="229"/>
      <c r="M281" s="15"/>
      <c r="N281" s="15"/>
      <c r="O281" s="15"/>
      <c r="P281" s="15"/>
      <c r="Q281" s="15"/>
      <c r="R281" s="15"/>
      <c r="S281" s="15"/>
      <c r="T281" s="15"/>
      <c r="U281" s="74"/>
      <c r="V281" s="74"/>
      <c r="W281" s="74"/>
      <c r="X281" s="74"/>
      <c r="Y281" s="74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229"/>
      <c r="K282" s="229"/>
      <c r="L282" s="229"/>
      <c r="M282" s="15"/>
      <c r="N282" s="15"/>
      <c r="O282" s="15"/>
      <c r="P282" s="15"/>
      <c r="Q282" s="15"/>
      <c r="R282" s="15"/>
      <c r="S282" s="15"/>
      <c r="T282" s="15"/>
      <c r="U282" s="74"/>
      <c r="V282" s="74"/>
      <c r="W282" s="74"/>
      <c r="X282" s="74"/>
      <c r="Y282" s="74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229"/>
      <c r="K283" s="229"/>
      <c r="L283" s="229"/>
      <c r="M283" s="15"/>
      <c r="N283" s="15"/>
      <c r="O283" s="15"/>
      <c r="P283" s="15"/>
      <c r="Q283" s="15"/>
      <c r="R283" s="15"/>
      <c r="S283" s="15"/>
      <c r="T283" s="15"/>
      <c r="U283" s="74"/>
      <c r="V283" s="74"/>
      <c r="W283" s="74"/>
      <c r="X283" s="74"/>
      <c r="Y283" s="74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229"/>
      <c r="K284" s="229"/>
      <c r="L284" s="229"/>
      <c r="M284" s="15"/>
      <c r="N284" s="15"/>
      <c r="O284" s="15"/>
      <c r="P284" s="15"/>
      <c r="Q284" s="15"/>
      <c r="R284" s="15"/>
      <c r="S284" s="15"/>
      <c r="T284" s="15"/>
      <c r="U284" s="74"/>
      <c r="V284" s="74"/>
      <c r="W284" s="74"/>
      <c r="X284" s="74"/>
      <c r="Y284" s="74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229"/>
      <c r="K285" s="229"/>
      <c r="L285" s="229"/>
      <c r="M285" s="15"/>
      <c r="N285" s="15"/>
      <c r="O285" s="15"/>
      <c r="P285" s="15"/>
      <c r="Q285" s="15"/>
      <c r="R285" s="15"/>
      <c r="S285" s="15"/>
      <c r="T285" s="15"/>
      <c r="U285" s="74"/>
      <c r="V285" s="74"/>
      <c r="W285" s="74"/>
      <c r="X285" s="74"/>
      <c r="Y285" s="74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229"/>
      <c r="K286" s="229"/>
      <c r="L286" s="229"/>
      <c r="M286" s="15"/>
      <c r="N286" s="15"/>
      <c r="O286" s="15"/>
      <c r="P286" s="15"/>
      <c r="Q286" s="15"/>
      <c r="R286" s="15"/>
      <c r="S286" s="15"/>
      <c r="T286" s="15"/>
      <c r="U286" s="74"/>
      <c r="V286" s="74"/>
      <c r="W286" s="74"/>
      <c r="X286" s="74"/>
      <c r="Y286" s="74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229"/>
      <c r="K287" s="229"/>
      <c r="L287" s="229"/>
      <c r="M287" s="15"/>
      <c r="N287" s="15"/>
      <c r="O287" s="15"/>
      <c r="P287" s="15"/>
      <c r="Q287" s="15"/>
      <c r="R287" s="15"/>
      <c r="S287" s="15"/>
      <c r="T287" s="15"/>
      <c r="U287" s="74"/>
      <c r="V287" s="74"/>
      <c r="W287" s="74"/>
      <c r="X287" s="74"/>
      <c r="Y287" s="74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229"/>
      <c r="K288" s="229"/>
      <c r="L288" s="229"/>
      <c r="M288" s="15"/>
      <c r="N288" s="15"/>
      <c r="O288" s="15"/>
      <c r="P288" s="15"/>
      <c r="Q288" s="15"/>
      <c r="R288" s="15"/>
      <c r="S288" s="15"/>
      <c r="T288" s="15"/>
      <c r="U288" s="74"/>
      <c r="V288" s="74"/>
      <c r="W288" s="74"/>
      <c r="X288" s="74"/>
      <c r="Y288" s="74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229"/>
      <c r="K289" s="229"/>
      <c r="L289" s="229"/>
      <c r="M289" s="15"/>
      <c r="N289" s="15"/>
      <c r="O289" s="15"/>
      <c r="P289" s="15"/>
      <c r="Q289" s="15"/>
      <c r="R289" s="15"/>
      <c r="S289" s="15"/>
      <c r="T289" s="15"/>
      <c r="U289" s="74"/>
      <c r="V289" s="74"/>
      <c r="W289" s="74"/>
      <c r="X289" s="74"/>
      <c r="Y289" s="74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229"/>
      <c r="K290" s="229"/>
      <c r="L290" s="229"/>
      <c r="M290" s="15"/>
      <c r="N290" s="15"/>
      <c r="O290" s="15"/>
      <c r="P290" s="15"/>
      <c r="Q290" s="15"/>
      <c r="R290" s="15"/>
      <c r="S290" s="15"/>
      <c r="T290" s="15"/>
      <c r="U290" s="74"/>
      <c r="V290" s="74"/>
      <c r="W290" s="74"/>
      <c r="X290" s="74"/>
      <c r="Y290" s="74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229"/>
      <c r="K291" s="229"/>
      <c r="L291" s="229"/>
      <c r="M291" s="15"/>
      <c r="N291" s="15"/>
      <c r="O291" s="15"/>
      <c r="P291" s="15"/>
      <c r="Q291" s="15"/>
      <c r="R291" s="15"/>
      <c r="S291" s="15"/>
      <c r="T291" s="15"/>
      <c r="U291" s="74"/>
      <c r="V291" s="74"/>
      <c r="W291" s="74"/>
      <c r="X291" s="74"/>
      <c r="Y291" s="74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229"/>
      <c r="K292" s="229"/>
      <c r="L292" s="229"/>
      <c r="M292" s="15"/>
      <c r="N292" s="15"/>
      <c r="O292" s="15"/>
      <c r="P292" s="15"/>
      <c r="Q292" s="15"/>
      <c r="R292" s="15"/>
      <c r="S292" s="15"/>
      <c r="T292" s="15"/>
      <c r="U292" s="74"/>
      <c r="V292" s="74"/>
      <c r="W292" s="74"/>
      <c r="X292" s="74"/>
      <c r="Y292" s="74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229"/>
      <c r="K293" s="229"/>
      <c r="L293" s="229"/>
      <c r="M293" s="15"/>
      <c r="N293" s="15"/>
      <c r="O293" s="15"/>
      <c r="P293" s="15"/>
      <c r="Q293" s="15"/>
      <c r="R293" s="15"/>
      <c r="S293" s="15"/>
      <c r="T293" s="15"/>
      <c r="U293" s="74"/>
      <c r="V293" s="74"/>
      <c r="W293" s="74"/>
      <c r="X293" s="74"/>
      <c r="Y293" s="74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229"/>
      <c r="K294" s="229"/>
      <c r="L294" s="229"/>
      <c r="M294" s="15"/>
      <c r="N294" s="15"/>
      <c r="O294" s="15"/>
      <c r="P294" s="15"/>
      <c r="Q294" s="15"/>
      <c r="R294" s="15"/>
      <c r="S294" s="15"/>
      <c r="T294" s="15"/>
      <c r="U294" s="74"/>
      <c r="V294" s="74"/>
      <c r="W294" s="74"/>
      <c r="X294" s="74"/>
      <c r="Y294" s="74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229"/>
      <c r="K295" s="229"/>
      <c r="L295" s="229"/>
      <c r="M295" s="15"/>
      <c r="N295" s="15"/>
      <c r="O295" s="15"/>
      <c r="P295" s="15"/>
      <c r="Q295" s="15"/>
      <c r="R295" s="15"/>
      <c r="S295" s="15"/>
      <c r="T295" s="15"/>
      <c r="U295" s="74"/>
      <c r="V295" s="74"/>
      <c r="W295" s="74"/>
      <c r="X295" s="74"/>
      <c r="Y295" s="74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229"/>
      <c r="K296" s="229"/>
      <c r="L296" s="229"/>
      <c r="M296" s="15"/>
      <c r="N296" s="15"/>
      <c r="O296" s="15"/>
      <c r="P296" s="15"/>
      <c r="Q296" s="15"/>
      <c r="R296" s="15"/>
      <c r="S296" s="15"/>
      <c r="T296" s="15"/>
      <c r="U296" s="74"/>
      <c r="V296" s="74"/>
      <c r="W296" s="74"/>
      <c r="X296" s="74"/>
      <c r="Y296" s="74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229"/>
      <c r="K297" s="229"/>
      <c r="L297" s="229"/>
      <c r="M297" s="15"/>
      <c r="N297" s="15"/>
      <c r="O297" s="15"/>
      <c r="P297" s="15"/>
      <c r="Q297" s="15"/>
      <c r="R297" s="15"/>
      <c r="S297" s="15"/>
      <c r="T297" s="15"/>
      <c r="U297" s="74"/>
      <c r="V297" s="74"/>
      <c r="W297" s="74"/>
      <c r="X297" s="74"/>
      <c r="Y297" s="74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229"/>
      <c r="K298" s="229"/>
      <c r="L298" s="229"/>
      <c r="M298" s="15"/>
      <c r="N298" s="15"/>
      <c r="O298" s="15"/>
      <c r="P298" s="15"/>
      <c r="Q298" s="15"/>
      <c r="R298" s="15"/>
      <c r="S298" s="15"/>
      <c r="T298" s="15"/>
      <c r="U298" s="74"/>
      <c r="V298" s="74"/>
      <c r="W298" s="74"/>
      <c r="X298" s="74"/>
      <c r="Y298" s="74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229"/>
      <c r="K299" s="229"/>
      <c r="L299" s="229"/>
      <c r="M299" s="15"/>
      <c r="N299" s="15"/>
      <c r="O299" s="15"/>
      <c r="P299" s="15"/>
      <c r="Q299" s="15"/>
      <c r="R299" s="15"/>
      <c r="S299" s="15"/>
      <c r="T299" s="15"/>
      <c r="U299" s="74"/>
      <c r="V299" s="74"/>
      <c r="W299" s="74"/>
      <c r="X299" s="74"/>
      <c r="Y299" s="74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229"/>
      <c r="K300" s="229"/>
      <c r="L300" s="229"/>
      <c r="M300" s="15"/>
      <c r="N300" s="15"/>
      <c r="O300" s="15"/>
      <c r="P300" s="15"/>
      <c r="Q300" s="15"/>
      <c r="R300" s="15"/>
      <c r="S300" s="15"/>
      <c r="T300" s="15"/>
      <c r="U300" s="74"/>
      <c r="V300" s="74"/>
      <c r="W300" s="74"/>
      <c r="X300" s="74"/>
      <c r="Y300" s="74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229"/>
      <c r="K301" s="229"/>
      <c r="L301" s="229"/>
      <c r="M301" s="15"/>
      <c r="N301" s="15"/>
      <c r="O301" s="15"/>
      <c r="P301" s="15"/>
      <c r="Q301" s="15"/>
      <c r="R301" s="15"/>
      <c r="S301" s="15"/>
      <c r="T301" s="15"/>
      <c r="U301" s="74"/>
      <c r="V301" s="74"/>
      <c r="W301" s="74"/>
      <c r="X301" s="74"/>
      <c r="Y301" s="74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229"/>
      <c r="K302" s="229"/>
      <c r="L302" s="229"/>
      <c r="M302" s="15"/>
      <c r="N302" s="15"/>
      <c r="O302" s="15"/>
      <c r="P302" s="15"/>
      <c r="Q302" s="15"/>
      <c r="R302" s="15"/>
      <c r="S302" s="15"/>
      <c r="T302" s="15"/>
      <c r="U302" s="74"/>
      <c r="V302" s="74"/>
      <c r="W302" s="74"/>
      <c r="X302" s="74"/>
      <c r="Y302" s="74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229"/>
      <c r="K303" s="229"/>
      <c r="L303" s="229"/>
      <c r="M303" s="15"/>
      <c r="N303" s="15"/>
      <c r="O303" s="15"/>
      <c r="P303" s="15"/>
      <c r="Q303" s="15"/>
      <c r="R303" s="15"/>
      <c r="S303" s="15"/>
      <c r="T303" s="15"/>
      <c r="U303" s="74"/>
      <c r="V303" s="74"/>
      <c r="W303" s="74"/>
      <c r="X303" s="74"/>
      <c r="Y303" s="74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229"/>
      <c r="K304" s="229"/>
      <c r="L304" s="229"/>
      <c r="M304" s="15"/>
      <c r="N304" s="15"/>
      <c r="O304" s="15"/>
      <c r="P304" s="15"/>
      <c r="Q304" s="15"/>
      <c r="R304" s="15"/>
      <c r="S304" s="15"/>
      <c r="T304" s="15"/>
      <c r="U304" s="74"/>
      <c r="V304" s="74"/>
      <c r="W304" s="74"/>
      <c r="X304" s="74"/>
      <c r="Y304" s="74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229"/>
      <c r="K305" s="229"/>
      <c r="L305" s="229"/>
      <c r="M305" s="15"/>
      <c r="N305" s="15"/>
      <c r="O305" s="15"/>
      <c r="P305" s="15"/>
      <c r="Q305" s="15"/>
      <c r="R305" s="15"/>
      <c r="S305" s="15"/>
      <c r="T305" s="15"/>
      <c r="U305" s="74"/>
      <c r="V305" s="74"/>
      <c r="W305" s="74"/>
      <c r="X305" s="74"/>
      <c r="Y305" s="74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229"/>
      <c r="K306" s="229"/>
      <c r="L306" s="229"/>
      <c r="M306" s="15"/>
      <c r="N306" s="15"/>
      <c r="O306" s="15"/>
      <c r="P306" s="15"/>
      <c r="Q306" s="15"/>
      <c r="R306" s="15"/>
      <c r="S306" s="15"/>
      <c r="T306" s="15"/>
      <c r="U306" s="74"/>
      <c r="V306" s="74"/>
      <c r="W306" s="74"/>
      <c r="X306" s="74"/>
      <c r="Y306" s="74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229"/>
      <c r="K307" s="229"/>
      <c r="L307" s="229"/>
      <c r="M307" s="15"/>
      <c r="N307" s="15"/>
      <c r="O307" s="15"/>
      <c r="P307" s="15"/>
      <c r="Q307" s="15"/>
      <c r="R307" s="15"/>
      <c r="S307" s="15"/>
      <c r="T307" s="15"/>
      <c r="U307" s="74"/>
      <c r="V307" s="74"/>
      <c r="W307" s="74"/>
      <c r="X307" s="74"/>
      <c r="Y307" s="74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229"/>
      <c r="K308" s="229"/>
      <c r="L308" s="229"/>
      <c r="M308" s="15"/>
      <c r="N308" s="15"/>
      <c r="O308" s="15"/>
      <c r="P308" s="15"/>
      <c r="Q308" s="15"/>
      <c r="R308" s="15"/>
      <c r="S308" s="15"/>
      <c r="T308" s="15"/>
      <c r="U308" s="74"/>
      <c r="V308" s="74"/>
      <c r="W308" s="74"/>
      <c r="X308" s="74"/>
      <c r="Y308" s="74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229"/>
      <c r="K309" s="229"/>
      <c r="L309" s="229"/>
      <c r="M309" s="15"/>
      <c r="N309" s="15"/>
      <c r="O309" s="15"/>
      <c r="P309" s="15"/>
      <c r="Q309" s="15"/>
      <c r="R309" s="15"/>
      <c r="S309" s="15"/>
      <c r="T309" s="15"/>
      <c r="U309" s="74"/>
      <c r="V309" s="74"/>
      <c r="W309" s="74"/>
      <c r="X309" s="74"/>
      <c r="Y309" s="74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229"/>
      <c r="K310" s="229"/>
      <c r="L310" s="229"/>
      <c r="M310" s="15"/>
      <c r="N310" s="15"/>
      <c r="O310" s="15"/>
      <c r="P310" s="15"/>
      <c r="Q310" s="15"/>
      <c r="R310" s="15"/>
      <c r="S310" s="15"/>
      <c r="T310" s="15"/>
      <c r="U310" s="74"/>
      <c r="V310" s="74"/>
      <c r="W310" s="74"/>
      <c r="X310" s="74"/>
      <c r="Y310" s="74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229"/>
      <c r="K311" s="229"/>
      <c r="L311" s="229"/>
      <c r="M311" s="15"/>
      <c r="N311" s="15"/>
      <c r="O311" s="15"/>
      <c r="P311" s="15"/>
      <c r="Q311" s="15"/>
      <c r="R311" s="15"/>
      <c r="S311" s="15"/>
      <c r="T311" s="15"/>
      <c r="U311" s="74"/>
      <c r="V311" s="74"/>
      <c r="W311" s="74"/>
      <c r="X311" s="74"/>
      <c r="Y311" s="74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229"/>
      <c r="K312" s="229"/>
      <c r="L312" s="229"/>
      <c r="M312" s="15"/>
      <c r="N312" s="15"/>
      <c r="O312" s="15"/>
      <c r="P312" s="15"/>
      <c r="Q312" s="15"/>
      <c r="R312" s="15"/>
      <c r="S312" s="15"/>
      <c r="T312" s="15"/>
      <c r="U312" s="74"/>
      <c r="V312" s="74"/>
      <c r="W312" s="74"/>
      <c r="X312" s="74"/>
      <c r="Y312" s="74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229"/>
      <c r="K313" s="229"/>
      <c r="L313" s="229"/>
      <c r="M313" s="15"/>
      <c r="N313" s="15"/>
      <c r="O313" s="15"/>
      <c r="P313" s="15"/>
      <c r="Q313" s="15"/>
      <c r="R313" s="15"/>
      <c r="S313" s="15"/>
      <c r="T313" s="15"/>
      <c r="U313" s="74"/>
      <c r="V313" s="74"/>
      <c r="W313" s="74"/>
      <c r="X313" s="74"/>
      <c r="Y313" s="74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229"/>
      <c r="K314" s="229"/>
      <c r="L314" s="229"/>
      <c r="M314" s="15"/>
      <c r="N314" s="15"/>
      <c r="O314" s="15"/>
      <c r="P314" s="15"/>
      <c r="Q314" s="15"/>
      <c r="R314" s="15"/>
      <c r="S314" s="15"/>
      <c r="T314" s="15"/>
      <c r="U314" s="74"/>
      <c r="V314" s="74"/>
      <c r="W314" s="74"/>
      <c r="X314" s="74"/>
      <c r="Y314" s="74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229"/>
      <c r="K315" s="229"/>
      <c r="L315" s="229"/>
      <c r="M315" s="15"/>
      <c r="N315" s="15"/>
      <c r="O315" s="15"/>
      <c r="P315" s="15"/>
      <c r="Q315" s="15"/>
      <c r="R315" s="15"/>
      <c r="S315" s="15"/>
      <c r="T315" s="15"/>
      <c r="U315" s="74"/>
      <c r="V315" s="74"/>
      <c r="W315" s="74"/>
      <c r="X315" s="74"/>
      <c r="Y315" s="74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229"/>
      <c r="K316" s="229"/>
      <c r="L316" s="229"/>
      <c r="M316" s="15"/>
      <c r="N316" s="15"/>
      <c r="O316" s="15"/>
      <c r="P316" s="15"/>
      <c r="Q316" s="15"/>
      <c r="R316" s="15"/>
      <c r="S316" s="15"/>
      <c r="T316" s="15"/>
      <c r="U316" s="74"/>
      <c r="V316" s="74"/>
      <c r="W316" s="74"/>
      <c r="X316" s="74"/>
      <c r="Y316" s="74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229"/>
      <c r="K317" s="229"/>
      <c r="L317" s="229"/>
      <c r="M317" s="15"/>
      <c r="N317" s="15"/>
      <c r="O317" s="15"/>
      <c r="P317" s="15"/>
      <c r="Q317" s="15"/>
      <c r="R317" s="15"/>
      <c r="S317" s="15"/>
      <c r="T317" s="15"/>
      <c r="U317" s="74"/>
      <c r="V317" s="74"/>
      <c r="W317" s="74"/>
      <c r="X317" s="74"/>
      <c r="Y317" s="74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229"/>
      <c r="K318" s="229"/>
      <c r="L318" s="229"/>
      <c r="M318" s="15"/>
      <c r="N318" s="15"/>
      <c r="O318" s="15"/>
      <c r="P318" s="15"/>
      <c r="Q318" s="15"/>
      <c r="R318" s="15"/>
      <c r="S318" s="15"/>
      <c r="T318" s="15"/>
      <c r="U318" s="74"/>
      <c r="V318" s="74"/>
      <c r="W318" s="74"/>
      <c r="X318" s="74"/>
      <c r="Y318" s="74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229"/>
      <c r="K319" s="229"/>
      <c r="L319" s="229"/>
      <c r="M319" s="15"/>
      <c r="N319" s="15"/>
      <c r="O319" s="15"/>
      <c r="P319" s="15"/>
      <c r="Q319" s="15"/>
      <c r="R319" s="15"/>
      <c r="S319" s="15"/>
      <c r="T319" s="15"/>
      <c r="U319" s="74"/>
      <c r="V319" s="74"/>
      <c r="W319" s="74"/>
      <c r="X319" s="74"/>
      <c r="Y319" s="74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229"/>
      <c r="K320" s="229"/>
      <c r="L320" s="229"/>
      <c r="M320" s="15"/>
      <c r="N320" s="15"/>
      <c r="O320" s="15"/>
      <c r="P320" s="15"/>
      <c r="Q320" s="15"/>
      <c r="R320" s="15"/>
      <c r="S320" s="15"/>
      <c r="T320" s="15"/>
      <c r="U320" s="74"/>
      <c r="V320" s="74"/>
      <c r="W320" s="74"/>
      <c r="X320" s="74"/>
      <c r="Y320" s="74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229"/>
      <c r="K321" s="229"/>
      <c r="L321" s="229"/>
      <c r="M321" s="15"/>
      <c r="N321" s="15"/>
      <c r="O321" s="15"/>
      <c r="P321" s="15"/>
      <c r="Q321" s="15"/>
      <c r="R321" s="15"/>
      <c r="S321" s="15"/>
      <c r="T321" s="15"/>
      <c r="U321" s="74"/>
      <c r="V321" s="74"/>
      <c r="W321" s="74"/>
      <c r="X321" s="74"/>
      <c r="Y321" s="74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229"/>
      <c r="K322" s="229"/>
      <c r="L322" s="229"/>
      <c r="M322" s="15"/>
      <c r="N322" s="15"/>
      <c r="O322" s="15"/>
      <c r="P322" s="15"/>
      <c r="Q322" s="15"/>
      <c r="R322" s="15"/>
      <c r="S322" s="15"/>
      <c r="T322" s="15"/>
      <c r="U322" s="74"/>
      <c r="V322" s="74"/>
      <c r="W322" s="74"/>
      <c r="X322" s="74"/>
      <c r="Y322" s="74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229"/>
      <c r="K323" s="229"/>
      <c r="L323" s="229"/>
      <c r="M323" s="15"/>
      <c r="N323" s="15"/>
      <c r="O323" s="15"/>
      <c r="P323" s="15"/>
      <c r="Q323" s="15"/>
      <c r="R323" s="15"/>
      <c r="S323" s="15"/>
      <c r="T323" s="15"/>
      <c r="U323" s="74"/>
      <c r="V323" s="74"/>
      <c r="W323" s="74"/>
      <c r="X323" s="74"/>
      <c r="Y323" s="74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229"/>
      <c r="K324" s="229"/>
      <c r="L324" s="229"/>
      <c r="M324" s="15"/>
      <c r="N324" s="15"/>
      <c r="O324" s="15"/>
      <c r="P324" s="15"/>
      <c r="Q324" s="15"/>
      <c r="R324" s="15"/>
      <c r="S324" s="15"/>
      <c r="T324" s="15"/>
      <c r="U324" s="74"/>
      <c r="V324" s="74"/>
      <c r="W324" s="74"/>
      <c r="X324" s="74"/>
      <c r="Y324" s="74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229"/>
      <c r="K325" s="229"/>
      <c r="L325" s="229"/>
      <c r="M325" s="15"/>
      <c r="N325" s="15"/>
      <c r="O325" s="15"/>
      <c r="P325" s="15"/>
      <c r="Q325" s="15"/>
      <c r="R325" s="15"/>
      <c r="S325" s="15"/>
      <c r="T325" s="15"/>
      <c r="U325" s="74"/>
      <c r="V325" s="74"/>
      <c r="W325" s="74"/>
      <c r="X325" s="74"/>
      <c r="Y325" s="74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229"/>
      <c r="K326" s="229"/>
      <c r="L326" s="229"/>
      <c r="M326" s="15"/>
      <c r="N326" s="15"/>
      <c r="O326" s="15"/>
      <c r="P326" s="15"/>
      <c r="Q326" s="15"/>
      <c r="R326" s="15"/>
      <c r="S326" s="15"/>
      <c r="T326" s="15"/>
      <c r="U326" s="74"/>
      <c r="V326" s="74"/>
      <c r="W326" s="74"/>
      <c r="X326" s="74"/>
      <c r="Y326" s="74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229"/>
      <c r="K327" s="229"/>
      <c r="L327" s="229"/>
      <c r="M327" s="15"/>
      <c r="N327" s="15"/>
      <c r="O327" s="15"/>
      <c r="P327" s="15"/>
      <c r="Q327" s="15"/>
      <c r="R327" s="15"/>
      <c r="S327" s="15"/>
      <c r="T327" s="15"/>
      <c r="U327" s="74"/>
      <c r="V327" s="74"/>
      <c r="W327" s="74"/>
      <c r="X327" s="74"/>
      <c r="Y327" s="74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229"/>
      <c r="K328" s="229"/>
      <c r="L328" s="229"/>
      <c r="M328" s="15"/>
      <c r="N328" s="15"/>
      <c r="O328" s="15"/>
      <c r="P328" s="15"/>
      <c r="Q328" s="15"/>
      <c r="R328" s="15"/>
      <c r="S328" s="15"/>
      <c r="T328" s="15"/>
      <c r="U328" s="74"/>
      <c r="V328" s="74"/>
      <c r="W328" s="74"/>
      <c r="X328" s="74"/>
      <c r="Y328" s="74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229"/>
      <c r="K329" s="229"/>
      <c r="L329" s="229"/>
      <c r="M329" s="15"/>
      <c r="N329" s="15"/>
      <c r="O329" s="15"/>
      <c r="P329" s="15"/>
      <c r="Q329" s="15"/>
      <c r="R329" s="15"/>
      <c r="S329" s="15"/>
      <c r="T329" s="15"/>
      <c r="U329" s="74"/>
      <c r="V329" s="74"/>
      <c r="W329" s="74"/>
      <c r="X329" s="74"/>
      <c r="Y329" s="74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229"/>
      <c r="K330" s="229"/>
      <c r="L330" s="229"/>
      <c r="M330" s="15"/>
      <c r="N330" s="15"/>
      <c r="O330" s="15"/>
      <c r="P330" s="15"/>
      <c r="Q330" s="15"/>
      <c r="R330" s="15"/>
      <c r="S330" s="15"/>
      <c r="T330" s="15"/>
      <c r="U330" s="74"/>
      <c r="V330" s="74"/>
      <c r="W330" s="74"/>
      <c r="X330" s="74"/>
      <c r="Y330" s="74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229"/>
      <c r="K331" s="229"/>
      <c r="L331" s="229"/>
      <c r="M331" s="15"/>
      <c r="N331" s="15"/>
      <c r="O331" s="15"/>
      <c r="P331" s="15"/>
      <c r="Q331" s="15"/>
      <c r="R331" s="15"/>
      <c r="S331" s="15"/>
      <c r="T331" s="15"/>
      <c r="U331" s="74"/>
      <c r="V331" s="74"/>
      <c r="W331" s="74"/>
      <c r="X331" s="74"/>
      <c r="Y331" s="74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229"/>
      <c r="K332" s="229"/>
      <c r="L332" s="229"/>
      <c r="M332" s="15"/>
      <c r="N332" s="15"/>
      <c r="O332" s="15"/>
      <c r="P332" s="15"/>
      <c r="Q332" s="15"/>
      <c r="R332" s="15"/>
      <c r="S332" s="15"/>
      <c r="T332" s="15"/>
      <c r="U332" s="74"/>
      <c r="V332" s="74"/>
      <c r="W332" s="74"/>
      <c r="X332" s="74"/>
      <c r="Y332" s="74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229"/>
      <c r="K333" s="229"/>
      <c r="L333" s="229"/>
      <c r="M333" s="15"/>
      <c r="N333" s="15"/>
      <c r="O333" s="15"/>
      <c r="P333" s="15"/>
      <c r="Q333" s="15"/>
      <c r="R333" s="15"/>
      <c r="S333" s="15"/>
      <c r="T333" s="15"/>
      <c r="U333" s="74"/>
      <c r="V333" s="74"/>
      <c r="W333" s="74"/>
      <c r="X333" s="74"/>
      <c r="Y333" s="74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229"/>
      <c r="K334" s="229"/>
      <c r="L334" s="229"/>
      <c r="M334" s="15"/>
      <c r="N334" s="15"/>
      <c r="O334" s="15"/>
      <c r="P334" s="15"/>
      <c r="Q334" s="15"/>
      <c r="R334" s="15"/>
      <c r="S334" s="15"/>
      <c r="T334" s="15"/>
      <c r="U334" s="74"/>
      <c r="V334" s="74"/>
      <c r="W334" s="74"/>
      <c r="X334" s="74"/>
      <c r="Y334" s="74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229"/>
      <c r="K335" s="229"/>
      <c r="L335" s="229"/>
      <c r="M335" s="15"/>
      <c r="N335" s="15"/>
      <c r="O335" s="15"/>
      <c r="P335" s="15"/>
      <c r="Q335" s="15"/>
      <c r="R335" s="15"/>
      <c r="S335" s="15"/>
      <c r="T335" s="15"/>
      <c r="U335" s="74"/>
      <c r="V335" s="74"/>
      <c r="W335" s="74"/>
      <c r="X335" s="74"/>
      <c r="Y335" s="74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229"/>
      <c r="K336" s="229"/>
      <c r="L336" s="229"/>
      <c r="M336" s="15"/>
      <c r="N336" s="15"/>
      <c r="O336" s="15"/>
      <c r="P336" s="15"/>
      <c r="Q336" s="15"/>
      <c r="R336" s="15"/>
      <c r="S336" s="15"/>
      <c r="T336" s="15"/>
      <c r="U336" s="74"/>
      <c r="V336" s="74"/>
      <c r="W336" s="74"/>
      <c r="X336" s="74"/>
      <c r="Y336" s="74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229"/>
      <c r="K337" s="229"/>
      <c r="L337" s="229"/>
      <c r="M337" s="15"/>
      <c r="N337" s="15"/>
      <c r="O337" s="15"/>
      <c r="P337" s="15"/>
      <c r="Q337" s="15"/>
      <c r="R337" s="15"/>
      <c r="S337" s="15"/>
      <c r="T337" s="15"/>
      <c r="U337" s="74"/>
      <c r="V337" s="74"/>
      <c r="W337" s="74"/>
      <c r="X337" s="74"/>
      <c r="Y337" s="74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229"/>
      <c r="K338" s="229"/>
      <c r="L338" s="229"/>
      <c r="M338" s="15"/>
      <c r="N338" s="15"/>
      <c r="O338" s="15"/>
      <c r="P338" s="15"/>
      <c r="Q338" s="15"/>
      <c r="R338" s="15"/>
      <c r="S338" s="15"/>
      <c r="T338" s="15"/>
      <c r="U338" s="74"/>
      <c r="V338" s="74"/>
      <c r="W338" s="74"/>
      <c r="X338" s="74"/>
      <c r="Y338" s="74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229"/>
      <c r="K339" s="229"/>
      <c r="L339" s="229"/>
      <c r="M339" s="15"/>
      <c r="N339" s="15"/>
      <c r="O339" s="15"/>
      <c r="P339" s="15"/>
      <c r="Q339" s="15"/>
      <c r="R339" s="15"/>
      <c r="S339" s="15"/>
      <c r="T339" s="15"/>
      <c r="U339" s="74"/>
      <c r="V339" s="74"/>
      <c r="W339" s="74"/>
      <c r="X339" s="74"/>
      <c r="Y339" s="74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229"/>
      <c r="K340" s="229"/>
      <c r="L340" s="229"/>
      <c r="M340" s="15"/>
      <c r="N340" s="15"/>
      <c r="O340" s="15"/>
      <c r="P340" s="15"/>
      <c r="Q340" s="15"/>
      <c r="R340" s="15"/>
      <c r="S340" s="15"/>
      <c r="T340" s="15"/>
      <c r="U340" s="74"/>
      <c r="V340" s="74"/>
      <c r="W340" s="74"/>
      <c r="X340" s="74"/>
      <c r="Y340" s="74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229"/>
      <c r="K341" s="229"/>
      <c r="L341" s="229"/>
      <c r="M341" s="15"/>
      <c r="N341" s="15"/>
      <c r="O341" s="15"/>
      <c r="P341" s="15"/>
      <c r="Q341" s="15"/>
      <c r="R341" s="15"/>
      <c r="S341" s="15"/>
      <c r="T341" s="15"/>
      <c r="U341" s="74"/>
      <c r="V341" s="74"/>
      <c r="W341" s="74"/>
      <c r="X341" s="74"/>
      <c r="Y341" s="74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229"/>
      <c r="K342" s="229"/>
      <c r="L342" s="229"/>
      <c r="M342" s="15"/>
      <c r="N342" s="15"/>
      <c r="O342" s="15"/>
      <c r="P342" s="15"/>
      <c r="Q342" s="15"/>
      <c r="R342" s="15"/>
      <c r="S342" s="15"/>
      <c r="T342" s="15"/>
      <c r="U342" s="74"/>
      <c r="V342" s="74"/>
      <c r="W342" s="74"/>
      <c r="X342" s="74"/>
      <c r="Y342" s="74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229"/>
      <c r="K343" s="229"/>
      <c r="L343" s="229"/>
      <c r="M343" s="15"/>
      <c r="N343" s="15"/>
      <c r="O343" s="15"/>
      <c r="P343" s="15"/>
      <c r="Q343" s="15"/>
      <c r="R343" s="15"/>
      <c r="S343" s="15"/>
      <c r="T343" s="15"/>
      <c r="U343" s="74"/>
      <c r="V343" s="74"/>
      <c r="W343" s="74"/>
      <c r="X343" s="74"/>
      <c r="Y343" s="74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229"/>
      <c r="K344" s="229"/>
      <c r="L344" s="229"/>
      <c r="M344" s="15"/>
      <c r="N344" s="15"/>
      <c r="O344" s="15"/>
      <c r="P344" s="15"/>
      <c r="Q344" s="15"/>
      <c r="R344" s="15"/>
      <c r="S344" s="15"/>
      <c r="T344" s="15"/>
      <c r="U344" s="74"/>
      <c r="V344" s="74"/>
      <c r="W344" s="74"/>
      <c r="X344" s="74"/>
      <c r="Y344" s="74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229"/>
      <c r="K345" s="229"/>
      <c r="L345" s="229"/>
      <c r="M345" s="15"/>
      <c r="N345" s="15"/>
      <c r="O345" s="15"/>
      <c r="P345" s="15"/>
      <c r="Q345" s="15"/>
      <c r="R345" s="15"/>
      <c r="S345" s="15"/>
      <c r="T345" s="15"/>
      <c r="U345" s="74"/>
      <c r="V345" s="74"/>
      <c r="W345" s="74"/>
      <c r="X345" s="74"/>
      <c r="Y345" s="74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229"/>
      <c r="K346" s="229"/>
      <c r="L346" s="229"/>
      <c r="M346" s="15"/>
      <c r="N346" s="15"/>
      <c r="O346" s="15"/>
      <c r="P346" s="15"/>
      <c r="Q346" s="15"/>
      <c r="R346" s="15"/>
      <c r="S346" s="15"/>
      <c r="T346" s="15"/>
      <c r="U346" s="74"/>
      <c r="V346" s="74"/>
      <c r="W346" s="74"/>
      <c r="X346" s="74"/>
      <c r="Y346" s="74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229"/>
      <c r="K347" s="229"/>
      <c r="L347" s="229"/>
      <c r="M347" s="15"/>
      <c r="N347" s="15"/>
      <c r="O347" s="15"/>
      <c r="P347" s="15"/>
      <c r="Q347" s="15"/>
      <c r="R347" s="15"/>
      <c r="S347" s="15"/>
      <c r="T347" s="15"/>
      <c r="U347" s="74"/>
      <c r="V347" s="74"/>
      <c r="W347" s="74"/>
      <c r="X347" s="74"/>
      <c r="Y347" s="74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229"/>
      <c r="K348" s="229"/>
      <c r="L348" s="229"/>
      <c r="M348" s="15"/>
      <c r="N348" s="15"/>
      <c r="O348" s="15"/>
      <c r="P348" s="15"/>
      <c r="Q348" s="15"/>
      <c r="R348" s="15"/>
      <c r="S348" s="15"/>
      <c r="T348" s="15"/>
      <c r="U348" s="74"/>
      <c r="V348" s="74"/>
      <c r="W348" s="74"/>
      <c r="X348" s="74"/>
      <c r="Y348" s="74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229"/>
      <c r="K349" s="229"/>
      <c r="L349" s="229"/>
      <c r="M349" s="15"/>
      <c r="N349" s="15"/>
      <c r="O349" s="15"/>
      <c r="P349" s="15"/>
      <c r="Q349" s="15"/>
      <c r="R349" s="15"/>
      <c r="S349" s="15"/>
      <c r="T349" s="15"/>
      <c r="U349" s="74"/>
      <c r="V349" s="74"/>
      <c r="W349" s="74"/>
      <c r="X349" s="74"/>
      <c r="Y349" s="74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229"/>
      <c r="K350" s="229"/>
      <c r="L350" s="229"/>
      <c r="M350" s="15"/>
      <c r="N350" s="15"/>
      <c r="O350" s="15"/>
      <c r="P350" s="15"/>
      <c r="Q350" s="15"/>
      <c r="R350" s="15"/>
      <c r="S350" s="15"/>
      <c r="T350" s="15"/>
      <c r="U350" s="74"/>
      <c r="V350" s="74"/>
      <c r="W350" s="74"/>
      <c r="X350" s="74"/>
      <c r="Y350" s="74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229"/>
      <c r="K351" s="229"/>
      <c r="L351" s="229"/>
      <c r="M351" s="15"/>
      <c r="N351" s="15"/>
      <c r="O351" s="15"/>
      <c r="P351" s="15"/>
      <c r="Q351" s="15"/>
      <c r="R351" s="15"/>
      <c r="S351" s="15"/>
      <c r="T351" s="15"/>
      <c r="U351" s="74"/>
      <c r="V351" s="74"/>
      <c r="W351" s="74"/>
      <c r="X351" s="74"/>
      <c r="Y351" s="74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229"/>
      <c r="K352" s="229"/>
      <c r="L352" s="229"/>
      <c r="M352" s="15"/>
      <c r="N352" s="15"/>
      <c r="O352" s="15"/>
      <c r="P352" s="15"/>
      <c r="Q352" s="15"/>
      <c r="R352" s="15"/>
      <c r="S352" s="15"/>
      <c r="T352" s="15"/>
      <c r="U352" s="74"/>
      <c r="V352" s="74"/>
      <c r="W352" s="74"/>
      <c r="X352" s="74"/>
      <c r="Y352" s="74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229"/>
      <c r="K353" s="229"/>
      <c r="L353" s="229"/>
      <c r="M353" s="15"/>
      <c r="N353" s="15"/>
      <c r="O353" s="15"/>
      <c r="P353" s="15"/>
      <c r="Q353" s="15"/>
      <c r="R353" s="15"/>
      <c r="S353" s="15"/>
      <c r="T353" s="15"/>
      <c r="U353" s="74"/>
      <c r="V353" s="74"/>
      <c r="W353" s="74"/>
      <c r="X353" s="74"/>
      <c r="Y353" s="74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229"/>
      <c r="K354" s="229"/>
      <c r="L354" s="229"/>
      <c r="M354" s="15"/>
      <c r="N354" s="15"/>
      <c r="O354" s="15"/>
      <c r="P354" s="15"/>
      <c r="Q354" s="15"/>
      <c r="R354" s="15"/>
      <c r="S354" s="15"/>
      <c r="T354" s="15"/>
      <c r="U354" s="74"/>
      <c r="V354" s="74"/>
      <c r="W354" s="74"/>
      <c r="X354" s="74"/>
      <c r="Y354" s="74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229"/>
      <c r="K355" s="229"/>
      <c r="L355" s="229"/>
      <c r="M355" s="15"/>
      <c r="N355" s="15"/>
      <c r="O355" s="15"/>
      <c r="P355" s="15"/>
      <c r="Q355" s="15"/>
      <c r="R355" s="15"/>
      <c r="S355" s="15"/>
      <c r="T355" s="15"/>
      <c r="U355" s="74"/>
      <c r="V355" s="74"/>
      <c r="W355" s="74"/>
      <c r="X355" s="74"/>
      <c r="Y355" s="74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229"/>
      <c r="K356" s="229"/>
      <c r="L356" s="229"/>
      <c r="M356" s="15"/>
      <c r="N356" s="15"/>
      <c r="O356" s="15"/>
      <c r="P356" s="15"/>
      <c r="Q356" s="15"/>
      <c r="R356" s="15"/>
      <c r="S356" s="15"/>
      <c r="T356" s="15"/>
      <c r="U356" s="74"/>
      <c r="V356" s="74"/>
      <c r="W356" s="74"/>
      <c r="X356" s="74"/>
      <c r="Y356" s="74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229"/>
      <c r="K357" s="229"/>
      <c r="L357" s="229"/>
      <c r="M357" s="15"/>
      <c r="N357" s="15"/>
      <c r="O357" s="15"/>
      <c r="P357" s="15"/>
      <c r="Q357" s="15"/>
      <c r="R357" s="15"/>
      <c r="S357" s="15"/>
      <c r="T357" s="15"/>
      <c r="U357" s="74"/>
      <c r="V357" s="74"/>
      <c r="W357" s="74"/>
      <c r="X357" s="74"/>
      <c r="Y357" s="74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229"/>
      <c r="K358" s="229"/>
      <c r="L358" s="229"/>
      <c r="M358" s="15"/>
      <c r="N358" s="15"/>
      <c r="O358" s="15"/>
      <c r="P358" s="15"/>
      <c r="Q358" s="15"/>
      <c r="R358" s="15"/>
      <c r="S358" s="15"/>
      <c r="T358" s="15"/>
      <c r="U358" s="74"/>
      <c r="V358" s="74"/>
      <c r="W358" s="74"/>
      <c r="X358" s="74"/>
      <c r="Y358" s="74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229"/>
      <c r="K359" s="229"/>
      <c r="L359" s="229"/>
      <c r="M359" s="15"/>
      <c r="N359" s="15"/>
      <c r="O359" s="15"/>
      <c r="P359" s="15"/>
      <c r="Q359" s="15"/>
      <c r="R359" s="15"/>
      <c r="S359" s="15"/>
      <c r="T359" s="15"/>
      <c r="U359" s="74"/>
      <c r="V359" s="74"/>
      <c r="W359" s="74"/>
      <c r="X359" s="74"/>
      <c r="Y359" s="74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229"/>
      <c r="K360" s="229"/>
      <c r="L360" s="229"/>
      <c r="M360" s="15"/>
      <c r="N360" s="15"/>
      <c r="O360" s="15"/>
      <c r="P360" s="15"/>
      <c r="Q360" s="15"/>
      <c r="R360" s="15"/>
      <c r="S360" s="15"/>
      <c r="T360" s="15"/>
      <c r="U360" s="74"/>
      <c r="V360" s="74"/>
      <c r="W360" s="74"/>
      <c r="X360" s="74"/>
      <c r="Y360" s="74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229"/>
      <c r="K361" s="229"/>
      <c r="L361" s="229"/>
      <c r="M361" s="15"/>
      <c r="N361" s="15"/>
      <c r="O361" s="15"/>
      <c r="P361" s="15"/>
      <c r="Q361" s="15"/>
      <c r="R361" s="15"/>
      <c r="S361" s="15"/>
      <c r="T361" s="15"/>
      <c r="U361" s="74"/>
      <c r="V361" s="74"/>
      <c r="W361" s="74"/>
      <c r="X361" s="74"/>
      <c r="Y361" s="74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229"/>
      <c r="K362" s="229"/>
      <c r="L362" s="229"/>
      <c r="M362" s="15"/>
      <c r="N362" s="15"/>
      <c r="O362" s="15"/>
      <c r="P362" s="15"/>
      <c r="Q362" s="15"/>
      <c r="R362" s="15"/>
      <c r="S362" s="15"/>
      <c r="T362" s="15"/>
      <c r="U362" s="74"/>
      <c r="V362" s="74"/>
      <c r="W362" s="74"/>
      <c r="X362" s="74"/>
      <c r="Y362" s="74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229"/>
      <c r="K363" s="229"/>
      <c r="L363" s="229"/>
      <c r="M363" s="15"/>
      <c r="N363" s="15"/>
      <c r="O363" s="15"/>
      <c r="P363" s="15"/>
      <c r="Q363" s="15"/>
      <c r="R363" s="15"/>
      <c r="S363" s="15"/>
      <c r="T363" s="15"/>
      <c r="U363" s="74"/>
      <c r="V363" s="74"/>
      <c r="W363" s="74"/>
      <c r="X363" s="74"/>
      <c r="Y363" s="74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229"/>
      <c r="K364" s="229"/>
      <c r="L364" s="229"/>
      <c r="M364" s="15"/>
      <c r="N364" s="15"/>
      <c r="O364" s="15"/>
      <c r="P364" s="15"/>
      <c r="Q364" s="15"/>
      <c r="R364" s="15"/>
      <c r="S364" s="15"/>
      <c r="T364" s="15"/>
      <c r="U364" s="74"/>
      <c r="V364" s="74"/>
      <c r="W364" s="74"/>
      <c r="X364" s="74"/>
      <c r="Y364" s="74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229"/>
      <c r="K365" s="229"/>
      <c r="L365" s="229"/>
      <c r="M365" s="15"/>
      <c r="N365" s="15"/>
      <c r="O365" s="15"/>
      <c r="P365" s="15"/>
      <c r="Q365" s="15"/>
      <c r="R365" s="15"/>
      <c r="S365" s="15"/>
      <c r="T365" s="15"/>
      <c r="U365" s="74"/>
      <c r="V365" s="74"/>
      <c r="W365" s="74"/>
      <c r="X365" s="74"/>
      <c r="Y365" s="74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229"/>
      <c r="K366" s="229"/>
      <c r="L366" s="229"/>
      <c r="M366" s="15"/>
      <c r="N366" s="15"/>
      <c r="O366" s="15"/>
      <c r="P366" s="15"/>
      <c r="Q366" s="15"/>
      <c r="R366" s="15"/>
      <c r="S366" s="15"/>
      <c r="T366" s="15"/>
      <c r="U366" s="74"/>
      <c r="V366" s="74"/>
      <c r="W366" s="74"/>
      <c r="X366" s="74"/>
      <c r="Y366" s="74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229"/>
      <c r="K367" s="229"/>
      <c r="L367" s="229"/>
      <c r="M367" s="15"/>
      <c r="N367" s="15"/>
      <c r="O367" s="15"/>
      <c r="P367" s="15"/>
      <c r="Q367" s="15"/>
      <c r="R367" s="15"/>
      <c r="S367" s="15"/>
      <c r="T367" s="15"/>
      <c r="U367" s="74"/>
      <c r="V367" s="74"/>
      <c r="W367" s="74"/>
      <c r="X367" s="74"/>
      <c r="Y367" s="74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229"/>
      <c r="K368" s="229"/>
      <c r="L368" s="229"/>
      <c r="M368" s="15"/>
      <c r="N368" s="15"/>
      <c r="O368" s="15"/>
      <c r="P368" s="15"/>
      <c r="Q368" s="15"/>
      <c r="R368" s="15"/>
      <c r="S368" s="15"/>
      <c r="T368" s="15"/>
      <c r="U368" s="74"/>
      <c r="V368" s="74"/>
      <c r="W368" s="74"/>
      <c r="X368" s="74"/>
      <c r="Y368" s="74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229"/>
      <c r="K369" s="229"/>
      <c r="L369" s="229"/>
      <c r="M369" s="15"/>
      <c r="N369" s="15"/>
      <c r="O369" s="15"/>
      <c r="P369" s="15"/>
      <c r="Q369" s="15"/>
      <c r="R369" s="15"/>
      <c r="S369" s="15"/>
      <c r="T369" s="15"/>
      <c r="U369" s="74"/>
      <c r="V369" s="74"/>
      <c r="W369" s="74"/>
      <c r="X369" s="74"/>
      <c r="Y369" s="74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229"/>
      <c r="K370" s="229"/>
      <c r="L370" s="229"/>
      <c r="M370" s="15"/>
      <c r="N370" s="15"/>
      <c r="O370" s="15"/>
      <c r="P370" s="15"/>
      <c r="Q370" s="15"/>
      <c r="R370" s="15"/>
      <c r="S370" s="15"/>
      <c r="T370" s="15"/>
      <c r="U370" s="74"/>
      <c r="V370" s="74"/>
      <c r="W370" s="74"/>
      <c r="X370" s="74"/>
      <c r="Y370" s="74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229"/>
      <c r="K371" s="229"/>
      <c r="L371" s="229"/>
      <c r="M371" s="15"/>
      <c r="N371" s="15"/>
      <c r="O371" s="15"/>
      <c r="P371" s="15"/>
      <c r="Q371" s="15"/>
      <c r="R371" s="15"/>
      <c r="S371" s="15"/>
      <c r="T371" s="15"/>
      <c r="U371" s="74"/>
      <c r="V371" s="74"/>
      <c r="W371" s="74"/>
      <c r="X371" s="74"/>
      <c r="Y371" s="74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229"/>
      <c r="K372" s="229"/>
      <c r="L372" s="229"/>
      <c r="M372" s="15"/>
      <c r="N372" s="15"/>
      <c r="O372" s="15"/>
      <c r="P372" s="15"/>
      <c r="Q372" s="15"/>
      <c r="R372" s="15"/>
      <c r="S372" s="15"/>
      <c r="T372" s="15"/>
      <c r="U372" s="74"/>
      <c r="V372" s="74"/>
      <c r="W372" s="74"/>
      <c r="X372" s="74"/>
      <c r="Y372" s="74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229"/>
      <c r="K373" s="229"/>
      <c r="L373" s="229"/>
      <c r="M373" s="15"/>
      <c r="N373" s="15"/>
      <c r="O373" s="15"/>
      <c r="P373" s="15"/>
      <c r="Q373" s="15"/>
      <c r="R373" s="15"/>
      <c r="S373" s="15"/>
      <c r="T373" s="15"/>
      <c r="U373" s="74"/>
      <c r="V373" s="74"/>
      <c r="W373" s="74"/>
      <c r="X373" s="74"/>
      <c r="Y373" s="74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229"/>
      <c r="K374" s="229"/>
      <c r="L374" s="229"/>
      <c r="M374" s="15"/>
      <c r="N374" s="15"/>
      <c r="O374" s="15"/>
      <c r="P374" s="15"/>
      <c r="Q374" s="15"/>
      <c r="R374" s="15"/>
      <c r="S374" s="15"/>
      <c r="T374" s="15"/>
      <c r="U374" s="74"/>
      <c r="V374" s="74"/>
      <c r="W374" s="74"/>
      <c r="X374" s="74"/>
      <c r="Y374" s="74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229"/>
      <c r="K375" s="229"/>
      <c r="L375" s="229"/>
      <c r="M375" s="15"/>
      <c r="N375" s="15"/>
      <c r="O375" s="15"/>
      <c r="P375" s="15"/>
      <c r="Q375" s="15"/>
      <c r="R375" s="15"/>
      <c r="S375" s="15"/>
      <c r="T375" s="15"/>
      <c r="U375" s="74"/>
      <c r="V375" s="74"/>
      <c r="W375" s="74"/>
      <c r="X375" s="74"/>
      <c r="Y375" s="74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229"/>
      <c r="K376" s="229"/>
      <c r="L376" s="229"/>
      <c r="M376" s="15"/>
      <c r="N376" s="15"/>
      <c r="O376" s="15"/>
      <c r="P376" s="15"/>
      <c r="Q376" s="15"/>
      <c r="R376" s="15"/>
      <c r="S376" s="15"/>
      <c r="T376" s="15"/>
      <c r="U376" s="74"/>
      <c r="V376" s="74"/>
      <c r="W376" s="74"/>
      <c r="X376" s="74"/>
      <c r="Y376" s="74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229"/>
      <c r="K377" s="229"/>
      <c r="L377" s="229"/>
      <c r="M377" s="15"/>
      <c r="N377" s="15"/>
      <c r="O377" s="15"/>
      <c r="P377" s="15"/>
      <c r="Q377" s="15"/>
      <c r="R377" s="15"/>
      <c r="S377" s="15"/>
      <c r="T377" s="15"/>
      <c r="U377" s="74"/>
      <c r="V377" s="74"/>
      <c r="W377" s="74"/>
      <c r="X377" s="74"/>
      <c r="Y377" s="74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229"/>
      <c r="K378" s="229"/>
      <c r="L378" s="229"/>
      <c r="M378" s="15"/>
      <c r="N378" s="15"/>
      <c r="O378" s="15"/>
      <c r="P378" s="15"/>
      <c r="Q378" s="15"/>
      <c r="R378" s="15"/>
      <c r="S378" s="15"/>
      <c r="T378" s="15"/>
      <c r="U378" s="74"/>
      <c r="V378" s="74"/>
      <c r="W378" s="74"/>
      <c r="X378" s="74"/>
      <c r="Y378" s="74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229"/>
      <c r="K379" s="229"/>
      <c r="L379" s="229"/>
      <c r="M379" s="15"/>
      <c r="N379" s="15"/>
      <c r="O379" s="15"/>
      <c r="P379" s="15"/>
      <c r="Q379" s="15"/>
      <c r="R379" s="15"/>
      <c r="S379" s="15"/>
      <c r="T379" s="15"/>
      <c r="U379" s="74"/>
      <c r="V379" s="74"/>
      <c r="W379" s="74"/>
      <c r="X379" s="74"/>
      <c r="Y379" s="74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229"/>
      <c r="K380" s="229"/>
      <c r="L380" s="229"/>
      <c r="M380" s="15"/>
      <c r="N380" s="15"/>
      <c r="O380" s="15"/>
      <c r="P380" s="15"/>
      <c r="Q380" s="15"/>
      <c r="R380" s="15"/>
      <c r="S380" s="15"/>
      <c r="T380" s="15"/>
      <c r="U380" s="74"/>
      <c r="V380" s="74"/>
      <c r="W380" s="74"/>
      <c r="X380" s="74"/>
      <c r="Y380" s="74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229"/>
      <c r="K381" s="229"/>
      <c r="L381" s="229"/>
      <c r="M381" s="15"/>
      <c r="N381" s="15"/>
      <c r="O381" s="15"/>
      <c r="P381" s="15"/>
      <c r="Q381" s="15"/>
      <c r="R381" s="15"/>
      <c r="S381" s="15"/>
      <c r="T381" s="15"/>
      <c r="U381" s="74"/>
      <c r="V381" s="74"/>
      <c r="W381" s="74"/>
      <c r="X381" s="74"/>
      <c r="Y381" s="74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229"/>
      <c r="K382" s="229"/>
      <c r="L382" s="229"/>
      <c r="M382" s="15"/>
      <c r="N382" s="15"/>
      <c r="O382" s="15"/>
      <c r="P382" s="15"/>
      <c r="Q382" s="15"/>
      <c r="R382" s="15"/>
      <c r="S382" s="15"/>
      <c r="T382" s="15"/>
      <c r="U382" s="74"/>
      <c r="V382" s="74"/>
      <c r="W382" s="74"/>
      <c r="X382" s="74"/>
      <c r="Y382" s="74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229"/>
      <c r="K383" s="229"/>
      <c r="L383" s="229"/>
      <c r="M383" s="15"/>
      <c r="N383" s="15"/>
      <c r="O383" s="15"/>
      <c r="P383" s="15"/>
      <c r="Q383" s="15"/>
      <c r="R383" s="15"/>
      <c r="S383" s="15"/>
      <c r="T383" s="15"/>
      <c r="U383" s="74"/>
      <c r="V383" s="74"/>
      <c r="W383" s="74"/>
      <c r="X383" s="74"/>
      <c r="Y383" s="74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229"/>
      <c r="K384" s="229"/>
      <c r="L384" s="229"/>
      <c r="M384" s="15"/>
      <c r="N384" s="15"/>
      <c r="O384" s="15"/>
      <c r="P384" s="15"/>
      <c r="Q384" s="15"/>
      <c r="R384" s="15"/>
      <c r="S384" s="15"/>
      <c r="T384" s="15"/>
      <c r="U384" s="74"/>
      <c r="V384" s="74"/>
      <c r="W384" s="74"/>
      <c r="X384" s="74"/>
      <c r="Y384" s="74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229"/>
      <c r="K385" s="229"/>
      <c r="L385" s="229"/>
      <c r="M385" s="15"/>
      <c r="N385" s="15"/>
      <c r="O385" s="15"/>
      <c r="P385" s="15"/>
      <c r="Q385" s="15"/>
      <c r="R385" s="15"/>
      <c r="S385" s="15"/>
      <c r="T385" s="15"/>
      <c r="U385" s="74"/>
      <c r="V385" s="74"/>
      <c r="W385" s="74"/>
      <c r="X385" s="74"/>
      <c r="Y385" s="74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229"/>
      <c r="K386" s="229"/>
      <c r="L386" s="229"/>
      <c r="M386" s="15"/>
      <c r="N386" s="15"/>
      <c r="O386" s="15"/>
      <c r="P386" s="15"/>
      <c r="Q386" s="15"/>
      <c r="R386" s="15"/>
      <c r="S386" s="15"/>
      <c r="T386" s="15"/>
      <c r="U386" s="74"/>
      <c r="V386" s="74"/>
      <c r="W386" s="74"/>
      <c r="X386" s="74"/>
      <c r="Y386" s="74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229"/>
      <c r="K387" s="229"/>
      <c r="L387" s="229"/>
      <c r="M387" s="15"/>
      <c r="N387" s="15"/>
      <c r="O387" s="15"/>
      <c r="P387" s="15"/>
      <c r="Q387" s="15"/>
      <c r="R387" s="15"/>
      <c r="S387" s="15"/>
      <c r="T387" s="15"/>
      <c r="U387" s="74"/>
      <c r="V387" s="74"/>
      <c r="W387" s="74"/>
      <c r="X387" s="74"/>
      <c r="Y387" s="74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229"/>
      <c r="K388" s="229"/>
      <c r="L388" s="229"/>
      <c r="M388" s="15"/>
      <c r="N388" s="15"/>
      <c r="O388" s="15"/>
      <c r="P388" s="15"/>
      <c r="Q388" s="15"/>
      <c r="R388" s="15"/>
      <c r="S388" s="15"/>
      <c r="T388" s="15"/>
      <c r="U388" s="74"/>
      <c r="V388" s="74"/>
      <c r="W388" s="74"/>
      <c r="X388" s="74"/>
      <c r="Y388" s="74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229"/>
      <c r="K389" s="229"/>
      <c r="L389" s="229"/>
      <c r="M389" s="15"/>
      <c r="N389" s="15"/>
      <c r="O389" s="15"/>
      <c r="P389" s="15"/>
      <c r="Q389" s="15"/>
      <c r="R389" s="15"/>
      <c r="S389" s="15"/>
      <c r="T389" s="15"/>
      <c r="U389" s="74"/>
      <c r="V389" s="74"/>
      <c r="W389" s="74"/>
      <c r="X389" s="74"/>
      <c r="Y389" s="74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229"/>
      <c r="K390" s="229"/>
      <c r="L390" s="229"/>
      <c r="M390" s="15"/>
      <c r="N390" s="15"/>
      <c r="O390" s="15"/>
      <c r="P390" s="15"/>
      <c r="Q390" s="15"/>
      <c r="R390" s="15"/>
      <c r="S390" s="15"/>
      <c r="T390" s="15"/>
      <c r="U390" s="74"/>
      <c r="V390" s="74"/>
      <c r="W390" s="74"/>
      <c r="X390" s="74"/>
      <c r="Y390" s="74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229"/>
      <c r="K391" s="229"/>
      <c r="L391" s="229"/>
      <c r="M391" s="15"/>
      <c r="N391" s="15"/>
      <c r="O391" s="15"/>
      <c r="P391" s="15"/>
      <c r="Q391" s="15"/>
      <c r="R391" s="15"/>
      <c r="S391" s="15"/>
      <c r="T391" s="15"/>
      <c r="U391" s="74"/>
      <c r="V391" s="74"/>
      <c r="W391" s="74"/>
      <c r="X391" s="74"/>
      <c r="Y391" s="74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229"/>
      <c r="K392" s="229"/>
      <c r="L392" s="229"/>
      <c r="M392" s="15"/>
      <c r="N392" s="15"/>
      <c r="O392" s="15"/>
      <c r="P392" s="15"/>
      <c r="Q392" s="15"/>
      <c r="R392" s="15"/>
      <c r="S392" s="15"/>
      <c r="T392" s="15"/>
      <c r="U392" s="74"/>
      <c r="V392" s="74"/>
      <c r="W392" s="74"/>
      <c r="X392" s="74"/>
      <c r="Y392" s="74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229"/>
      <c r="K393" s="229"/>
      <c r="L393" s="229"/>
      <c r="M393" s="15"/>
      <c r="N393" s="15"/>
      <c r="O393" s="15"/>
      <c r="P393" s="15"/>
      <c r="Q393" s="15"/>
      <c r="R393" s="15"/>
      <c r="S393" s="15"/>
      <c r="T393" s="15"/>
      <c r="U393" s="74"/>
      <c r="V393" s="74"/>
      <c r="W393" s="74"/>
      <c r="X393" s="74"/>
      <c r="Y393" s="74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229"/>
      <c r="K394" s="229"/>
      <c r="L394" s="229"/>
      <c r="M394" s="15"/>
      <c r="N394" s="15"/>
      <c r="O394" s="15"/>
      <c r="P394" s="15"/>
      <c r="Q394" s="15"/>
      <c r="R394" s="15"/>
      <c r="S394" s="15"/>
      <c r="T394" s="15"/>
      <c r="U394" s="74"/>
      <c r="V394" s="74"/>
      <c r="W394" s="74"/>
      <c r="X394" s="74"/>
      <c r="Y394" s="74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229"/>
      <c r="K395" s="229"/>
      <c r="L395" s="229"/>
      <c r="M395" s="15"/>
      <c r="N395" s="15"/>
      <c r="O395" s="15"/>
      <c r="P395" s="15"/>
      <c r="Q395" s="15"/>
      <c r="R395" s="15"/>
      <c r="S395" s="15"/>
      <c r="T395" s="15"/>
      <c r="U395" s="74"/>
      <c r="V395" s="74"/>
      <c r="W395" s="74"/>
      <c r="X395" s="74"/>
      <c r="Y395" s="74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229"/>
      <c r="K396" s="229"/>
      <c r="L396" s="229"/>
      <c r="M396" s="15"/>
      <c r="N396" s="15"/>
      <c r="O396" s="15"/>
      <c r="P396" s="15"/>
      <c r="Q396" s="15"/>
      <c r="R396" s="15"/>
      <c r="S396" s="15"/>
      <c r="T396" s="15"/>
      <c r="U396" s="74"/>
      <c r="V396" s="74"/>
      <c r="W396" s="74"/>
      <c r="X396" s="74"/>
      <c r="Y396" s="74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229"/>
      <c r="K397" s="229"/>
      <c r="L397" s="229"/>
      <c r="M397" s="15"/>
      <c r="N397" s="15"/>
      <c r="O397" s="15"/>
      <c r="P397" s="15"/>
      <c r="Q397" s="15"/>
      <c r="R397" s="15"/>
      <c r="S397" s="15"/>
      <c r="T397" s="15"/>
      <c r="U397" s="74"/>
      <c r="V397" s="74"/>
      <c r="W397" s="74"/>
      <c r="X397" s="74"/>
      <c r="Y397" s="74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229"/>
      <c r="K398" s="229"/>
      <c r="L398" s="229"/>
      <c r="M398" s="15"/>
      <c r="N398" s="15"/>
      <c r="O398" s="15"/>
      <c r="P398" s="15"/>
      <c r="Q398" s="15"/>
      <c r="R398" s="15"/>
      <c r="S398" s="15"/>
      <c r="T398" s="15"/>
      <c r="U398" s="74"/>
      <c r="V398" s="74"/>
      <c r="W398" s="74"/>
      <c r="X398" s="74"/>
      <c r="Y398" s="74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229"/>
      <c r="K399" s="229"/>
      <c r="L399" s="229"/>
      <c r="M399" s="15"/>
      <c r="N399" s="15"/>
      <c r="O399" s="15"/>
      <c r="P399" s="15"/>
      <c r="Q399" s="15"/>
      <c r="R399" s="15"/>
      <c r="S399" s="15"/>
      <c r="T399" s="15"/>
      <c r="U399" s="74"/>
      <c r="V399" s="74"/>
      <c r="W399" s="74"/>
      <c r="X399" s="74"/>
      <c r="Y399" s="74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229"/>
      <c r="K400" s="229"/>
      <c r="L400" s="229"/>
      <c r="M400" s="15"/>
      <c r="N400" s="15"/>
      <c r="O400" s="15"/>
      <c r="P400" s="15"/>
      <c r="Q400" s="15"/>
      <c r="R400" s="15"/>
      <c r="S400" s="15"/>
      <c r="T400" s="15"/>
      <c r="U400" s="74"/>
      <c r="V400" s="74"/>
      <c r="W400" s="74"/>
      <c r="X400" s="74"/>
      <c r="Y400" s="74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229"/>
      <c r="K401" s="229"/>
      <c r="L401" s="229"/>
      <c r="M401" s="15"/>
      <c r="N401" s="15"/>
      <c r="O401" s="15"/>
      <c r="P401" s="15"/>
      <c r="Q401" s="15"/>
      <c r="R401" s="15"/>
      <c r="S401" s="15"/>
      <c r="T401" s="15"/>
      <c r="U401" s="74"/>
      <c r="V401" s="74"/>
      <c r="W401" s="74"/>
      <c r="X401" s="74"/>
      <c r="Y401" s="74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229"/>
      <c r="K402" s="229"/>
      <c r="L402" s="229"/>
      <c r="M402" s="15"/>
      <c r="N402" s="15"/>
      <c r="O402" s="15"/>
      <c r="P402" s="15"/>
      <c r="Q402" s="15"/>
      <c r="R402" s="15"/>
      <c r="S402" s="15"/>
      <c r="T402" s="15"/>
      <c r="U402" s="74"/>
      <c r="V402" s="74"/>
      <c r="W402" s="74"/>
      <c r="X402" s="74"/>
      <c r="Y402" s="74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229"/>
      <c r="K403" s="229"/>
      <c r="L403" s="229"/>
      <c r="M403" s="15"/>
      <c r="N403" s="15"/>
      <c r="O403" s="15"/>
      <c r="P403" s="15"/>
      <c r="Q403" s="15"/>
      <c r="R403" s="15"/>
      <c r="S403" s="15"/>
      <c r="T403" s="15"/>
      <c r="U403" s="74"/>
      <c r="V403" s="74"/>
      <c r="W403" s="74"/>
      <c r="X403" s="74"/>
      <c r="Y403" s="74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229"/>
      <c r="K404" s="229"/>
      <c r="L404" s="229"/>
      <c r="M404" s="15"/>
      <c r="N404" s="15"/>
      <c r="O404" s="15"/>
      <c r="P404" s="15"/>
      <c r="Q404" s="15"/>
      <c r="R404" s="15"/>
      <c r="S404" s="15"/>
      <c r="T404" s="15"/>
      <c r="U404" s="74"/>
      <c r="V404" s="74"/>
      <c r="W404" s="74"/>
      <c r="X404" s="74"/>
      <c r="Y404" s="74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229"/>
      <c r="K405" s="229"/>
      <c r="L405" s="229"/>
      <c r="M405" s="15"/>
      <c r="N405" s="15"/>
      <c r="O405" s="15"/>
      <c r="P405" s="15"/>
      <c r="Q405" s="15"/>
      <c r="R405" s="15"/>
      <c r="S405" s="15"/>
      <c r="T405" s="15"/>
      <c r="U405" s="74"/>
      <c r="V405" s="74"/>
      <c r="W405" s="74"/>
      <c r="X405" s="74"/>
      <c r="Y405" s="74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229"/>
      <c r="K406" s="229"/>
      <c r="L406" s="229"/>
      <c r="M406" s="15"/>
      <c r="N406" s="15"/>
      <c r="O406" s="15"/>
      <c r="P406" s="15"/>
      <c r="Q406" s="15"/>
      <c r="R406" s="15"/>
      <c r="S406" s="15"/>
      <c r="T406" s="15"/>
      <c r="U406" s="74"/>
      <c r="V406" s="74"/>
      <c r="W406" s="74"/>
      <c r="X406" s="74"/>
      <c r="Y406" s="74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229"/>
      <c r="K407" s="229"/>
      <c r="L407" s="229"/>
      <c r="M407" s="15"/>
      <c r="N407" s="15"/>
      <c r="O407" s="15"/>
      <c r="P407" s="15"/>
      <c r="Q407" s="15"/>
      <c r="R407" s="15"/>
      <c r="S407" s="15"/>
      <c r="T407" s="15"/>
      <c r="U407" s="74"/>
      <c r="V407" s="74"/>
      <c r="W407" s="74"/>
      <c r="X407" s="74"/>
      <c r="Y407" s="74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229"/>
      <c r="K408" s="229"/>
      <c r="L408" s="229"/>
      <c r="M408" s="15"/>
      <c r="N408" s="15"/>
      <c r="O408" s="15"/>
      <c r="P408" s="15"/>
      <c r="Q408" s="15"/>
      <c r="R408" s="15"/>
      <c r="S408" s="15"/>
      <c r="T408" s="15"/>
      <c r="U408" s="74"/>
      <c r="V408" s="74"/>
      <c r="W408" s="74"/>
      <c r="X408" s="74"/>
      <c r="Y408" s="74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229"/>
      <c r="K409" s="229"/>
      <c r="L409" s="229"/>
      <c r="M409" s="15"/>
      <c r="N409" s="15"/>
      <c r="O409" s="15"/>
      <c r="P409" s="15"/>
      <c r="Q409" s="15"/>
      <c r="R409" s="15"/>
      <c r="S409" s="15"/>
      <c r="T409" s="15"/>
      <c r="U409" s="74"/>
      <c r="V409" s="74"/>
      <c r="W409" s="74"/>
      <c r="X409" s="74"/>
      <c r="Y409" s="74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229"/>
      <c r="K410" s="229"/>
      <c r="L410" s="229"/>
      <c r="M410" s="15"/>
      <c r="N410" s="15"/>
      <c r="O410" s="15"/>
      <c r="P410" s="15"/>
      <c r="Q410" s="15"/>
      <c r="R410" s="15"/>
      <c r="S410" s="15"/>
      <c r="T410" s="15"/>
      <c r="U410" s="74"/>
      <c r="V410" s="74"/>
      <c r="W410" s="74"/>
      <c r="X410" s="74"/>
      <c r="Y410" s="74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229"/>
      <c r="K411" s="229"/>
      <c r="L411" s="229"/>
      <c r="M411" s="15"/>
      <c r="N411" s="15"/>
      <c r="O411" s="15"/>
      <c r="P411" s="15"/>
      <c r="Q411" s="15"/>
      <c r="R411" s="15"/>
      <c r="S411" s="15"/>
      <c r="T411" s="15"/>
      <c r="U411" s="74"/>
      <c r="V411" s="74"/>
      <c r="W411" s="74"/>
      <c r="X411" s="74"/>
      <c r="Y411" s="74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229"/>
      <c r="K412" s="229"/>
      <c r="L412" s="229"/>
      <c r="M412" s="15"/>
      <c r="N412" s="15"/>
      <c r="O412" s="15"/>
      <c r="P412" s="15"/>
      <c r="Q412" s="15"/>
      <c r="R412" s="15"/>
      <c r="S412" s="15"/>
      <c r="T412" s="15"/>
      <c r="U412" s="74"/>
      <c r="V412" s="74"/>
      <c r="W412" s="74"/>
      <c r="X412" s="74"/>
      <c r="Y412" s="74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229"/>
      <c r="K413" s="229"/>
      <c r="L413" s="229"/>
      <c r="M413" s="15"/>
      <c r="N413" s="15"/>
      <c r="O413" s="15"/>
      <c r="P413" s="15"/>
      <c r="Q413" s="15"/>
      <c r="R413" s="15"/>
      <c r="S413" s="15"/>
      <c r="T413" s="15"/>
      <c r="U413" s="74"/>
      <c r="V413" s="74"/>
      <c r="W413" s="74"/>
      <c r="X413" s="74"/>
      <c r="Y413" s="74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229"/>
      <c r="K414" s="229"/>
      <c r="L414" s="229"/>
      <c r="M414" s="15"/>
      <c r="N414" s="15"/>
      <c r="O414" s="15"/>
      <c r="P414" s="15"/>
      <c r="Q414" s="15"/>
      <c r="R414" s="15"/>
      <c r="S414" s="15"/>
      <c r="T414" s="15"/>
      <c r="U414" s="74"/>
      <c r="V414" s="74"/>
      <c r="W414" s="74"/>
      <c r="X414" s="74"/>
      <c r="Y414" s="74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229"/>
      <c r="K415" s="229"/>
      <c r="L415" s="229"/>
      <c r="M415" s="15"/>
      <c r="N415" s="15"/>
      <c r="O415" s="15"/>
      <c r="P415" s="15"/>
      <c r="Q415" s="15"/>
      <c r="R415" s="15"/>
      <c r="S415" s="15"/>
      <c r="T415" s="15"/>
      <c r="U415" s="74"/>
      <c r="V415" s="74"/>
      <c r="W415" s="74"/>
      <c r="X415" s="74"/>
      <c r="Y415" s="74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229"/>
      <c r="K416" s="229"/>
      <c r="L416" s="229"/>
      <c r="M416" s="15"/>
      <c r="N416" s="15"/>
      <c r="O416" s="15"/>
      <c r="P416" s="15"/>
      <c r="Q416" s="15"/>
      <c r="R416" s="15"/>
      <c r="S416" s="15"/>
      <c r="T416" s="15"/>
      <c r="U416" s="74"/>
      <c r="V416" s="74"/>
      <c r="W416" s="74"/>
      <c r="X416" s="74"/>
      <c r="Y416" s="74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229"/>
      <c r="K417" s="229"/>
      <c r="L417" s="229"/>
      <c r="M417" s="15"/>
      <c r="N417" s="15"/>
      <c r="O417" s="15"/>
      <c r="P417" s="15"/>
      <c r="Q417" s="15"/>
      <c r="R417" s="15"/>
      <c r="S417" s="15"/>
      <c r="T417" s="15"/>
      <c r="U417" s="74"/>
      <c r="V417" s="74"/>
      <c r="W417" s="74"/>
      <c r="X417" s="74"/>
      <c r="Y417" s="74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229"/>
      <c r="K418" s="229"/>
      <c r="L418" s="229"/>
      <c r="M418" s="15"/>
      <c r="N418" s="15"/>
      <c r="O418" s="15"/>
      <c r="P418" s="15"/>
      <c r="Q418" s="15"/>
      <c r="R418" s="15"/>
      <c r="S418" s="15"/>
      <c r="T418" s="15"/>
      <c r="U418" s="74"/>
      <c r="V418" s="74"/>
      <c r="W418" s="74"/>
      <c r="X418" s="74"/>
      <c r="Y418" s="74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229"/>
      <c r="K419" s="229"/>
      <c r="L419" s="229"/>
      <c r="M419" s="15"/>
      <c r="N419" s="15"/>
      <c r="O419" s="15"/>
      <c r="P419" s="15"/>
      <c r="Q419" s="15"/>
      <c r="R419" s="15"/>
      <c r="S419" s="15"/>
      <c r="T419" s="15"/>
      <c r="U419" s="74"/>
      <c r="V419" s="74"/>
      <c r="W419" s="74"/>
      <c r="X419" s="74"/>
      <c r="Y419" s="74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229"/>
      <c r="K420" s="229"/>
      <c r="L420" s="229"/>
      <c r="M420" s="15"/>
      <c r="N420" s="15"/>
      <c r="O420" s="15"/>
      <c r="P420" s="15"/>
      <c r="Q420" s="15"/>
      <c r="R420" s="15"/>
      <c r="S420" s="15"/>
      <c r="T420" s="15"/>
      <c r="U420" s="74"/>
      <c r="V420" s="74"/>
      <c r="W420" s="74"/>
      <c r="X420" s="74"/>
      <c r="Y420" s="74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229"/>
      <c r="K421" s="229"/>
      <c r="L421" s="229"/>
      <c r="M421" s="15"/>
      <c r="N421" s="15"/>
      <c r="O421" s="15"/>
      <c r="P421" s="15"/>
      <c r="Q421" s="15"/>
      <c r="R421" s="15"/>
      <c r="S421" s="15"/>
      <c r="T421" s="15"/>
      <c r="U421" s="74"/>
      <c r="V421" s="74"/>
      <c r="W421" s="74"/>
      <c r="X421" s="74"/>
      <c r="Y421" s="74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229"/>
      <c r="K422" s="229"/>
      <c r="L422" s="229"/>
      <c r="M422" s="15"/>
      <c r="N422" s="15"/>
      <c r="O422" s="15"/>
      <c r="P422" s="15"/>
      <c r="Q422" s="15"/>
      <c r="R422" s="15"/>
      <c r="S422" s="15"/>
      <c r="T422" s="15"/>
      <c r="U422" s="74"/>
      <c r="V422" s="74"/>
      <c r="W422" s="74"/>
      <c r="X422" s="74"/>
      <c r="Y422" s="74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229"/>
      <c r="K423" s="229"/>
      <c r="L423" s="229"/>
      <c r="M423" s="15"/>
      <c r="N423" s="15"/>
      <c r="O423" s="15"/>
      <c r="P423" s="15"/>
      <c r="Q423" s="15"/>
      <c r="R423" s="15"/>
      <c r="S423" s="15"/>
      <c r="T423" s="15"/>
      <c r="U423" s="74"/>
      <c r="V423" s="74"/>
      <c r="W423" s="74"/>
      <c r="X423" s="74"/>
      <c r="Y423" s="74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229"/>
      <c r="K424" s="229"/>
      <c r="L424" s="229"/>
      <c r="M424" s="15"/>
      <c r="N424" s="15"/>
      <c r="O424" s="15"/>
      <c r="P424" s="15"/>
      <c r="Q424" s="15"/>
      <c r="R424" s="15"/>
      <c r="S424" s="15"/>
      <c r="T424" s="15"/>
      <c r="U424" s="74"/>
      <c r="V424" s="74"/>
      <c r="W424" s="74"/>
      <c r="X424" s="74"/>
      <c r="Y424" s="74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229"/>
      <c r="K425" s="229"/>
      <c r="L425" s="229"/>
      <c r="M425" s="15"/>
      <c r="N425" s="15"/>
      <c r="O425" s="15"/>
      <c r="P425" s="15"/>
      <c r="Q425" s="15"/>
      <c r="R425" s="15"/>
      <c r="S425" s="15"/>
      <c r="T425" s="15"/>
      <c r="U425" s="74"/>
      <c r="V425" s="74"/>
      <c r="W425" s="74"/>
      <c r="X425" s="74"/>
      <c r="Y425" s="74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229"/>
      <c r="K426" s="229"/>
      <c r="L426" s="229"/>
      <c r="M426" s="15"/>
      <c r="N426" s="15"/>
      <c r="O426" s="15"/>
      <c r="P426" s="15"/>
      <c r="Q426" s="15"/>
      <c r="R426" s="15"/>
      <c r="S426" s="15"/>
      <c r="T426" s="15"/>
      <c r="U426" s="74"/>
      <c r="V426" s="74"/>
      <c r="W426" s="74"/>
      <c r="X426" s="74"/>
      <c r="Y426" s="74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229"/>
      <c r="K427" s="229"/>
      <c r="L427" s="229"/>
      <c r="M427" s="15"/>
      <c r="N427" s="15"/>
      <c r="O427" s="15"/>
      <c r="P427" s="15"/>
      <c r="Q427" s="15"/>
      <c r="R427" s="15"/>
      <c r="S427" s="15"/>
      <c r="T427" s="15"/>
      <c r="U427" s="74"/>
      <c r="V427" s="74"/>
      <c r="W427" s="74"/>
      <c r="X427" s="74"/>
      <c r="Y427" s="74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229"/>
      <c r="K428" s="229"/>
      <c r="L428" s="229"/>
      <c r="M428" s="15"/>
      <c r="N428" s="15"/>
      <c r="O428" s="15"/>
      <c r="P428" s="15"/>
      <c r="Q428" s="15"/>
      <c r="R428" s="15"/>
      <c r="S428" s="15"/>
      <c r="T428" s="15"/>
      <c r="U428" s="74"/>
      <c r="V428" s="74"/>
      <c r="W428" s="74"/>
      <c r="X428" s="74"/>
      <c r="Y428" s="74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229"/>
      <c r="K429" s="229"/>
      <c r="L429" s="229"/>
      <c r="M429" s="15"/>
      <c r="N429" s="15"/>
      <c r="O429" s="15"/>
      <c r="P429" s="15"/>
      <c r="Q429" s="15"/>
      <c r="R429" s="15"/>
      <c r="S429" s="15"/>
      <c r="T429" s="15"/>
      <c r="U429" s="74"/>
      <c r="V429" s="74"/>
      <c r="W429" s="74"/>
      <c r="X429" s="74"/>
      <c r="Y429" s="74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229"/>
      <c r="K430" s="229"/>
      <c r="L430" s="229"/>
      <c r="M430" s="15"/>
      <c r="N430" s="15"/>
      <c r="O430" s="15"/>
      <c r="P430" s="15"/>
      <c r="Q430" s="15"/>
      <c r="R430" s="15"/>
      <c r="S430" s="15"/>
      <c r="T430" s="15"/>
      <c r="U430" s="74"/>
      <c r="V430" s="74"/>
      <c r="W430" s="74"/>
      <c r="X430" s="74"/>
      <c r="Y430" s="74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229"/>
      <c r="K431" s="229"/>
      <c r="L431" s="229"/>
      <c r="M431" s="15"/>
      <c r="N431" s="15"/>
      <c r="O431" s="15"/>
      <c r="P431" s="15"/>
      <c r="Q431" s="15"/>
      <c r="R431" s="15"/>
      <c r="S431" s="15"/>
      <c r="T431" s="15"/>
      <c r="U431" s="74"/>
      <c r="V431" s="74"/>
      <c r="W431" s="74"/>
      <c r="X431" s="74"/>
      <c r="Y431" s="74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229"/>
      <c r="K432" s="229"/>
      <c r="L432" s="229"/>
      <c r="M432" s="15"/>
      <c r="N432" s="15"/>
      <c r="O432" s="15"/>
      <c r="P432" s="15"/>
      <c r="Q432" s="15"/>
      <c r="R432" s="15"/>
      <c r="S432" s="15"/>
      <c r="T432" s="15"/>
      <c r="U432" s="74"/>
      <c r="V432" s="74"/>
      <c r="W432" s="74"/>
      <c r="X432" s="74"/>
      <c r="Y432" s="74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229"/>
      <c r="K433" s="229"/>
      <c r="L433" s="229"/>
      <c r="M433" s="15"/>
      <c r="N433" s="15"/>
      <c r="O433" s="15"/>
      <c r="P433" s="15"/>
      <c r="Q433" s="15"/>
      <c r="R433" s="15"/>
      <c r="S433" s="15"/>
      <c r="T433" s="15"/>
      <c r="U433" s="74"/>
      <c r="V433" s="74"/>
      <c r="W433" s="74"/>
      <c r="X433" s="74"/>
      <c r="Y433" s="74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229"/>
      <c r="K434" s="229"/>
      <c r="L434" s="229"/>
      <c r="M434" s="15"/>
      <c r="N434" s="15"/>
      <c r="O434" s="15"/>
      <c r="P434" s="15"/>
      <c r="Q434" s="15"/>
      <c r="R434" s="15"/>
      <c r="S434" s="15"/>
      <c r="T434" s="15"/>
      <c r="U434" s="74"/>
      <c r="V434" s="74"/>
      <c r="W434" s="74"/>
      <c r="X434" s="74"/>
      <c r="Y434" s="74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229"/>
      <c r="K435" s="229"/>
      <c r="L435" s="229"/>
      <c r="M435" s="15"/>
      <c r="N435" s="15"/>
      <c r="O435" s="15"/>
      <c r="P435" s="15"/>
      <c r="Q435" s="15"/>
      <c r="R435" s="15"/>
      <c r="S435" s="15"/>
      <c r="T435" s="15"/>
      <c r="U435" s="74"/>
      <c r="V435" s="74"/>
      <c r="W435" s="74"/>
      <c r="X435" s="74"/>
      <c r="Y435" s="74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229"/>
      <c r="K436" s="229"/>
      <c r="L436" s="229"/>
      <c r="M436" s="15"/>
      <c r="N436" s="15"/>
      <c r="O436" s="15"/>
      <c r="P436" s="15"/>
      <c r="Q436" s="15"/>
      <c r="R436" s="15"/>
      <c r="S436" s="15"/>
      <c r="T436" s="15"/>
      <c r="U436" s="74"/>
      <c r="V436" s="74"/>
      <c r="W436" s="74"/>
      <c r="X436" s="74"/>
      <c r="Y436" s="74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229"/>
      <c r="K437" s="229"/>
      <c r="L437" s="229"/>
      <c r="M437" s="15"/>
      <c r="N437" s="15"/>
      <c r="O437" s="15"/>
      <c r="P437" s="15"/>
      <c r="Q437" s="15"/>
      <c r="R437" s="15"/>
      <c r="S437" s="15"/>
      <c r="T437" s="15"/>
      <c r="U437" s="74"/>
      <c r="V437" s="74"/>
      <c r="W437" s="74"/>
      <c r="X437" s="74"/>
      <c r="Y437" s="74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229"/>
      <c r="K438" s="229"/>
      <c r="L438" s="229"/>
      <c r="M438" s="15"/>
      <c r="N438" s="15"/>
      <c r="O438" s="15"/>
      <c r="P438" s="15"/>
      <c r="Q438" s="15"/>
      <c r="R438" s="15"/>
      <c r="S438" s="15"/>
      <c r="T438" s="15"/>
      <c r="U438" s="74"/>
      <c r="V438" s="74"/>
      <c r="W438" s="74"/>
      <c r="X438" s="74"/>
      <c r="Y438" s="74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229"/>
      <c r="K439" s="229"/>
      <c r="L439" s="229"/>
      <c r="M439" s="15"/>
      <c r="N439" s="15"/>
      <c r="O439" s="15"/>
      <c r="P439" s="15"/>
      <c r="Q439" s="15"/>
      <c r="R439" s="15"/>
      <c r="S439" s="15"/>
      <c r="T439" s="15"/>
      <c r="U439" s="74"/>
      <c r="V439" s="74"/>
      <c r="W439" s="74"/>
      <c r="X439" s="74"/>
      <c r="Y439" s="74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229"/>
      <c r="K440" s="229"/>
      <c r="L440" s="229"/>
      <c r="M440" s="15"/>
      <c r="N440" s="15"/>
      <c r="O440" s="15"/>
      <c r="P440" s="15"/>
      <c r="Q440" s="15"/>
      <c r="R440" s="15"/>
      <c r="S440" s="15"/>
      <c r="T440" s="15"/>
      <c r="U440" s="74"/>
      <c r="V440" s="74"/>
      <c r="W440" s="74"/>
      <c r="X440" s="74"/>
      <c r="Y440" s="74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229"/>
      <c r="K441" s="229"/>
      <c r="L441" s="229"/>
      <c r="M441" s="15"/>
      <c r="N441" s="15"/>
      <c r="O441" s="15"/>
      <c r="P441" s="15"/>
      <c r="Q441" s="15"/>
      <c r="R441" s="15"/>
      <c r="S441" s="15"/>
      <c r="T441" s="15"/>
      <c r="U441" s="74"/>
      <c r="V441" s="74"/>
      <c r="W441" s="74"/>
      <c r="X441" s="74"/>
      <c r="Y441" s="74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229"/>
      <c r="K442" s="229"/>
      <c r="L442" s="229"/>
      <c r="M442" s="15"/>
      <c r="N442" s="15"/>
      <c r="O442" s="15"/>
      <c r="P442" s="15"/>
      <c r="Q442" s="15"/>
      <c r="R442" s="15"/>
      <c r="S442" s="15"/>
      <c r="T442" s="15"/>
      <c r="U442" s="74"/>
      <c r="V442" s="74"/>
      <c r="W442" s="74"/>
      <c r="X442" s="74"/>
      <c r="Y442" s="74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229"/>
      <c r="K443" s="229"/>
      <c r="L443" s="229"/>
      <c r="M443" s="15"/>
      <c r="N443" s="15"/>
      <c r="O443" s="15"/>
      <c r="P443" s="15"/>
      <c r="Q443" s="15"/>
      <c r="R443" s="15"/>
      <c r="S443" s="15"/>
      <c r="T443" s="15"/>
      <c r="U443" s="74"/>
      <c r="V443" s="74"/>
      <c r="W443" s="74"/>
      <c r="X443" s="74"/>
      <c r="Y443" s="74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229"/>
      <c r="K444" s="229"/>
      <c r="L444" s="229"/>
      <c r="M444" s="15"/>
      <c r="N444" s="15"/>
      <c r="O444" s="15"/>
      <c r="P444" s="15"/>
      <c r="Q444" s="15"/>
      <c r="R444" s="15"/>
      <c r="S444" s="15"/>
      <c r="T444" s="15"/>
      <c r="U444" s="74"/>
      <c r="V444" s="74"/>
      <c r="W444" s="74"/>
      <c r="X444" s="74"/>
      <c r="Y444" s="74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229"/>
      <c r="K445" s="229"/>
      <c r="L445" s="229"/>
      <c r="M445" s="15"/>
      <c r="N445" s="15"/>
      <c r="O445" s="15"/>
      <c r="P445" s="15"/>
      <c r="Q445" s="15"/>
      <c r="R445" s="15"/>
      <c r="S445" s="15"/>
      <c r="T445" s="15"/>
      <c r="U445" s="74"/>
      <c r="V445" s="74"/>
      <c r="W445" s="74"/>
      <c r="X445" s="74"/>
      <c r="Y445" s="74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229"/>
      <c r="K446" s="229"/>
      <c r="L446" s="229"/>
      <c r="M446" s="15"/>
      <c r="N446" s="15"/>
      <c r="O446" s="15"/>
      <c r="P446" s="15"/>
      <c r="Q446" s="15"/>
      <c r="R446" s="15"/>
      <c r="S446" s="15"/>
      <c r="T446" s="15"/>
      <c r="U446" s="74"/>
      <c r="V446" s="74"/>
      <c r="W446" s="74"/>
      <c r="X446" s="74"/>
      <c r="Y446" s="74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229"/>
      <c r="K447" s="229"/>
      <c r="L447" s="229"/>
      <c r="M447" s="15"/>
      <c r="N447" s="15"/>
      <c r="O447" s="15"/>
      <c r="P447" s="15"/>
      <c r="Q447" s="15"/>
      <c r="R447" s="15"/>
      <c r="S447" s="15"/>
      <c r="T447" s="15"/>
      <c r="U447" s="74"/>
      <c r="V447" s="74"/>
      <c r="W447" s="74"/>
      <c r="X447" s="74"/>
      <c r="Y447" s="74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229"/>
      <c r="K448" s="229"/>
      <c r="L448" s="229"/>
      <c r="M448" s="15"/>
      <c r="N448" s="15"/>
      <c r="O448" s="15"/>
      <c r="P448" s="15"/>
      <c r="Q448" s="15"/>
      <c r="R448" s="15"/>
      <c r="S448" s="15"/>
      <c r="T448" s="15"/>
      <c r="U448" s="74"/>
      <c r="V448" s="74"/>
      <c r="W448" s="74"/>
      <c r="X448" s="74"/>
      <c r="Y448" s="74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229"/>
      <c r="K449" s="229"/>
      <c r="L449" s="229"/>
      <c r="M449" s="15"/>
      <c r="N449" s="15"/>
      <c r="O449" s="15"/>
      <c r="P449" s="15"/>
      <c r="Q449" s="15"/>
      <c r="R449" s="15"/>
      <c r="S449" s="15"/>
      <c r="T449" s="15"/>
      <c r="U449" s="74"/>
      <c r="V449" s="74"/>
      <c r="W449" s="74"/>
      <c r="X449" s="74"/>
      <c r="Y449" s="74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229"/>
      <c r="K450" s="229"/>
      <c r="L450" s="229"/>
      <c r="M450" s="15"/>
      <c r="N450" s="15"/>
      <c r="O450" s="15"/>
      <c r="P450" s="15"/>
      <c r="Q450" s="15"/>
      <c r="R450" s="15"/>
      <c r="S450" s="15"/>
      <c r="T450" s="15"/>
      <c r="U450" s="74"/>
      <c r="V450" s="74"/>
      <c r="W450" s="74"/>
      <c r="X450" s="74"/>
      <c r="Y450" s="74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229"/>
      <c r="K451" s="229"/>
      <c r="L451" s="229"/>
      <c r="M451" s="15"/>
      <c r="N451" s="15"/>
      <c r="O451" s="15"/>
      <c r="P451" s="15"/>
      <c r="Q451" s="15"/>
      <c r="R451" s="15"/>
      <c r="S451" s="15"/>
      <c r="T451" s="15"/>
      <c r="U451" s="74"/>
      <c r="V451" s="74"/>
      <c r="W451" s="74"/>
      <c r="X451" s="74"/>
      <c r="Y451" s="74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229"/>
      <c r="K452" s="229"/>
      <c r="L452" s="229"/>
      <c r="M452" s="15"/>
      <c r="N452" s="15"/>
      <c r="O452" s="15"/>
      <c r="P452" s="15"/>
      <c r="Q452" s="15"/>
      <c r="R452" s="15"/>
      <c r="S452" s="15"/>
      <c r="T452" s="15"/>
      <c r="U452" s="74"/>
      <c r="V452" s="74"/>
      <c r="W452" s="74"/>
      <c r="X452" s="74"/>
      <c r="Y452" s="74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229"/>
      <c r="K453" s="229"/>
      <c r="L453" s="229"/>
      <c r="M453" s="15"/>
      <c r="N453" s="15"/>
      <c r="O453" s="15"/>
      <c r="P453" s="15"/>
      <c r="Q453" s="15"/>
      <c r="R453" s="15"/>
      <c r="S453" s="15"/>
      <c r="T453" s="15"/>
      <c r="U453" s="74"/>
      <c r="V453" s="74"/>
      <c r="W453" s="74"/>
      <c r="X453" s="74"/>
      <c r="Y453" s="74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229"/>
      <c r="K454" s="229"/>
      <c r="L454" s="229"/>
      <c r="M454" s="15"/>
      <c r="N454" s="15"/>
      <c r="O454" s="15"/>
      <c r="P454" s="15"/>
      <c r="Q454" s="15"/>
      <c r="R454" s="15"/>
      <c r="S454" s="15"/>
      <c r="T454" s="15"/>
      <c r="U454" s="74"/>
      <c r="V454" s="74"/>
      <c r="W454" s="74"/>
      <c r="X454" s="74"/>
      <c r="Y454" s="74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229"/>
      <c r="K455" s="229"/>
      <c r="L455" s="229"/>
      <c r="M455" s="15"/>
      <c r="N455" s="15"/>
      <c r="O455" s="15"/>
      <c r="P455" s="15"/>
      <c r="Q455" s="15"/>
      <c r="R455" s="15"/>
      <c r="S455" s="15"/>
      <c r="T455" s="15"/>
      <c r="U455" s="74"/>
      <c r="V455" s="74"/>
      <c r="W455" s="74"/>
      <c r="X455" s="74"/>
      <c r="Y455" s="74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229"/>
      <c r="K456" s="229"/>
      <c r="L456" s="229"/>
      <c r="M456" s="15"/>
      <c r="N456" s="15"/>
      <c r="O456" s="15"/>
      <c r="P456" s="15"/>
      <c r="Q456" s="15"/>
      <c r="R456" s="15"/>
      <c r="S456" s="15"/>
      <c r="T456" s="15"/>
      <c r="U456" s="74"/>
      <c r="V456" s="74"/>
      <c r="W456" s="74"/>
      <c r="X456" s="74"/>
      <c r="Y456" s="74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229"/>
      <c r="K457" s="229"/>
      <c r="L457" s="229"/>
      <c r="M457" s="15"/>
      <c r="N457" s="15"/>
      <c r="O457" s="15"/>
      <c r="P457" s="15"/>
      <c r="Q457" s="15"/>
      <c r="R457" s="15"/>
      <c r="S457" s="15"/>
      <c r="T457" s="15"/>
      <c r="U457" s="74"/>
      <c r="V457" s="74"/>
      <c r="W457" s="74"/>
      <c r="X457" s="74"/>
      <c r="Y457" s="74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229"/>
      <c r="K458" s="229"/>
      <c r="L458" s="229"/>
      <c r="M458" s="15"/>
      <c r="N458" s="15"/>
      <c r="O458" s="15"/>
      <c r="P458" s="15"/>
      <c r="Q458" s="15"/>
      <c r="R458" s="15"/>
      <c r="S458" s="15"/>
      <c r="T458" s="15"/>
      <c r="U458" s="74"/>
      <c r="V458" s="74"/>
      <c r="W458" s="74"/>
      <c r="X458" s="74"/>
      <c r="Y458" s="74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229"/>
      <c r="K459" s="229"/>
      <c r="L459" s="229"/>
      <c r="M459" s="15"/>
      <c r="N459" s="15"/>
      <c r="O459" s="15"/>
      <c r="P459" s="15"/>
      <c r="Q459" s="15"/>
      <c r="R459" s="15"/>
      <c r="S459" s="15"/>
      <c r="T459" s="15"/>
      <c r="U459" s="74"/>
      <c r="V459" s="74"/>
      <c r="W459" s="74"/>
      <c r="X459" s="74"/>
      <c r="Y459" s="74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229"/>
      <c r="K460" s="229"/>
      <c r="L460" s="229"/>
      <c r="M460" s="15"/>
      <c r="N460" s="15"/>
      <c r="O460" s="15"/>
      <c r="P460" s="15"/>
      <c r="Q460" s="15"/>
      <c r="R460" s="15"/>
      <c r="S460" s="15"/>
      <c r="T460" s="15"/>
      <c r="U460" s="74"/>
      <c r="V460" s="74"/>
      <c r="W460" s="74"/>
      <c r="X460" s="74"/>
      <c r="Y460" s="74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229"/>
      <c r="K461" s="229"/>
      <c r="L461" s="229"/>
      <c r="M461" s="15"/>
      <c r="N461" s="15"/>
      <c r="O461" s="15"/>
      <c r="P461" s="15"/>
      <c r="Q461" s="15"/>
      <c r="R461" s="15"/>
      <c r="S461" s="15"/>
      <c r="T461" s="15"/>
      <c r="U461" s="74"/>
      <c r="V461" s="74"/>
      <c r="W461" s="74"/>
      <c r="X461" s="74"/>
      <c r="Y461" s="74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229"/>
      <c r="K462" s="229"/>
      <c r="L462" s="229"/>
      <c r="M462" s="15"/>
      <c r="N462" s="15"/>
      <c r="O462" s="15"/>
      <c r="P462" s="15"/>
      <c r="Q462" s="15"/>
      <c r="R462" s="15"/>
      <c r="S462" s="15"/>
      <c r="T462" s="15"/>
      <c r="U462" s="74"/>
      <c r="V462" s="74"/>
      <c r="W462" s="74"/>
      <c r="X462" s="74"/>
      <c r="Y462" s="74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229"/>
      <c r="K463" s="229"/>
      <c r="L463" s="229"/>
      <c r="M463" s="15"/>
      <c r="N463" s="15"/>
      <c r="O463" s="15"/>
      <c r="P463" s="15"/>
      <c r="Q463" s="15"/>
      <c r="R463" s="15"/>
      <c r="S463" s="15"/>
      <c r="T463" s="15"/>
      <c r="U463" s="74"/>
      <c r="V463" s="74"/>
      <c r="W463" s="74"/>
      <c r="X463" s="74"/>
      <c r="Y463" s="74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229"/>
      <c r="K464" s="229"/>
      <c r="L464" s="229"/>
      <c r="M464" s="15"/>
      <c r="N464" s="15"/>
      <c r="O464" s="15"/>
      <c r="P464" s="15"/>
      <c r="Q464" s="15"/>
      <c r="R464" s="15"/>
      <c r="S464" s="15"/>
      <c r="T464" s="15"/>
      <c r="U464" s="74"/>
      <c r="V464" s="74"/>
      <c r="W464" s="74"/>
      <c r="X464" s="74"/>
      <c r="Y464" s="74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229"/>
      <c r="K465" s="229"/>
      <c r="L465" s="229"/>
      <c r="M465" s="15"/>
      <c r="N465" s="15"/>
      <c r="O465" s="15"/>
      <c r="P465" s="15"/>
      <c r="Q465" s="15"/>
      <c r="R465" s="15"/>
      <c r="S465" s="15"/>
      <c r="T465" s="15"/>
      <c r="U465" s="74"/>
      <c r="V465" s="74"/>
      <c r="W465" s="74"/>
      <c r="X465" s="74"/>
      <c r="Y465" s="74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229"/>
      <c r="K466" s="229"/>
      <c r="L466" s="229"/>
      <c r="M466" s="15"/>
      <c r="N466" s="15"/>
      <c r="O466" s="15"/>
      <c r="P466" s="15"/>
      <c r="Q466" s="15"/>
      <c r="R466" s="15"/>
      <c r="S466" s="15"/>
      <c r="T466" s="15"/>
      <c r="U466" s="74"/>
      <c r="V466" s="74"/>
      <c r="W466" s="74"/>
      <c r="X466" s="74"/>
      <c r="Y466" s="74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229"/>
      <c r="K467" s="229"/>
      <c r="L467" s="229"/>
      <c r="M467" s="15"/>
      <c r="N467" s="15"/>
      <c r="O467" s="15"/>
      <c r="P467" s="15"/>
      <c r="Q467" s="15"/>
      <c r="R467" s="15"/>
      <c r="S467" s="15"/>
      <c r="T467" s="15"/>
      <c r="U467" s="74"/>
      <c r="V467" s="74"/>
      <c r="W467" s="74"/>
      <c r="X467" s="74"/>
      <c r="Y467" s="74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229"/>
      <c r="K468" s="229"/>
      <c r="L468" s="229"/>
      <c r="M468" s="15"/>
      <c r="N468" s="15"/>
      <c r="O468" s="15"/>
      <c r="P468" s="15"/>
      <c r="Q468" s="15"/>
      <c r="R468" s="15"/>
      <c r="S468" s="15"/>
      <c r="T468" s="15"/>
      <c r="U468" s="74"/>
      <c r="V468" s="74"/>
      <c r="W468" s="74"/>
      <c r="X468" s="74"/>
      <c r="Y468" s="74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229"/>
      <c r="K469" s="229"/>
      <c r="L469" s="229"/>
      <c r="M469" s="15"/>
      <c r="N469" s="15"/>
      <c r="O469" s="15"/>
      <c r="P469" s="15"/>
      <c r="Q469" s="15"/>
      <c r="R469" s="15"/>
      <c r="S469" s="15"/>
      <c r="T469" s="15"/>
      <c r="U469" s="74"/>
      <c r="V469" s="74"/>
      <c r="W469" s="74"/>
      <c r="X469" s="74"/>
      <c r="Y469" s="74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229"/>
      <c r="K470" s="229"/>
      <c r="L470" s="229"/>
      <c r="M470" s="15"/>
      <c r="N470" s="15"/>
      <c r="O470" s="15"/>
      <c r="P470" s="15"/>
      <c r="Q470" s="15"/>
      <c r="R470" s="15"/>
      <c r="S470" s="15"/>
      <c r="T470" s="15"/>
      <c r="U470" s="74"/>
      <c r="V470" s="74"/>
      <c r="W470" s="74"/>
      <c r="X470" s="74"/>
      <c r="Y470" s="74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229"/>
      <c r="K471" s="229"/>
      <c r="L471" s="229"/>
      <c r="M471" s="15"/>
      <c r="N471" s="15"/>
      <c r="O471" s="15"/>
      <c r="P471" s="15"/>
      <c r="Q471" s="15"/>
      <c r="R471" s="15"/>
      <c r="S471" s="15"/>
      <c r="T471" s="15"/>
      <c r="U471" s="74"/>
      <c r="V471" s="74"/>
      <c r="W471" s="74"/>
      <c r="X471" s="74"/>
      <c r="Y471" s="74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229"/>
      <c r="K472" s="229"/>
      <c r="L472" s="229"/>
      <c r="M472" s="15"/>
      <c r="N472" s="15"/>
      <c r="O472" s="15"/>
      <c r="P472" s="15"/>
      <c r="Q472" s="15"/>
      <c r="R472" s="15"/>
      <c r="S472" s="15"/>
      <c r="T472" s="15"/>
      <c r="U472" s="74"/>
      <c r="V472" s="74"/>
      <c r="W472" s="74"/>
      <c r="X472" s="74"/>
      <c r="Y472" s="74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229"/>
      <c r="K473" s="229"/>
      <c r="L473" s="229"/>
      <c r="M473" s="15"/>
      <c r="N473" s="15"/>
      <c r="O473" s="15"/>
      <c r="P473" s="15"/>
      <c r="Q473" s="15"/>
      <c r="R473" s="15"/>
      <c r="S473" s="15"/>
      <c r="T473" s="15"/>
      <c r="U473" s="74"/>
      <c r="V473" s="74"/>
      <c r="W473" s="74"/>
      <c r="X473" s="74"/>
      <c r="Y473" s="74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229"/>
      <c r="K474" s="229"/>
      <c r="L474" s="229"/>
      <c r="M474" s="15"/>
      <c r="N474" s="15"/>
      <c r="O474" s="15"/>
      <c r="P474" s="15"/>
      <c r="Q474" s="15"/>
      <c r="R474" s="15"/>
      <c r="S474" s="15"/>
      <c r="T474" s="15"/>
      <c r="U474" s="74"/>
      <c r="V474" s="74"/>
      <c r="W474" s="74"/>
      <c r="X474" s="74"/>
      <c r="Y474" s="74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229"/>
      <c r="K475" s="229"/>
      <c r="L475" s="229"/>
      <c r="M475" s="15"/>
      <c r="N475" s="15"/>
      <c r="O475" s="15"/>
      <c r="P475" s="15"/>
      <c r="Q475" s="15"/>
      <c r="R475" s="15"/>
      <c r="S475" s="15"/>
      <c r="T475" s="15"/>
      <c r="U475" s="74"/>
      <c r="V475" s="74"/>
      <c r="W475" s="74"/>
      <c r="X475" s="74"/>
      <c r="Y475" s="74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229"/>
      <c r="K476" s="229"/>
      <c r="L476" s="229"/>
      <c r="M476" s="15"/>
      <c r="N476" s="15"/>
      <c r="O476" s="15"/>
      <c r="P476" s="15"/>
      <c r="Q476" s="15"/>
      <c r="R476" s="15"/>
      <c r="S476" s="15"/>
      <c r="T476" s="15"/>
      <c r="U476" s="74"/>
      <c r="V476" s="74"/>
      <c r="W476" s="74"/>
      <c r="X476" s="74"/>
      <c r="Y476" s="74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229"/>
      <c r="K477" s="229"/>
      <c r="L477" s="229"/>
      <c r="M477" s="15"/>
      <c r="N477" s="15"/>
      <c r="O477" s="15"/>
      <c r="P477" s="15"/>
      <c r="Q477" s="15"/>
      <c r="R477" s="15"/>
      <c r="S477" s="15"/>
      <c r="T477" s="15"/>
      <c r="U477" s="74"/>
      <c r="V477" s="74"/>
      <c r="W477" s="74"/>
      <c r="X477" s="74"/>
      <c r="Y477" s="74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229"/>
      <c r="K478" s="229"/>
      <c r="L478" s="229"/>
      <c r="M478" s="15"/>
      <c r="N478" s="15"/>
      <c r="O478" s="15"/>
      <c r="P478" s="15"/>
      <c r="Q478" s="15"/>
      <c r="R478" s="15"/>
      <c r="S478" s="15"/>
      <c r="T478" s="15"/>
      <c r="U478" s="74"/>
      <c r="V478" s="74"/>
      <c r="W478" s="74"/>
      <c r="X478" s="74"/>
      <c r="Y478" s="74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229"/>
      <c r="K479" s="229"/>
      <c r="L479" s="229"/>
      <c r="M479" s="15"/>
      <c r="N479" s="15"/>
      <c r="O479" s="15"/>
      <c r="P479" s="15"/>
      <c r="Q479" s="15"/>
      <c r="R479" s="15"/>
      <c r="S479" s="15"/>
      <c r="T479" s="15"/>
      <c r="U479" s="74"/>
      <c r="V479" s="74"/>
      <c r="W479" s="74"/>
      <c r="X479" s="74"/>
      <c r="Y479" s="74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229"/>
      <c r="K480" s="229"/>
      <c r="L480" s="229"/>
      <c r="M480" s="15"/>
      <c r="N480" s="15"/>
      <c r="O480" s="15"/>
      <c r="P480" s="15"/>
      <c r="Q480" s="15"/>
      <c r="R480" s="15"/>
      <c r="S480" s="15"/>
      <c r="T480" s="15"/>
      <c r="U480" s="74"/>
      <c r="V480" s="74"/>
      <c r="W480" s="74"/>
      <c r="X480" s="74"/>
      <c r="Y480" s="74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229"/>
      <c r="K481" s="229"/>
      <c r="L481" s="229"/>
      <c r="M481" s="15"/>
      <c r="N481" s="15"/>
      <c r="O481" s="15"/>
      <c r="P481" s="15"/>
      <c r="Q481" s="15"/>
      <c r="R481" s="15"/>
      <c r="S481" s="15"/>
      <c r="T481" s="15"/>
      <c r="U481" s="74"/>
      <c r="V481" s="74"/>
      <c r="W481" s="74"/>
      <c r="X481" s="74"/>
      <c r="Y481" s="74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229"/>
      <c r="K482" s="229"/>
      <c r="L482" s="229"/>
      <c r="M482" s="15"/>
      <c r="N482" s="15"/>
      <c r="O482" s="15"/>
      <c r="P482" s="15"/>
      <c r="Q482" s="15"/>
      <c r="R482" s="15"/>
      <c r="S482" s="15"/>
      <c r="T482" s="15"/>
      <c r="U482" s="74"/>
      <c r="V482" s="74"/>
      <c r="W482" s="74"/>
      <c r="X482" s="74"/>
      <c r="Y482" s="74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229"/>
      <c r="K483" s="229"/>
      <c r="L483" s="229"/>
      <c r="M483" s="15"/>
      <c r="N483" s="15"/>
      <c r="O483" s="15"/>
      <c r="P483" s="15"/>
      <c r="Q483" s="15"/>
      <c r="R483" s="15"/>
      <c r="S483" s="15"/>
      <c r="T483" s="15"/>
      <c r="U483" s="74"/>
      <c r="V483" s="74"/>
      <c r="W483" s="74"/>
      <c r="X483" s="74"/>
      <c r="Y483" s="74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229"/>
      <c r="K484" s="229"/>
      <c r="L484" s="229"/>
      <c r="M484" s="15"/>
      <c r="N484" s="15"/>
      <c r="O484" s="15"/>
      <c r="P484" s="15"/>
      <c r="Q484" s="15"/>
      <c r="R484" s="15"/>
      <c r="S484" s="15"/>
      <c r="T484" s="15"/>
      <c r="U484" s="74"/>
      <c r="V484" s="74"/>
      <c r="W484" s="74"/>
      <c r="X484" s="74"/>
      <c r="Y484" s="74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229"/>
      <c r="K485" s="229"/>
      <c r="L485" s="229"/>
      <c r="M485" s="15"/>
      <c r="N485" s="15"/>
      <c r="O485" s="15"/>
      <c r="P485" s="15"/>
      <c r="Q485" s="15"/>
      <c r="R485" s="15"/>
      <c r="S485" s="15"/>
      <c r="T485" s="15"/>
      <c r="U485" s="74"/>
      <c r="V485" s="74"/>
      <c r="W485" s="74"/>
      <c r="X485" s="74"/>
      <c r="Y485" s="74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229"/>
      <c r="K486" s="229"/>
      <c r="L486" s="229"/>
      <c r="M486" s="15"/>
      <c r="N486" s="15"/>
      <c r="O486" s="15"/>
      <c r="P486" s="15"/>
      <c r="Q486" s="15"/>
      <c r="R486" s="15"/>
      <c r="S486" s="15"/>
      <c r="T486" s="15"/>
      <c r="U486" s="74"/>
      <c r="V486" s="74"/>
      <c r="W486" s="74"/>
      <c r="X486" s="74"/>
      <c r="Y486" s="74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229"/>
      <c r="K487" s="229"/>
      <c r="L487" s="229"/>
      <c r="M487" s="15"/>
      <c r="N487" s="15"/>
      <c r="O487" s="15"/>
      <c r="P487" s="15"/>
      <c r="Q487" s="15"/>
      <c r="R487" s="15"/>
      <c r="S487" s="15"/>
      <c r="T487" s="15"/>
      <c r="U487" s="74"/>
      <c r="V487" s="74"/>
      <c r="W487" s="74"/>
      <c r="X487" s="74"/>
      <c r="Y487" s="74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229"/>
      <c r="K488" s="229"/>
      <c r="L488" s="229"/>
      <c r="M488" s="15"/>
      <c r="N488" s="15"/>
      <c r="O488" s="15"/>
      <c r="P488" s="15"/>
      <c r="Q488" s="15"/>
      <c r="R488" s="15"/>
      <c r="S488" s="15"/>
      <c r="T488" s="15"/>
      <c r="U488" s="74"/>
      <c r="V488" s="74"/>
      <c r="W488" s="74"/>
      <c r="X488" s="74"/>
      <c r="Y488" s="74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229"/>
      <c r="K489" s="229"/>
      <c r="L489" s="229"/>
      <c r="M489" s="15"/>
      <c r="N489" s="15"/>
      <c r="O489" s="15"/>
      <c r="P489" s="15"/>
      <c r="Q489" s="15"/>
      <c r="R489" s="15"/>
      <c r="S489" s="15"/>
      <c r="T489" s="15"/>
      <c r="U489" s="74"/>
      <c r="V489" s="74"/>
      <c r="W489" s="74"/>
      <c r="X489" s="74"/>
      <c r="Y489" s="74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229"/>
      <c r="K490" s="229"/>
      <c r="L490" s="229"/>
      <c r="M490" s="15"/>
      <c r="N490" s="15"/>
      <c r="O490" s="15"/>
      <c r="P490" s="15"/>
      <c r="Q490" s="15"/>
      <c r="R490" s="15"/>
      <c r="S490" s="15"/>
      <c r="T490" s="15"/>
      <c r="U490" s="74"/>
      <c r="V490" s="74"/>
      <c r="W490" s="74"/>
      <c r="X490" s="74"/>
      <c r="Y490" s="74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229"/>
      <c r="K491" s="229"/>
      <c r="L491" s="229"/>
      <c r="M491" s="15"/>
      <c r="N491" s="15"/>
      <c r="O491" s="15"/>
      <c r="P491" s="15"/>
      <c r="Q491" s="15"/>
      <c r="R491" s="15"/>
      <c r="S491" s="15"/>
      <c r="T491" s="15"/>
      <c r="U491" s="74"/>
      <c r="V491" s="74"/>
      <c r="W491" s="74"/>
      <c r="X491" s="74"/>
      <c r="Y491" s="74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229"/>
      <c r="K492" s="229"/>
      <c r="L492" s="229"/>
      <c r="M492" s="15"/>
      <c r="N492" s="15"/>
      <c r="O492" s="15"/>
      <c r="P492" s="15"/>
      <c r="Q492" s="15"/>
      <c r="R492" s="15"/>
      <c r="S492" s="15"/>
      <c r="T492" s="15"/>
      <c r="U492" s="74"/>
      <c r="V492" s="74"/>
      <c r="W492" s="74"/>
      <c r="X492" s="74"/>
      <c r="Y492" s="74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229"/>
      <c r="K493" s="229"/>
      <c r="L493" s="229"/>
      <c r="M493" s="15"/>
      <c r="N493" s="15"/>
      <c r="O493" s="15"/>
      <c r="P493" s="15"/>
      <c r="Q493" s="15"/>
      <c r="R493" s="15"/>
      <c r="S493" s="15"/>
      <c r="T493" s="15"/>
      <c r="U493" s="74"/>
      <c r="V493" s="74"/>
      <c r="W493" s="74"/>
      <c r="X493" s="74"/>
      <c r="Y493" s="74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229"/>
      <c r="K494" s="229"/>
      <c r="L494" s="229"/>
      <c r="M494" s="15"/>
      <c r="N494" s="15"/>
      <c r="O494" s="15"/>
      <c r="P494" s="15"/>
      <c r="Q494" s="15"/>
      <c r="R494" s="15"/>
      <c r="S494" s="15"/>
      <c r="T494" s="15"/>
      <c r="U494" s="74"/>
      <c r="V494" s="74"/>
      <c r="W494" s="74"/>
      <c r="X494" s="74"/>
      <c r="Y494" s="74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229"/>
      <c r="K495" s="229"/>
      <c r="L495" s="229"/>
      <c r="M495" s="15"/>
      <c r="N495" s="15"/>
      <c r="O495" s="15"/>
      <c r="P495" s="15"/>
      <c r="Q495" s="15"/>
      <c r="R495" s="15"/>
      <c r="S495" s="15"/>
      <c r="T495" s="15"/>
      <c r="U495" s="74"/>
      <c r="V495" s="74"/>
      <c r="W495" s="74"/>
      <c r="X495" s="74"/>
      <c r="Y495" s="74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229"/>
      <c r="K496" s="229"/>
      <c r="L496" s="229"/>
      <c r="M496" s="15"/>
      <c r="N496" s="15"/>
      <c r="O496" s="15"/>
      <c r="P496" s="15"/>
      <c r="Q496" s="15"/>
      <c r="R496" s="15"/>
      <c r="S496" s="15"/>
      <c r="T496" s="15"/>
      <c r="U496" s="74"/>
      <c r="V496" s="74"/>
      <c r="W496" s="74"/>
      <c r="X496" s="74"/>
      <c r="Y496" s="74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229"/>
      <c r="K497" s="229"/>
      <c r="L497" s="229"/>
      <c r="M497" s="15"/>
      <c r="N497" s="15"/>
      <c r="O497" s="15"/>
      <c r="P497" s="15"/>
      <c r="Q497" s="15"/>
      <c r="R497" s="15"/>
      <c r="S497" s="15"/>
      <c r="T497" s="15"/>
      <c r="U497" s="74"/>
      <c r="V497" s="74"/>
      <c r="W497" s="74"/>
      <c r="X497" s="74"/>
      <c r="Y497" s="74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229"/>
      <c r="K498" s="229"/>
      <c r="L498" s="229"/>
      <c r="M498" s="15"/>
      <c r="N498" s="15"/>
      <c r="O498" s="15"/>
      <c r="P498" s="15"/>
      <c r="Q498" s="15"/>
      <c r="R498" s="15"/>
      <c r="S498" s="15"/>
      <c r="T498" s="15"/>
      <c r="U498" s="74"/>
      <c r="V498" s="74"/>
      <c r="W498" s="74"/>
      <c r="X498" s="74"/>
      <c r="Y498" s="74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229"/>
      <c r="K499" s="229"/>
      <c r="L499" s="229"/>
      <c r="M499" s="15"/>
      <c r="N499" s="15"/>
      <c r="O499" s="15"/>
      <c r="P499" s="15"/>
      <c r="Q499" s="15"/>
      <c r="R499" s="15"/>
      <c r="S499" s="15"/>
      <c r="T499" s="15"/>
      <c r="U499" s="74"/>
      <c r="V499" s="74"/>
      <c r="W499" s="74"/>
      <c r="X499" s="74"/>
      <c r="Y499" s="74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229"/>
      <c r="K500" s="229"/>
      <c r="L500" s="229"/>
      <c r="M500" s="15"/>
      <c r="N500" s="15"/>
      <c r="O500" s="15"/>
      <c r="P500" s="15"/>
      <c r="Q500" s="15"/>
      <c r="R500" s="15"/>
      <c r="S500" s="15"/>
      <c r="T500" s="15"/>
      <c r="U500" s="74"/>
      <c r="V500" s="74"/>
      <c r="W500" s="74"/>
      <c r="X500" s="74"/>
      <c r="Y500" s="74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229"/>
      <c r="K501" s="229"/>
      <c r="L501" s="229"/>
      <c r="M501" s="15"/>
      <c r="N501" s="15"/>
      <c r="O501" s="15"/>
      <c r="P501" s="15"/>
      <c r="Q501" s="15"/>
      <c r="R501" s="15"/>
      <c r="S501" s="15"/>
      <c r="T501" s="15"/>
      <c r="U501" s="74"/>
      <c r="V501" s="74"/>
      <c r="W501" s="74"/>
      <c r="X501" s="74"/>
      <c r="Y501" s="74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229"/>
      <c r="K502" s="229"/>
      <c r="L502" s="229"/>
      <c r="M502" s="15"/>
      <c r="N502" s="15"/>
      <c r="O502" s="15"/>
      <c r="P502" s="15"/>
      <c r="Q502" s="15"/>
      <c r="R502" s="15"/>
      <c r="S502" s="15"/>
      <c r="T502" s="15"/>
      <c r="U502" s="74"/>
      <c r="V502" s="74"/>
      <c r="W502" s="74"/>
      <c r="X502" s="74"/>
      <c r="Y502" s="74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229"/>
      <c r="K503" s="229"/>
      <c r="L503" s="229"/>
      <c r="M503" s="15"/>
      <c r="N503" s="15"/>
      <c r="O503" s="15"/>
      <c r="P503" s="15"/>
      <c r="Q503" s="15"/>
      <c r="R503" s="15"/>
      <c r="S503" s="15"/>
      <c r="T503" s="15"/>
      <c r="U503" s="74"/>
      <c r="V503" s="74"/>
      <c r="W503" s="74"/>
      <c r="X503" s="74"/>
      <c r="Y503" s="74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229"/>
      <c r="K504" s="229"/>
      <c r="L504" s="229"/>
      <c r="M504" s="15"/>
      <c r="N504" s="15"/>
      <c r="O504" s="15"/>
      <c r="P504" s="15"/>
      <c r="Q504" s="15"/>
      <c r="R504" s="15"/>
      <c r="S504" s="15"/>
      <c r="T504" s="15"/>
      <c r="U504" s="74"/>
      <c r="V504" s="74"/>
      <c r="W504" s="74"/>
      <c r="X504" s="74"/>
      <c r="Y504" s="74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229"/>
      <c r="K505" s="229"/>
      <c r="L505" s="229"/>
      <c r="M505" s="15"/>
      <c r="N505" s="15"/>
      <c r="O505" s="15"/>
      <c r="P505" s="15"/>
      <c r="Q505" s="15"/>
      <c r="R505" s="15"/>
      <c r="S505" s="15"/>
      <c r="T505" s="15"/>
      <c r="U505" s="74"/>
      <c r="V505" s="74"/>
      <c r="W505" s="74"/>
      <c r="X505" s="74"/>
      <c r="Y505" s="74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229"/>
      <c r="K506" s="229"/>
      <c r="L506" s="229"/>
      <c r="M506" s="15"/>
      <c r="N506" s="15"/>
      <c r="O506" s="15"/>
      <c r="P506" s="15"/>
      <c r="Q506" s="15"/>
      <c r="R506" s="15"/>
      <c r="S506" s="15"/>
      <c r="T506" s="15"/>
      <c r="U506" s="74"/>
      <c r="V506" s="74"/>
      <c r="W506" s="74"/>
      <c r="X506" s="74"/>
      <c r="Y506" s="74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229"/>
      <c r="K507" s="229"/>
      <c r="L507" s="229"/>
      <c r="M507" s="15"/>
      <c r="N507" s="15"/>
      <c r="O507" s="15"/>
      <c r="P507" s="15"/>
      <c r="Q507" s="15"/>
      <c r="R507" s="15"/>
      <c r="S507" s="15"/>
      <c r="T507" s="15"/>
      <c r="U507" s="74"/>
      <c r="V507" s="74"/>
      <c r="W507" s="74"/>
      <c r="X507" s="74"/>
      <c r="Y507" s="74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229"/>
      <c r="K508" s="229"/>
      <c r="L508" s="229"/>
      <c r="M508" s="15"/>
      <c r="N508" s="15"/>
      <c r="O508" s="15"/>
      <c r="P508" s="15"/>
      <c r="Q508" s="15"/>
      <c r="R508" s="15"/>
      <c r="S508" s="15"/>
      <c r="T508" s="15"/>
      <c r="U508" s="74"/>
      <c r="V508" s="74"/>
      <c r="W508" s="74"/>
      <c r="X508" s="74"/>
      <c r="Y508" s="74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229"/>
      <c r="K509" s="229"/>
      <c r="L509" s="229"/>
      <c r="M509" s="15"/>
      <c r="N509" s="15"/>
      <c r="O509" s="15"/>
      <c r="P509" s="15"/>
      <c r="Q509" s="15"/>
      <c r="R509" s="15"/>
      <c r="S509" s="15"/>
      <c r="T509" s="15"/>
      <c r="U509" s="74"/>
      <c r="V509" s="74"/>
      <c r="W509" s="74"/>
      <c r="X509" s="74"/>
      <c r="Y509" s="74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229"/>
      <c r="K510" s="229"/>
      <c r="L510" s="229"/>
      <c r="M510" s="15"/>
      <c r="N510" s="15"/>
      <c r="O510" s="15"/>
      <c r="P510" s="15"/>
      <c r="Q510" s="15"/>
      <c r="R510" s="15"/>
      <c r="S510" s="15"/>
      <c r="T510" s="15"/>
      <c r="U510" s="74"/>
      <c r="V510" s="74"/>
      <c r="W510" s="74"/>
      <c r="X510" s="74"/>
      <c r="Y510" s="74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229"/>
      <c r="K511" s="229"/>
      <c r="L511" s="229"/>
      <c r="M511" s="15"/>
      <c r="N511" s="15"/>
      <c r="O511" s="15"/>
      <c r="P511" s="15"/>
      <c r="Q511" s="15"/>
      <c r="R511" s="15"/>
      <c r="S511" s="15"/>
      <c r="T511" s="15"/>
      <c r="U511" s="74"/>
      <c r="V511" s="74"/>
      <c r="W511" s="74"/>
      <c r="X511" s="74"/>
      <c r="Y511" s="74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229"/>
      <c r="K512" s="229"/>
      <c r="L512" s="229"/>
      <c r="M512" s="15"/>
      <c r="N512" s="15"/>
      <c r="O512" s="15"/>
      <c r="P512" s="15"/>
      <c r="Q512" s="15"/>
      <c r="R512" s="15"/>
      <c r="S512" s="15"/>
      <c r="T512" s="15"/>
      <c r="U512" s="74"/>
      <c r="V512" s="74"/>
      <c r="W512" s="74"/>
      <c r="X512" s="74"/>
      <c r="Y512" s="74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229"/>
      <c r="K513" s="229"/>
      <c r="L513" s="229"/>
      <c r="M513" s="15"/>
      <c r="N513" s="15"/>
      <c r="O513" s="15"/>
      <c r="P513" s="15"/>
      <c r="Q513" s="15"/>
      <c r="R513" s="15"/>
      <c r="S513" s="15"/>
      <c r="T513" s="15"/>
      <c r="U513" s="74"/>
      <c r="V513" s="74"/>
      <c r="W513" s="74"/>
      <c r="X513" s="74"/>
      <c r="Y513" s="74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229"/>
      <c r="K514" s="229"/>
      <c r="L514" s="229"/>
      <c r="M514" s="15"/>
      <c r="N514" s="15"/>
      <c r="O514" s="15"/>
      <c r="P514" s="15"/>
      <c r="Q514" s="15"/>
      <c r="R514" s="15"/>
      <c r="S514" s="15"/>
      <c r="T514" s="15"/>
      <c r="U514" s="74"/>
      <c r="V514" s="74"/>
      <c r="W514" s="74"/>
      <c r="X514" s="74"/>
      <c r="Y514" s="74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229"/>
      <c r="K515" s="229"/>
      <c r="L515" s="229"/>
      <c r="M515" s="15"/>
      <c r="N515" s="15"/>
      <c r="O515" s="15"/>
      <c r="P515" s="15"/>
      <c r="Q515" s="15"/>
      <c r="R515" s="15"/>
      <c r="S515" s="15"/>
      <c r="T515" s="15"/>
      <c r="U515" s="74"/>
      <c r="V515" s="74"/>
      <c r="W515" s="74"/>
      <c r="X515" s="74"/>
      <c r="Y515" s="74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229"/>
      <c r="K516" s="229"/>
      <c r="L516" s="229"/>
      <c r="M516" s="15"/>
      <c r="N516" s="15"/>
      <c r="O516" s="15"/>
      <c r="P516" s="15"/>
      <c r="Q516" s="15"/>
      <c r="R516" s="15"/>
      <c r="S516" s="15"/>
      <c r="T516" s="15"/>
      <c r="U516" s="74"/>
      <c r="V516" s="74"/>
      <c r="W516" s="74"/>
      <c r="X516" s="74"/>
      <c r="Y516" s="74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229"/>
      <c r="K517" s="229"/>
      <c r="L517" s="229"/>
      <c r="M517" s="15"/>
      <c r="N517" s="15"/>
      <c r="O517" s="15"/>
      <c r="P517" s="15"/>
      <c r="Q517" s="15"/>
      <c r="R517" s="15"/>
      <c r="S517" s="15"/>
      <c r="T517" s="15"/>
      <c r="U517" s="74"/>
      <c r="V517" s="74"/>
      <c r="W517" s="74"/>
      <c r="X517" s="74"/>
      <c r="Y517" s="74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229"/>
      <c r="K518" s="229"/>
      <c r="L518" s="229"/>
      <c r="M518" s="15"/>
      <c r="N518" s="15"/>
      <c r="O518" s="15"/>
      <c r="P518" s="15"/>
      <c r="Q518" s="15"/>
      <c r="R518" s="15"/>
      <c r="S518" s="15"/>
      <c r="T518" s="15"/>
      <c r="U518" s="74"/>
      <c r="V518" s="74"/>
      <c r="W518" s="74"/>
      <c r="X518" s="74"/>
      <c r="Y518" s="74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229"/>
      <c r="K519" s="229"/>
      <c r="L519" s="229"/>
      <c r="M519" s="15"/>
      <c r="N519" s="15"/>
      <c r="O519" s="15"/>
      <c r="P519" s="15"/>
      <c r="Q519" s="15"/>
      <c r="R519" s="15"/>
      <c r="S519" s="15"/>
      <c r="T519" s="15"/>
      <c r="U519" s="74"/>
      <c r="V519" s="74"/>
      <c r="W519" s="74"/>
      <c r="X519" s="74"/>
      <c r="Y519" s="74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229"/>
      <c r="K520" s="229"/>
      <c r="L520" s="229"/>
      <c r="M520" s="15"/>
      <c r="N520" s="15"/>
      <c r="O520" s="15"/>
      <c r="P520" s="15"/>
      <c r="Q520" s="15"/>
      <c r="R520" s="15"/>
      <c r="S520" s="15"/>
      <c r="T520" s="15"/>
      <c r="U520" s="74"/>
      <c r="V520" s="74"/>
      <c r="W520" s="74"/>
      <c r="X520" s="74"/>
      <c r="Y520" s="74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229"/>
      <c r="K521" s="229"/>
      <c r="L521" s="229"/>
      <c r="M521" s="15"/>
      <c r="N521" s="15"/>
      <c r="O521" s="15"/>
      <c r="P521" s="15"/>
      <c r="Q521" s="15"/>
      <c r="R521" s="15"/>
      <c r="S521" s="15"/>
      <c r="T521" s="15"/>
      <c r="U521" s="74"/>
      <c r="V521" s="74"/>
      <c r="W521" s="74"/>
      <c r="X521" s="74"/>
      <c r="Y521" s="74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229"/>
      <c r="K522" s="229"/>
      <c r="L522" s="229"/>
      <c r="M522" s="15"/>
      <c r="N522" s="15"/>
      <c r="O522" s="15"/>
      <c r="P522" s="15"/>
      <c r="Q522" s="15"/>
      <c r="R522" s="15"/>
      <c r="S522" s="15"/>
      <c r="T522" s="15"/>
      <c r="U522" s="74"/>
      <c r="V522" s="74"/>
      <c r="W522" s="74"/>
      <c r="X522" s="74"/>
      <c r="Y522" s="74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229"/>
      <c r="K523" s="229"/>
      <c r="L523" s="229"/>
      <c r="M523" s="15"/>
      <c r="N523" s="15"/>
      <c r="O523" s="15"/>
      <c r="P523" s="15"/>
      <c r="Q523" s="15"/>
      <c r="R523" s="15"/>
      <c r="S523" s="15"/>
      <c r="T523" s="15"/>
      <c r="U523" s="74"/>
      <c r="V523" s="74"/>
      <c r="W523" s="74"/>
      <c r="X523" s="74"/>
      <c r="Y523" s="74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229"/>
      <c r="K524" s="229"/>
      <c r="L524" s="229"/>
      <c r="M524" s="15"/>
      <c r="N524" s="15"/>
      <c r="O524" s="15"/>
      <c r="P524" s="15"/>
      <c r="Q524" s="15"/>
      <c r="R524" s="15"/>
      <c r="S524" s="15"/>
      <c r="T524" s="15"/>
      <c r="U524" s="74"/>
      <c r="V524" s="74"/>
      <c r="W524" s="74"/>
      <c r="X524" s="74"/>
      <c r="Y524" s="74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229"/>
      <c r="K525" s="229"/>
      <c r="L525" s="229"/>
      <c r="M525" s="15"/>
      <c r="N525" s="15"/>
      <c r="O525" s="15"/>
      <c r="P525" s="15"/>
      <c r="Q525" s="15"/>
      <c r="R525" s="15"/>
      <c r="S525" s="15"/>
      <c r="T525" s="15"/>
      <c r="U525" s="74"/>
      <c r="V525" s="74"/>
      <c r="W525" s="74"/>
      <c r="X525" s="74"/>
      <c r="Y525" s="74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229"/>
      <c r="K526" s="229"/>
      <c r="L526" s="229"/>
      <c r="M526" s="15"/>
      <c r="N526" s="15"/>
      <c r="O526" s="15"/>
      <c r="P526" s="15"/>
      <c r="Q526" s="15"/>
      <c r="R526" s="15"/>
      <c r="S526" s="15"/>
      <c r="T526" s="15"/>
      <c r="U526" s="74"/>
      <c r="V526" s="74"/>
      <c r="W526" s="74"/>
      <c r="X526" s="74"/>
      <c r="Y526" s="74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229"/>
      <c r="K527" s="229"/>
      <c r="L527" s="229"/>
      <c r="M527" s="15"/>
      <c r="N527" s="15"/>
      <c r="O527" s="15"/>
      <c r="P527" s="15"/>
      <c r="Q527" s="15"/>
      <c r="R527" s="15"/>
      <c r="S527" s="15"/>
      <c r="T527" s="15"/>
      <c r="U527" s="74"/>
      <c r="V527" s="74"/>
      <c r="W527" s="74"/>
      <c r="X527" s="74"/>
      <c r="Y527" s="74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229"/>
      <c r="K528" s="229"/>
      <c r="L528" s="229"/>
      <c r="M528" s="15"/>
      <c r="N528" s="15"/>
      <c r="O528" s="15"/>
      <c r="P528" s="15"/>
      <c r="Q528" s="15"/>
      <c r="R528" s="15"/>
      <c r="S528" s="15"/>
      <c r="T528" s="15"/>
      <c r="U528" s="74"/>
      <c r="V528" s="74"/>
      <c r="W528" s="74"/>
      <c r="X528" s="74"/>
      <c r="Y528" s="74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229"/>
      <c r="K529" s="229"/>
      <c r="L529" s="229"/>
      <c r="M529" s="15"/>
      <c r="N529" s="15"/>
      <c r="O529" s="15"/>
      <c r="P529" s="15"/>
      <c r="Q529" s="15"/>
      <c r="R529" s="15"/>
      <c r="S529" s="15"/>
      <c r="T529" s="15"/>
      <c r="U529" s="74"/>
      <c r="V529" s="74"/>
      <c r="W529" s="74"/>
      <c r="X529" s="74"/>
      <c r="Y529" s="74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229"/>
      <c r="K530" s="229"/>
      <c r="L530" s="229"/>
      <c r="M530" s="15"/>
      <c r="N530" s="15"/>
      <c r="O530" s="15"/>
      <c r="P530" s="15"/>
      <c r="Q530" s="15"/>
      <c r="R530" s="15"/>
      <c r="S530" s="15"/>
      <c r="T530" s="15"/>
      <c r="U530" s="74"/>
      <c r="V530" s="74"/>
      <c r="W530" s="74"/>
      <c r="X530" s="74"/>
      <c r="Y530" s="74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229"/>
      <c r="K531" s="229"/>
      <c r="L531" s="229"/>
      <c r="M531" s="15"/>
      <c r="N531" s="15"/>
      <c r="O531" s="15"/>
      <c r="P531" s="15"/>
      <c r="Q531" s="15"/>
      <c r="R531" s="15"/>
      <c r="S531" s="15"/>
      <c r="T531" s="15"/>
      <c r="U531" s="74"/>
      <c r="V531" s="74"/>
      <c r="W531" s="74"/>
      <c r="X531" s="74"/>
      <c r="Y531" s="74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229"/>
      <c r="K532" s="229"/>
      <c r="L532" s="229"/>
      <c r="M532" s="15"/>
      <c r="N532" s="15"/>
      <c r="O532" s="15"/>
      <c r="P532" s="15"/>
      <c r="Q532" s="15"/>
      <c r="R532" s="15"/>
      <c r="S532" s="15"/>
      <c r="T532" s="15"/>
      <c r="U532" s="74"/>
      <c r="V532" s="74"/>
      <c r="W532" s="74"/>
      <c r="X532" s="74"/>
      <c r="Y532" s="74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229"/>
      <c r="K533" s="229"/>
      <c r="L533" s="229"/>
      <c r="M533" s="15"/>
      <c r="N533" s="15"/>
      <c r="O533" s="15"/>
      <c r="P533" s="15"/>
      <c r="Q533" s="15"/>
      <c r="R533" s="15"/>
      <c r="S533" s="15"/>
      <c r="T533" s="15"/>
      <c r="U533" s="74"/>
      <c r="V533" s="74"/>
      <c r="W533" s="74"/>
      <c r="X533" s="74"/>
      <c r="Y533" s="74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229"/>
      <c r="K534" s="229"/>
      <c r="L534" s="229"/>
      <c r="M534" s="15"/>
      <c r="N534" s="15"/>
      <c r="O534" s="15"/>
      <c r="P534" s="15"/>
      <c r="Q534" s="15"/>
      <c r="R534" s="15"/>
      <c r="S534" s="15"/>
      <c r="T534" s="15"/>
      <c r="U534" s="74"/>
      <c r="V534" s="74"/>
      <c r="W534" s="74"/>
      <c r="X534" s="74"/>
      <c r="Y534" s="74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229"/>
      <c r="K535" s="229"/>
      <c r="L535" s="229"/>
      <c r="M535" s="15"/>
      <c r="N535" s="15"/>
      <c r="O535" s="15"/>
      <c r="P535" s="15"/>
      <c r="Q535" s="15"/>
      <c r="R535" s="15"/>
      <c r="S535" s="15"/>
      <c r="T535" s="15"/>
      <c r="U535" s="74"/>
      <c r="V535" s="74"/>
      <c r="W535" s="74"/>
      <c r="X535" s="74"/>
      <c r="Y535" s="74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229"/>
      <c r="K536" s="229"/>
      <c r="L536" s="229"/>
      <c r="M536" s="15"/>
      <c r="N536" s="15"/>
      <c r="O536" s="15"/>
      <c r="P536" s="15"/>
      <c r="Q536" s="15"/>
      <c r="R536" s="15"/>
      <c r="S536" s="15"/>
      <c r="T536" s="15"/>
      <c r="U536" s="74"/>
      <c r="V536" s="74"/>
      <c r="W536" s="74"/>
      <c r="X536" s="74"/>
      <c r="Y536" s="74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229"/>
      <c r="K537" s="229"/>
      <c r="L537" s="229"/>
      <c r="M537" s="15"/>
      <c r="N537" s="15"/>
      <c r="O537" s="15"/>
      <c r="P537" s="15"/>
      <c r="Q537" s="15"/>
      <c r="R537" s="15"/>
      <c r="S537" s="15"/>
      <c r="T537" s="15"/>
      <c r="U537" s="74"/>
      <c r="V537" s="74"/>
      <c r="W537" s="74"/>
      <c r="X537" s="74"/>
      <c r="Y537" s="74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229"/>
      <c r="K538" s="229"/>
      <c r="L538" s="229"/>
      <c r="M538" s="15"/>
      <c r="N538" s="15"/>
      <c r="O538" s="15"/>
      <c r="P538" s="15"/>
      <c r="Q538" s="15"/>
      <c r="R538" s="15"/>
      <c r="S538" s="15"/>
      <c r="T538" s="15"/>
      <c r="U538" s="74"/>
      <c r="V538" s="74"/>
      <c r="W538" s="74"/>
      <c r="X538" s="74"/>
      <c r="Y538" s="74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229"/>
      <c r="K539" s="229"/>
      <c r="L539" s="229"/>
      <c r="M539" s="15"/>
      <c r="N539" s="15"/>
      <c r="O539" s="15"/>
      <c r="P539" s="15"/>
      <c r="Q539" s="15"/>
      <c r="R539" s="15"/>
      <c r="S539" s="15"/>
      <c r="T539" s="15"/>
      <c r="U539" s="74"/>
      <c r="V539" s="74"/>
      <c r="W539" s="74"/>
      <c r="X539" s="74"/>
      <c r="Y539" s="74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229"/>
      <c r="K540" s="229"/>
      <c r="L540" s="229"/>
      <c r="M540" s="15"/>
      <c r="N540" s="15"/>
      <c r="O540" s="15"/>
      <c r="P540" s="15"/>
      <c r="Q540" s="15"/>
      <c r="R540" s="15"/>
      <c r="S540" s="15"/>
      <c r="T540" s="15"/>
      <c r="U540" s="74"/>
      <c r="V540" s="74"/>
      <c r="W540" s="74"/>
      <c r="X540" s="74"/>
      <c r="Y540" s="74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229"/>
      <c r="K541" s="229"/>
      <c r="L541" s="229"/>
      <c r="M541" s="15"/>
      <c r="N541" s="15"/>
      <c r="O541" s="15"/>
      <c r="P541" s="15"/>
      <c r="Q541" s="15"/>
      <c r="R541" s="15"/>
      <c r="S541" s="15"/>
      <c r="T541" s="15"/>
      <c r="U541" s="74"/>
      <c r="V541" s="74"/>
      <c r="W541" s="74"/>
      <c r="X541" s="74"/>
      <c r="Y541" s="74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229"/>
      <c r="K542" s="229"/>
      <c r="L542" s="229"/>
      <c r="M542" s="15"/>
      <c r="N542" s="15"/>
      <c r="O542" s="15"/>
      <c r="P542" s="15"/>
      <c r="Q542" s="15"/>
      <c r="R542" s="15"/>
      <c r="S542" s="15"/>
      <c r="T542" s="15"/>
      <c r="U542" s="74"/>
      <c r="V542" s="74"/>
      <c r="W542" s="74"/>
      <c r="X542" s="74"/>
      <c r="Y542" s="74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229"/>
      <c r="K543" s="229"/>
      <c r="L543" s="229"/>
      <c r="M543" s="15"/>
      <c r="N543" s="15"/>
      <c r="O543" s="15"/>
      <c r="P543" s="15"/>
      <c r="Q543" s="15"/>
      <c r="R543" s="15"/>
      <c r="S543" s="15"/>
      <c r="T543" s="15"/>
      <c r="U543" s="74"/>
      <c r="V543" s="74"/>
      <c r="W543" s="74"/>
      <c r="X543" s="74"/>
      <c r="Y543" s="74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229"/>
      <c r="K544" s="229"/>
      <c r="L544" s="229"/>
      <c r="M544" s="15"/>
      <c r="N544" s="15"/>
      <c r="O544" s="15"/>
      <c r="P544" s="15"/>
      <c r="Q544" s="15"/>
      <c r="R544" s="15"/>
      <c r="S544" s="15"/>
      <c r="T544" s="15"/>
      <c r="U544" s="74"/>
      <c r="V544" s="74"/>
      <c r="W544" s="74"/>
      <c r="X544" s="74"/>
      <c r="Y544" s="74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229"/>
      <c r="K545" s="229"/>
      <c r="L545" s="229"/>
      <c r="M545" s="15"/>
      <c r="N545" s="15"/>
      <c r="O545" s="15"/>
      <c r="P545" s="15"/>
      <c r="Q545" s="15"/>
      <c r="R545" s="15"/>
      <c r="S545" s="15"/>
      <c r="T545" s="15"/>
      <c r="U545" s="74"/>
      <c r="V545" s="74"/>
      <c r="W545" s="74"/>
      <c r="X545" s="74"/>
      <c r="Y545" s="74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229"/>
      <c r="K546" s="229"/>
      <c r="L546" s="229"/>
      <c r="M546" s="15"/>
      <c r="N546" s="15"/>
      <c r="O546" s="15"/>
      <c r="P546" s="15"/>
      <c r="Q546" s="15"/>
      <c r="R546" s="15"/>
      <c r="S546" s="15"/>
      <c r="T546" s="15"/>
      <c r="U546" s="74"/>
      <c r="V546" s="74"/>
      <c r="W546" s="74"/>
      <c r="X546" s="74"/>
      <c r="Y546" s="74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229"/>
      <c r="K547" s="229"/>
      <c r="L547" s="229"/>
      <c r="M547" s="15"/>
      <c r="N547" s="15"/>
      <c r="O547" s="15"/>
      <c r="P547" s="15"/>
      <c r="Q547" s="15"/>
      <c r="R547" s="15"/>
      <c r="S547" s="15"/>
      <c r="T547" s="15"/>
      <c r="U547" s="74"/>
      <c r="V547" s="74"/>
      <c r="W547" s="74"/>
      <c r="X547" s="74"/>
      <c r="Y547" s="74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229"/>
      <c r="K548" s="229"/>
      <c r="L548" s="229"/>
      <c r="M548" s="15"/>
      <c r="N548" s="15"/>
      <c r="O548" s="15"/>
      <c r="P548" s="15"/>
      <c r="Q548" s="15"/>
      <c r="R548" s="15"/>
      <c r="S548" s="15"/>
      <c r="T548" s="15"/>
      <c r="U548" s="74"/>
      <c r="V548" s="74"/>
      <c r="W548" s="74"/>
      <c r="X548" s="74"/>
      <c r="Y548" s="74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229"/>
      <c r="K549" s="229"/>
      <c r="L549" s="229"/>
      <c r="M549" s="15"/>
      <c r="N549" s="15"/>
      <c r="O549" s="15"/>
      <c r="P549" s="15"/>
      <c r="Q549" s="15"/>
      <c r="R549" s="15"/>
      <c r="S549" s="15"/>
      <c r="T549" s="15"/>
      <c r="U549" s="74"/>
      <c r="V549" s="74"/>
      <c r="W549" s="74"/>
      <c r="X549" s="74"/>
      <c r="Y549" s="74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229"/>
      <c r="K550" s="229"/>
      <c r="L550" s="229"/>
      <c r="M550" s="15"/>
      <c r="N550" s="15"/>
      <c r="O550" s="15"/>
      <c r="P550" s="15"/>
      <c r="Q550" s="15"/>
      <c r="R550" s="15"/>
      <c r="S550" s="15"/>
      <c r="T550" s="15"/>
      <c r="U550" s="74"/>
      <c r="V550" s="74"/>
      <c r="W550" s="74"/>
      <c r="X550" s="74"/>
      <c r="Y550" s="74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229"/>
      <c r="K551" s="229"/>
      <c r="L551" s="229"/>
      <c r="M551" s="15"/>
      <c r="N551" s="15"/>
      <c r="O551" s="15"/>
      <c r="P551" s="15"/>
      <c r="Q551" s="15"/>
      <c r="R551" s="15"/>
      <c r="S551" s="15"/>
      <c r="T551" s="15"/>
      <c r="U551" s="74"/>
      <c r="V551" s="74"/>
      <c r="W551" s="74"/>
      <c r="X551" s="74"/>
      <c r="Y551" s="74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229"/>
      <c r="K552" s="229"/>
      <c r="L552" s="229"/>
      <c r="M552" s="15"/>
      <c r="N552" s="15"/>
      <c r="O552" s="15"/>
      <c r="P552" s="15"/>
      <c r="Q552" s="15"/>
      <c r="R552" s="15"/>
      <c r="S552" s="15"/>
      <c r="T552" s="15"/>
      <c r="U552" s="74"/>
      <c r="V552" s="74"/>
      <c r="W552" s="74"/>
      <c r="X552" s="74"/>
      <c r="Y552" s="74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229"/>
      <c r="K553" s="229"/>
      <c r="L553" s="229"/>
      <c r="M553" s="15"/>
      <c r="N553" s="15"/>
      <c r="O553" s="15"/>
      <c r="P553" s="15"/>
      <c r="Q553" s="15"/>
      <c r="R553" s="15"/>
      <c r="S553" s="15"/>
      <c r="T553" s="15"/>
      <c r="U553" s="74"/>
      <c r="V553" s="74"/>
      <c r="W553" s="74"/>
      <c r="X553" s="74"/>
      <c r="Y553" s="74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229"/>
      <c r="K554" s="229"/>
      <c r="L554" s="229"/>
      <c r="M554" s="15"/>
      <c r="N554" s="15"/>
      <c r="O554" s="15"/>
      <c r="P554" s="15"/>
      <c r="Q554" s="15"/>
      <c r="R554" s="15"/>
      <c r="S554" s="15"/>
      <c r="T554" s="15"/>
      <c r="U554" s="74"/>
      <c r="V554" s="74"/>
      <c r="W554" s="74"/>
      <c r="X554" s="74"/>
      <c r="Y554" s="74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229"/>
      <c r="K555" s="229"/>
      <c r="L555" s="229"/>
      <c r="M555" s="15"/>
      <c r="N555" s="15"/>
      <c r="O555" s="15"/>
      <c r="P555" s="15"/>
      <c r="Q555" s="15"/>
      <c r="R555" s="15"/>
      <c r="S555" s="15"/>
      <c r="T555" s="15"/>
      <c r="U555" s="74"/>
      <c r="V555" s="74"/>
      <c r="W555" s="74"/>
      <c r="X555" s="74"/>
      <c r="Y555" s="74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229"/>
      <c r="K556" s="229"/>
      <c r="L556" s="229"/>
      <c r="M556" s="15"/>
      <c r="N556" s="15"/>
      <c r="O556" s="15"/>
      <c r="P556" s="15"/>
      <c r="Q556" s="15"/>
      <c r="R556" s="15"/>
      <c r="S556" s="15"/>
      <c r="T556" s="15"/>
      <c r="U556" s="74"/>
      <c r="V556" s="74"/>
      <c r="W556" s="74"/>
      <c r="X556" s="74"/>
      <c r="Y556" s="74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229"/>
      <c r="K557" s="229"/>
      <c r="L557" s="229"/>
      <c r="M557" s="15"/>
      <c r="N557" s="15"/>
      <c r="O557" s="15"/>
      <c r="P557" s="15"/>
      <c r="Q557" s="15"/>
      <c r="R557" s="15"/>
      <c r="S557" s="15"/>
      <c r="T557" s="15"/>
      <c r="U557" s="74"/>
      <c r="V557" s="74"/>
      <c r="W557" s="74"/>
      <c r="X557" s="74"/>
      <c r="Y557" s="74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229"/>
      <c r="K558" s="229"/>
      <c r="L558" s="229"/>
      <c r="M558" s="15"/>
      <c r="N558" s="15"/>
      <c r="O558" s="15"/>
      <c r="P558" s="15"/>
      <c r="Q558" s="15"/>
      <c r="R558" s="15"/>
      <c r="S558" s="15"/>
      <c r="T558" s="15"/>
      <c r="U558" s="74"/>
      <c r="V558" s="74"/>
      <c r="W558" s="74"/>
      <c r="X558" s="74"/>
      <c r="Y558" s="74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229"/>
      <c r="K559" s="229"/>
      <c r="L559" s="229"/>
      <c r="M559" s="15"/>
      <c r="N559" s="15"/>
      <c r="O559" s="15"/>
      <c r="P559" s="15"/>
      <c r="Q559" s="15"/>
      <c r="R559" s="15"/>
      <c r="S559" s="15"/>
      <c r="T559" s="15"/>
      <c r="U559" s="74"/>
      <c r="V559" s="74"/>
      <c r="W559" s="74"/>
      <c r="X559" s="74"/>
      <c r="Y559" s="74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229"/>
      <c r="K560" s="229"/>
      <c r="L560" s="229"/>
      <c r="M560" s="15"/>
      <c r="N560" s="15"/>
      <c r="O560" s="15"/>
      <c r="P560" s="15"/>
      <c r="Q560" s="15"/>
      <c r="R560" s="15"/>
      <c r="S560" s="15"/>
      <c r="T560" s="15"/>
      <c r="U560" s="74"/>
      <c r="V560" s="74"/>
      <c r="W560" s="74"/>
      <c r="X560" s="74"/>
      <c r="Y560" s="74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229"/>
      <c r="K561" s="229"/>
      <c r="L561" s="229"/>
      <c r="M561" s="15"/>
      <c r="N561" s="15"/>
      <c r="O561" s="15"/>
      <c r="P561" s="15"/>
      <c r="Q561" s="15"/>
      <c r="R561" s="15"/>
      <c r="S561" s="15"/>
      <c r="T561" s="15"/>
      <c r="U561" s="74"/>
      <c r="V561" s="74"/>
      <c r="W561" s="74"/>
      <c r="X561" s="74"/>
      <c r="Y561" s="74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229"/>
      <c r="K562" s="229"/>
      <c r="L562" s="229"/>
      <c r="M562" s="15"/>
      <c r="N562" s="15"/>
      <c r="O562" s="15"/>
      <c r="P562" s="15"/>
      <c r="Q562" s="15"/>
      <c r="R562" s="15"/>
      <c r="S562" s="15"/>
      <c r="T562" s="15"/>
      <c r="U562" s="74"/>
      <c r="V562" s="74"/>
      <c r="W562" s="74"/>
      <c r="X562" s="74"/>
      <c r="Y562" s="74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229"/>
      <c r="K563" s="229"/>
      <c r="L563" s="229"/>
      <c r="M563" s="15"/>
      <c r="N563" s="15"/>
      <c r="O563" s="15"/>
      <c r="P563" s="15"/>
      <c r="Q563" s="15"/>
      <c r="R563" s="15"/>
      <c r="S563" s="15"/>
      <c r="T563" s="15"/>
      <c r="U563" s="74"/>
      <c r="V563" s="74"/>
      <c r="W563" s="74"/>
      <c r="X563" s="74"/>
      <c r="Y563" s="74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229"/>
      <c r="K564" s="229"/>
      <c r="L564" s="229"/>
      <c r="M564" s="15"/>
      <c r="N564" s="15"/>
      <c r="O564" s="15"/>
      <c r="P564" s="15"/>
      <c r="Q564" s="15"/>
      <c r="R564" s="15"/>
      <c r="S564" s="15"/>
      <c r="T564" s="15"/>
      <c r="U564" s="74"/>
      <c r="V564" s="74"/>
      <c r="W564" s="74"/>
      <c r="X564" s="74"/>
      <c r="Y564" s="74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229"/>
      <c r="K565" s="229"/>
      <c r="L565" s="229"/>
      <c r="M565" s="15"/>
      <c r="N565" s="15"/>
      <c r="O565" s="15"/>
      <c r="P565" s="15"/>
      <c r="Q565" s="15"/>
      <c r="R565" s="15"/>
      <c r="S565" s="15"/>
      <c r="T565" s="15"/>
      <c r="U565" s="74"/>
      <c r="V565" s="74"/>
      <c r="W565" s="74"/>
      <c r="X565" s="74"/>
      <c r="Y565" s="74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229"/>
      <c r="K566" s="229"/>
      <c r="L566" s="229"/>
      <c r="M566" s="15"/>
      <c r="N566" s="15"/>
      <c r="O566" s="15"/>
      <c r="P566" s="15"/>
      <c r="Q566" s="15"/>
      <c r="R566" s="15"/>
      <c r="S566" s="15"/>
      <c r="T566" s="15"/>
      <c r="U566" s="74"/>
      <c r="V566" s="74"/>
      <c r="W566" s="74"/>
      <c r="X566" s="74"/>
      <c r="Y566" s="74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229"/>
      <c r="K567" s="229"/>
      <c r="L567" s="229"/>
      <c r="M567" s="15"/>
      <c r="N567" s="15"/>
      <c r="O567" s="15"/>
      <c r="P567" s="15"/>
      <c r="Q567" s="15"/>
      <c r="R567" s="15"/>
      <c r="S567" s="15"/>
      <c r="T567" s="15"/>
      <c r="U567" s="74"/>
      <c r="V567" s="74"/>
      <c r="W567" s="74"/>
      <c r="X567" s="74"/>
      <c r="Y567" s="74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229"/>
      <c r="K568" s="229"/>
      <c r="L568" s="229"/>
      <c r="M568" s="15"/>
      <c r="N568" s="15"/>
      <c r="O568" s="15"/>
      <c r="P568" s="15"/>
      <c r="Q568" s="15"/>
      <c r="R568" s="15"/>
      <c r="S568" s="15"/>
      <c r="T568" s="15"/>
      <c r="U568" s="74"/>
      <c r="V568" s="74"/>
      <c r="W568" s="74"/>
      <c r="X568" s="74"/>
      <c r="Y568" s="74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229"/>
      <c r="K569" s="229"/>
      <c r="L569" s="229"/>
      <c r="M569" s="15"/>
      <c r="N569" s="15"/>
      <c r="O569" s="15"/>
      <c r="P569" s="15"/>
      <c r="Q569" s="15"/>
      <c r="R569" s="15"/>
      <c r="S569" s="15"/>
      <c r="T569" s="15"/>
      <c r="U569" s="74"/>
      <c r="V569" s="74"/>
      <c r="W569" s="74"/>
      <c r="X569" s="74"/>
      <c r="Y569" s="74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229"/>
      <c r="K570" s="229"/>
      <c r="L570" s="229"/>
      <c r="M570" s="15"/>
      <c r="N570" s="15"/>
      <c r="O570" s="15"/>
      <c r="P570" s="15"/>
      <c r="Q570" s="15"/>
      <c r="R570" s="15"/>
      <c r="S570" s="15"/>
      <c r="T570" s="15"/>
      <c r="U570" s="74"/>
      <c r="V570" s="74"/>
      <c r="W570" s="74"/>
      <c r="X570" s="74"/>
      <c r="Y570" s="74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229"/>
      <c r="K571" s="229"/>
      <c r="L571" s="229"/>
      <c r="M571" s="15"/>
      <c r="N571" s="15"/>
      <c r="O571" s="15"/>
      <c r="P571" s="15"/>
      <c r="Q571" s="15"/>
      <c r="R571" s="15"/>
      <c r="S571" s="15"/>
      <c r="T571" s="15"/>
      <c r="U571" s="74"/>
      <c r="V571" s="74"/>
      <c r="W571" s="74"/>
      <c r="X571" s="74"/>
      <c r="Y571" s="74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229"/>
      <c r="K572" s="229"/>
      <c r="L572" s="229"/>
      <c r="M572" s="15"/>
      <c r="N572" s="15"/>
      <c r="O572" s="15"/>
      <c r="P572" s="15"/>
      <c r="Q572" s="15"/>
      <c r="R572" s="15"/>
      <c r="S572" s="15"/>
      <c r="T572" s="15"/>
      <c r="U572" s="74"/>
      <c r="V572" s="74"/>
      <c r="W572" s="74"/>
      <c r="X572" s="74"/>
      <c r="Y572" s="74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229"/>
      <c r="K573" s="229"/>
      <c r="L573" s="229"/>
      <c r="M573" s="15"/>
      <c r="N573" s="15"/>
      <c r="O573" s="15"/>
      <c r="P573" s="15"/>
      <c r="Q573" s="15"/>
      <c r="R573" s="15"/>
      <c r="S573" s="15"/>
      <c r="T573" s="15"/>
      <c r="U573" s="74"/>
      <c r="V573" s="74"/>
      <c r="W573" s="74"/>
      <c r="X573" s="74"/>
      <c r="Y573" s="74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229"/>
      <c r="K574" s="229"/>
      <c r="L574" s="229"/>
      <c r="M574" s="15"/>
      <c r="N574" s="15"/>
      <c r="O574" s="15"/>
      <c r="P574" s="15"/>
      <c r="Q574" s="15"/>
      <c r="R574" s="15"/>
      <c r="S574" s="15"/>
      <c r="T574" s="15"/>
      <c r="U574" s="74"/>
      <c r="V574" s="74"/>
      <c r="W574" s="74"/>
      <c r="X574" s="74"/>
      <c r="Y574" s="74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229"/>
      <c r="K575" s="229"/>
      <c r="L575" s="229"/>
      <c r="M575" s="15"/>
      <c r="N575" s="15"/>
      <c r="O575" s="15"/>
      <c r="P575" s="15"/>
      <c r="Q575" s="15"/>
      <c r="R575" s="15"/>
      <c r="S575" s="15"/>
      <c r="T575" s="15"/>
      <c r="U575" s="74"/>
      <c r="V575" s="74"/>
      <c r="W575" s="74"/>
      <c r="X575" s="74"/>
      <c r="Y575" s="74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229"/>
      <c r="K576" s="229"/>
      <c r="L576" s="229"/>
      <c r="M576" s="15"/>
      <c r="N576" s="15"/>
      <c r="O576" s="15"/>
      <c r="P576" s="15"/>
      <c r="Q576" s="15"/>
      <c r="R576" s="15"/>
      <c r="S576" s="15"/>
      <c r="T576" s="15"/>
      <c r="U576" s="74"/>
      <c r="V576" s="74"/>
      <c r="W576" s="74"/>
      <c r="X576" s="74"/>
      <c r="Y576" s="74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229"/>
      <c r="K577" s="229"/>
      <c r="L577" s="229"/>
      <c r="M577" s="15"/>
      <c r="N577" s="15"/>
      <c r="O577" s="15"/>
      <c r="P577" s="15"/>
      <c r="Q577" s="15"/>
      <c r="R577" s="15"/>
      <c r="S577" s="15"/>
      <c r="T577" s="15"/>
      <c r="U577" s="74"/>
      <c r="V577" s="74"/>
      <c r="W577" s="74"/>
      <c r="X577" s="74"/>
      <c r="Y577" s="74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229"/>
      <c r="K578" s="229"/>
      <c r="L578" s="229"/>
      <c r="M578" s="15"/>
      <c r="N578" s="15"/>
      <c r="O578" s="15"/>
      <c r="P578" s="15"/>
      <c r="Q578" s="15"/>
      <c r="R578" s="15"/>
      <c r="S578" s="15"/>
      <c r="T578" s="15"/>
      <c r="U578" s="74"/>
      <c r="V578" s="74"/>
      <c r="W578" s="74"/>
      <c r="X578" s="74"/>
      <c r="Y578" s="74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229"/>
      <c r="K579" s="229"/>
      <c r="L579" s="229"/>
      <c r="M579" s="15"/>
      <c r="N579" s="15"/>
      <c r="O579" s="15"/>
      <c r="P579" s="15"/>
      <c r="Q579" s="15"/>
      <c r="R579" s="15"/>
      <c r="S579" s="15"/>
      <c r="T579" s="15"/>
      <c r="U579" s="74"/>
      <c r="V579" s="74"/>
      <c r="W579" s="74"/>
      <c r="X579" s="74"/>
      <c r="Y579" s="74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229"/>
      <c r="K580" s="229"/>
      <c r="L580" s="229"/>
      <c r="M580" s="15"/>
      <c r="N580" s="15"/>
      <c r="O580" s="15"/>
      <c r="P580" s="15"/>
      <c r="Q580" s="15"/>
      <c r="R580" s="15"/>
      <c r="S580" s="15"/>
      <c r="T580" s="15"/>
      <c r="U580" s="74"/>
      <c r="V580" s="74"/>
      <c r="W580" s="74"/>
      <c r="X580" s="74"/>
      <c r="Y580" s="74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229"/>
      <c r="K581" s="229"/>
      <c r="L581" s="229"/>
      <c r="M581" s="15"/>
      <c r="N581" s="15"/>
      <c r="O581" s="15"/>
      <c r="P581" s="15"/>
      <c r="Q581" s="15"/>
      <c r="R581" s="15"/>
      <c r="S581" s="15"/>
      <c r="T581" s="15"/>
      <c r="U581" s="74"/>
      <c r="V581" s="74"/>
      <c r="W581" s="74"/>
      <c r="X581" s="74"/>
      <c r="Y581" s="74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229"/>
      <c r="K582" s="229"/>
      <c r="L582" s="229"/>
      <c r="M582" s="15"/>
      <c r="N582" s="15"/>
      <c r="O582" s="15"/>
      <c r="P582" s="15"/>
      <c r="Q582" s="15"/>
      <c r="R582" s="15"/>
      <c r="S582" s="15"/>
      <c r="T582" s="15"/>
      <c r="U582" s="74"/>
      <c r="V582" s="74"/>
      <c r="W582" s="74"/>
      <c r="X582" s="74"/>
      <c r="Y582" s="74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229"/>
      <c r="K583" s="229"/>
      <c r="L583" s="229"/>
      <c r="M583" s="15"/>
      <c r="N583" s="15"/>
      <c r="O583" s="15"/>
      <c r="P583" s="15"/>
      <c r="Q583" s="15"/>
      <c r="R583" s="15"/>
      <c r="S583" s="15"/>
      <c r="T583" s="15"/>
      <c r="U583" s="74"/>
      <c r="V583" s="74"/>
      <c r="W583" s="74"/>
      <c r="X583" s="74"/>
      <c r="Y583" s="74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229"/>
      <c r="K584" s="229"/>
      <c r="L584" s="229"/>
      <c r="M584" s="15"/>
      <c r="N584" s="15"/>
      <c r="O584" s="15"/>
      <c r="P584" s="15"/>
      <c r="Q584" s="15"/>
      <c r="R584" s="15"/>
      <c r="S584" s="15"/>
      <c r="T584" s="15"/>
      <c r="U584" s="74"/>
      <c r="V584" s="74"/>
      <c r="W584" s="74"/>
      <c r="X584" s="74"/>
      <c r="Y584" s="74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229"/>
      <c r="K585" s="229"/>
      <c r="L585" s="229"/>
      <c r="M585" s="15"/>
      <c r="N585" s="15"/>
      <c r="O585" s="15"/>
      <c r="P585" s="15"/>
      <c r="Q585" s="15"/>
      <c r="R585" s="15"/>
      <c r="S585" s="15"/>
      <c r="T585" s="15"/>
      <c r="U585" s="74"/>
      <c r="V585" s="74"/>
      <c r="W585" s="74"/>
      <c r="X585" s="74"/>
      <c r="Y585" s="74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229"/>
      <c r="K586" s="229"/>
      <c r="L586" s="229"/>
      <c r="M586" s="15"/>
      <c r="N586" s="15"/>
      <c r="O586" s="15"/>
      <c r="P586" s="15"/>
      <c r="Q586" s="15"/>
      <c r="R586" s="15"/>
      <c r="S586" s="15"/>
      <c r="T586" s="15"/>
      <c r="U586" s="74"/>
      <c r="V586" s="74"/>
      <c r="W586" s="74"/>
      <c r="X586" s="74"/>
      <c r="Y586" s="74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229"/>
      <c r="K587" s="229"/>
      <c r="L587" s="229"/>
      <c r="M587" s="15"/>
      <c r="N587" s="15"/>
      <c r="O587" s="15"/>
      <c r="P587" s="15"/>
      <c r="Q587" s="15"/>
      <c r="R587" s="15"/>
      <c r="S587" s="15"/>
      <c r="T587" s="15"/>
      <c r="U587" s="74"/>
      <c r="V587" s="74"/>
      <c r="W587" s="74"/>
      <c r="X587" s="74"/>
      <c r="Y587" s="74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229"/>
      <c r="K588" s="229"/>
      <c r="L588" s="229"/>
      <c r="M588" s="15"/>
      <c r="N588" s="15"/>
      <c r="O588" s="15"/>
      <c r="P588" s="15"/>
      <c r="Q588" s="15"/>
      <c r="R588" s="15"/>
      <c r="S588" s="15"/>
      <c r="T588" s="15"/>
      <c r="U588" s="74"/>
      <c r="V588" s="74"/>
      <c r="W588" s="74"/>
      <c r="X588" s="74"/>
      <c r="Y588" s="74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229"/>
      <c r="K589" s="229"/>
      <c r="L589" s="229"/>
      <c r="M589" s="15"/>
      <c r="N589" s="15"/>
      <c r="O589" s="15"/>
      <c r="P589" s="15"/>
      <c r="Q589" s="15"/>
      <c r="R589" s="15"/>
      <c r="S589" s="15"/>
      <c r="T589" s="15"/>
      <c r="U589" s="74"/>
      <c r="V589" s="74"/>
      <c r="W589" s="74"/>
      <c r="X589" s="74"/>
      <c r="Y589" s="74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229"/>
      <c r="K590" s="229"/>
      <c r="L590" s="229"/>
      <c r="M590" s="15"/>
      <c r="N590" s="15"/>
      <c r="O590" s="15"/>
      <c r="P590" s="15"/>
      <c r="Q590" s="15"/>
      <c r="R590" s="15"/>
      <c r="S590" s="15"/>
      <c r="T590" s="15"/>
      <c r="U590" s="74"/>
      <c r="V590" s="74"/>
      <c r="W590" s="74"/>
      <c r="X590" s="74"/>
      <c r="Y590" s="74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229"/>
      <c r="K591" s="229"/>
      <c r="L591" s="229"/>
      <c r="M591" s="15"/>
      <c r="N591" s="15"/>
      <c r="O591" s="15"/>
      <c r="P591" s="15"/>
      <c r="Q591" s="15"/>
      <c r="R591" s="15"/>
      <c r="S591" s="15"/>
      <c r="T591" s="15"/>
      <c r="U591" s="74"/>
      <c r="V591" s="74"/>
      <c r="W591" s="74"/>
      <c r="X591" s="74"/>
      <c r="Y591" s="74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229"/>
      <c r="K592" s="229"/>
      <c r="L592" s="229"/>
      <c r="M592" s="15"/>
      <c r="N592" s="15"/>
      <c r="O592" s="15"/>
      <c r="P592" s="15"/>
      <c r="Q592" s="15"/>
      <c r="R592" s="15"/>
      <c r="S592" s="15"/>
      <c r="T592" s="15"/>
      <c r="U592" s="74"/>
      <c r="V592" s="74"/>
      <c r="W592" s="74"/>
      <c r="X592" s="74"/>
      <c r="Y592" s="74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229"/>
      <c r="K593" s="229"/>
      <c r="L593" s="229"/>
      <c r="M593" s="15"/>
      <c r="N593" s="15"/>
      <c r="O593" s="15"/>
      <c r="P593" s="15"/>
      <c r="Q593" s="15"/>
      <c r="R593" s="15"/>
      <c r="S593" s="15"/>
      <c r="T593" s="15"/>
      <c r="U593" s="74"/>
      <c r="V593" s="74"/>
      <c r="W593" s="74"/>
      <c r="X593" s="74"/>
      <c r="Y593" s="74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229"/>
      <c r="K594" s="229"/>
      <c r="L594" s="229"/>
      <c r="M594" s="15"/>
      <c r="N594" s="15"/>
      <c r="O594" s="15"/>
      <c r="P594" s="15"/>
      <c r="Q594" s="15"/>
      <c r="R594" s="15"/>
      <c r="S594" s="15"/>
      <c r="T594" s="15"/>
      <c r="U594" s="74"/>
      <c r="V594" s="74"/>
      <c r="W594" s="74"/>
      <c r="X594" s="74"/>
      <c r="Y594" s="74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229"/>
      <c r="K595" s="229"/>
      <c r="L595" s="229"/>
      <c r="M595" s="15"/>
      <c r="N595" s="15"/>
      <c r="O595" s="15"/>
      <c r="P595" s="15"/>
      <c r="Q595" s="15"/>
      <c r="R595" s="15"/>
      <c r="S595" s="15"/>
      <c r="T595" s="15"/>
      <c r="U595" s="74"/>
      <c r="V595" s="74"/>
      <c r="W595" s="74"/>
      <c r="X595" s="74"/>
      <c r="Y595" s="74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229"/>
      <c r="K596" s="229"/>
      <c r="L596" s="229"/>
      <c r="M596" s="15"/>
      <c r="N596" s="15"/>
      <c r="O596" s="15"/>
      <c r="P596" s="15"/>
      <c r="Q596" s="15"/>
      <c r="R596" s="15"/>
      <c r="S596" s="15"/>
      <c r="T596" s="15"/>
      <c r="U596" s="74"/>
      <c r="V596" s="74"/>
      <c r="W596" s="74"/>
      <c r="X596" s="74"/>
      <c r="Y596" s="74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229"/>
      <c r="K597" s="229"/>
      <c r="L597" s="229"/>
      <c r="M597" s="15"/>
      <c r="N597" s="15"/>
      <c r="O597" s="15"/>
      <c r="P597" s="15"/>
      <c r="Q597" s="15"/>
      <c r="R597" s="15"/>
      <c r="S597" s="15"/>
      <c r="T597" s="15"/>
      <c r="U597" s="74"/>
      <c r="V597" s="74"/>
      <c r="W597" s="74"/>
      <c r="X597" s="74"/>
      <c r="Y597" s="74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229"/>
      <c r="K598" s="229"/>
      <c r="L598" s="229"/>
      <c r="M598" s="15"/>
      <c r="N598" s="15"/>
      <c r="O598" s="15"/>
      <c r="P598" s="15"/>
      <c r="Q598" s="15"/>
      <c r="R598" s="15"/>
      <c r="S598" s="15"/>
      <c r="T598" s="15"/>
      <c r="U598" s="74"/>
      <c r="V598" s="74"/>
      <c r="W598" s="74"/>
      <c r="X598" s="74"/>
      <c r="Y598" s="74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229"/>
      <c r="K599" s="229"/>
      <c r="L599" s="229"/>
      <c r="M599" s="15"/>
      <c r="N599" s="15"/>
      <c r="O599" s="15"/>
      <c r="P599" s="15"/>
      <c r="Q599" s="15"/>
      <c r="R599" s="15"/>
      <c r="S599" s="15"/>
      <c r="T599" s="15"/>
      <c r="U599" s="74"/>
      <c r="V599" s="74"/>
      <c r="W599" s="74"/>
      <c r="X599" s="74"/>
      <c r="Y599" s="74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229"/>
      <c r="K600" s="229"/>
      <c r="L600" s="229"/>
      <c r="M600" s="15"/>
      <c r="N600" s="15"/>
      <c r="O600" s="15"/>
      <c r="P600" s="15"/>
      <c r="Q600" s="15"/>
      <c r="R600" s="15"/>
      <c r="S600" s="15"/>
      <c r="T600" s="15"/>
      <c r="U600" s="74"/>
      <c r="V600" s="74"/>
      <c r="W600" s="74"/>
      <c r="X600" s="74"/>
      <c r="Y600" s="74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229"/>
      <c r="K601" s="229"/>
      <c r="L601" s="229"/>
      <c r="M601" s="15"/>
      <c r="N601" s="15"/>
      <c r="O601" s="15"/>
      <c r="P601" s="15"/>
      <c r="Q601" s="15"/>
      <c r="R601" s="15"/>
      <c r="S601" s="15"/>
      <c r="T601" s="15"/>
      <c r="U601" s="74"/>
      <c r="V601" s="74"/>
      <c r="W601" s="74"/>
      <c r="X601" s="74"/>
      <c r="Y601" s="74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229"/>
      <c r="K602" s="229"/>
      <c r="L602" s="229"/>
      <c r="M602" s="15"/>
      <c r="N602" s="15"/>
      <c r="O602" s="15"/>
      <c r="P602" s="15"/>
      <c r="Q602" s="15"/>
      <c r="R602" s="15"/>
      <c r="S602" s="15"/>
      <c r="T602" s="15"/>
      <c r="U602" s="74"/>
      <c r="V602" s="74"/>
      <c r="W602" s="74"/>
      <c r="X602" s="74"/>
      <c r="Y602" s="74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229"/>
      <c r="K603" s="229"/>
      <c r="L603" s="229"/>
      <c r="M603" s="15"/>
      <c r="N603" s="15"/>
      <c r="O603" s="15"/>
      <c r="P603" s="15"/>
      <c r="Q603" s="15"/>
      <c r="R603" s="15"/>
      <c r="S603" s="15"/>
      <c r="T603" s="15"/>
      <c r="U603" s="74"/>
      <c r="V603" s="74"/>
      <c r="W603" s="74"/>
      <c r="X603" s="74"/>
      <c r="Y603" s="74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229"/>
      <c r="K604" s="229"/>
      <c r="L604" s="229"/>
      <c r="M604" s="15"/>
      <c r="N604" s="15"/>
      <c r="O604" s="15"/>
      <c r="P604" s="15"/>
      <c r="Q604" s="15"/>
      <c r="R604" s="15"/>
      <c r="S604" s="15"/>
      <c r="T604" s="15"/>
      <c r="U604" s="74"/>
      <c r="V604" s="74"/>
      <c r="W604" s="74"/>
      <c r="X604" s="74"/>
      <c r="Y604" s="74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229"/>
      <c r="K605" s="229"/>
      <c r="L605" s="229"/>
      <c r="M605" s="15"/>
      <c r="N605" s="15"/>
      <c r="O605" s="15"/>
      <c r="P605" s="15"/>
      <c r="Q605" s="15"/>
      <c r="R605" s="15"/>
      <c r="S605" s="15"/>
      <c r="T605" s="15"/>
      <c r="U605" s="74"/>
      <c r="V605" s="74"/>
      <c r="W605" s="74"/>
      <c r="X605" s="74"/>
      <c r="Y605" s="74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229"/>
      <c r="K606" s="229"/>
      <c r="L606" s="229"/>
      <c r="M606" s="15"/>
      <c r="N606" s="15"/>
      <c r="O606" s="15"/>
      <c r="P606" s="15"/>
      <c r="Q606" s="15"/>
      <c r="R606" s="15"/>
      <c r="S606" s="15"/>
      <c r="T606" s="15"/>
      <c r="U606" s="74"/>
      <c r="V606" s="74"/>
      <c r="W606" s="74"/>
      <c r="X606" s="74"/>
      <c r="Y606" s="74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229"/>
      <c r="K607" s="229"/>
      <c r="L607" s="229"/>
      <c r="M607" s="15"/>
      <c r="N607" s="15"/>
      <c r="O607" s="15"/>
      <c r="P607" s="15"/>
      <c r="Q607" s="15"/>
      <c r="R607" s="15"/>
      <c r="S607" s="15"/>
      <c r="T607" s="15"/>
      <c r="U607" s="74"/>
      <c r="V607" s="74"/>
      <c r="W607" s="74"/>
      <c r="X607" s="74"/>
      <c r="Y607" s="74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229"/>
      <c r="K608" s="229"/>
      <c r="L608" s="229"/>
      <c r="M608" s="15"/>
      <c r="N608" s="15"/>
      <c r="O608" s="15"/>
      <c r="P608" s="15"/>
      <c r="Q608" s="15"/>
      <c r="R608" s="15"/>
      <c r="S608" s="15"/>
      <c r="T608" s="15"/>
      <c r="U608" s="74"/>
      <c r="V608" s="74"/>
      <c r="W608" s="74"/>
      <c r="X608" s="74"/>
      <c r="Y608" s="74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229"/>
      <c r="K609" s="229"/>
      <c r="L609" s="229"/>
      <c r="M609" s="15"/>
      <c r="N609" s="15"/>
      <c r="O609" s="15"/>
      <c r="P609" s="15"/>
      <c r="Q609" s="15"/>
      <c r="R609" s="15"/>
      <c r="S609" s="15"/>
      <c r="T609" s="15"/>
      <c r="U609" s="74"/>
      <c r="V609" s="74"/>
      <c r="W609" s="74"/>
      <c r="X609" s="74"/>
      <c r="Y609" s="74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229"/>
      <c r="K610" s="229"/>
      <c r="L610" s="229"/>
      <c r="M610" s="15"/>
      <c r="N610" s="15"/>
      <c r="O610" s="15"/>
      <c r="P610" s="15"/>
      <c r="Q610" s="15"/>
      <c r="R610" s="15"/>
      <c r="S610" s="15"/>
      <c r="T610" s="15"/>
      <c r="U610" s="74"/>
      <c r="V610" s="74"/>
      <c r="W610" s="74"/>
      <c r="X610" s="74"/>
      <c r="Y610" s="74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229"/>
      <c r="K611" s="229"/>
      <c r="L611" s="229"/>
      <c r="M611" s="15"/>
      <c r="N611" s="15"/>
      <c r="O611" s="15"/>
      <c r="P611" s="15"/>
      <c r="Q611" s="15"/>
      <c r="R611" s="15"/>
      <c r="S611" s="15"/>
      <c r="T611" s="15"/>
      <c r="U611" s="74"/>
      <c r="V611" s="74"/>
      <c r="W611" s="74"/>
      <c r="X611" s="74"/>
      <c r="Y611" s="74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229"/>
      <c r="K612" s="229"/>
      <c r="L612" s="229"/>
      <c r="M612" s="15"/>
      <c r="N612" s="15"/>
      <c r="O612" s="15"/>
      <c r="P612" s="15"/>
      <c r="Q612" s="15"/>
      <c r="R612" s="15"/>
      <c r="S612" s="15"/>
      <c r="T612" s="15"/>
      <c r="U612" s="74"/>
      <c r="V612" s="74"/>
      <c r="W612" s="74"/>
      <c r="X612" s="74"/>
      <c r="Y612" s="74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229"/>
      <c r="K613" s="229"/>
      <c r="L613" s="229"/>
      <c r="M613" s="15"/>
      <c r="N613" s="15"/>
      <c r="O613" s="15"/>
      <c r="P613" s="15"/>
      <c r="Q613" s="15"/>
      <c r="R613" s="15"/>
      <c r="S613" s="15"/>
      <c r="T613" s="15"/>
      <c r="U613" s="74"/>
      <c r="V613" s="74"/>
      <c r="W613" s="74"/>
      <c r="X613" s="74"/>
      <c r="Y613" s="74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229"/>
      <c r="K614" s="229"/>
      <c r="L614" s="229"/>
      <c r="M614" s="15"/>
      <c r="N614" s="15"/>
      <c r="O614" s="15"/>
      <c r="P614" s="15"/>
      <c r="Q614" s="15"/>
      <c r="R614" s="15"/>
      <c r="S614" s="15"/>
      <c r="T614" s="15"/>
      <c r="U614" s="74"/>
      <c r="V614" s="74"/>
      <c r="W614" s="74"/>
      <c r="X614" s="74"/>
      <c r="Y614" s="74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229"/>
      <c r="K615" s="229"/>
      <c r="L615" s="229"/>
      <c r="M615" s="15"/>
      <c r="N615" s="15"/>
      <c r="O615" s="15"/>
      <c r="P615" s="15"/>
      <c r="Q615" s="15"/>
      <c r="R615" s="15"/>
      <c r="S615" s="15"/>
      <c r="T615" s="15"/>
      <c r="U615" s="74"/>
      <c r="V615" s="74"/>
      <c r="W615" s="74"/>
      <c r="X615" s="74"/>
      <c r="Y615" s="74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229"/>
      <c r="K616" s="229"/>
      <c r="L616" s="229"/>
      <c r="M616" s="15"/>
      <c r="N616" s="15"/>
      <c r="O616" s="15"/>
      <c r="P616" s="15"/>
      <c r="Q616" s="15"/>
      <c r="R616" s="15"/>
      <c r="S616" s="15"/>
      <c r="T616" s="15"/>
      <c r="U616" s="74"/>
      <c r="V616" s="74"/>
      <c r="W616" s="74"/>
      <c r="X616" s="74"/>
      <c r="Y616" s="74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229"/>
      <c r="K617" s="229"/>
      <c r="L617" s="229"/>
      <c r="M617" s="15"/>
      <c r="N617" s="15"/>
      <c r="O617" s="15"/>
      <c r="P617" s="15"/>
      <c r="Q617" s="15"/>
      <c r="R617" s="15"/>
      <c r="S617" s="15"/>
      <c r="T617" s="15"/>
      <c r="U617" s="74"/>
      <c r="V617" s="74"/>
      <c r="W617" s="74"/>
      <c r="X617" s="74"/>
      <c r="Y617" s="74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229"/>
      <c r="K618" s="229"/>
      <c r="L618" s="229"/>
      <c r="M618" s="15"/>
      <c r="N618" s="15"/>
      <c r="O618" s="15"/>
      <c r="P618" s="15"/>
      <c r="Q618" s="15"/>
      <c r="R618" s="15"/>
      <c r="S618" s="15"/>
      <c r="T618" s="15"/>
      <c r="U618" s="74"/>
      <c r="V618" s="74"/>
      <c r="W618" s="74"/>
      <c r="X618" s="74"/>
      <c r="Y618" s="74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229"/>
      <c r="K619" s="229"/>
      <c r="L619" s="229"/>
      <c r="M619" s="15"/>
      <c r="N619" s="15"/>
      <c r="O619" s="15"/>
      <c r="P619" s="15"/>
      <c r="Q619" s="15"/>
      <c r="R619" s="15"/>
      <c r="S619" s="15"/>
      <c r="T619" s="15"/>
      <c r="U619" s="74"/>
      <c r="V619" s="74"/>
      <c r="W619" s="74"/>
      <c r="X619" s="74"/>
      <c r="Y619" s="74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229"/>
      <c r="K620" s="229"/>
      <c r="L620" s="229"/>
      <c r="M620" s="15"/>
      <c r="N620" s="15"/>
      <c r="O620" s="15"/>
      <c r="P620" s="15"/>
      <c r="Q620" s="15"/>
      <c r="R620" s="15"/>
      <c r="S620" s="15"/>
      <c r="T620" s="15"/>
      <c r="U620" s="74"/>
      <c r="V620" s="74"/>
      <c r="W620" s="74"/>
      <c r="X620" s="74"/>
      <c r="Y620" s="74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229"/>
      <c r="K621" s="229"/>
      <c r="L621" s="229"/>
      <c r="M621" s="15"/>
      <c r="N621" s="15"/>
      <c r="O621" s="15"/>
      <c r="P621" s="15"/>
      <c r="Q621" s="15"/>
      <c r="R621" s="15"/>
      <c r="S621" s="15"/>
      <c r="T621" s="15"/>
      <c r="U621" s="74"/>
      <c r="V621" s="74"/>
      <c r="W621" s="74"/>
      <c r="X621" s="74"/>
      <c r="Y621" s="74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229"/>
      <c r="K622" s="229"/>
      <c r="L622" s="229"/>
      <c r="M622" s="15"/>
      <c r="N622" s="15"/>
      <c r="O622" s="15"/>
      <c r="P622" s="15"/>
      <c r="Q622" s="15"/>
      <c r="R622" s="15"/>
      <c r="S622" s="15"/>
      <c r="T622" s="15"/>
      <c r="U622" s="74"/>
      <c r="V622" s="74"/>
      <c r="W622" s="74"/>
      <c r="X622" s="74"/>
      <c r="Y622" s="74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229"/>
      <c r="K623" s="229"/>
      <c r="L623" s="229"/>
      <c r="M623" s="15"/>
      <c r="N623" s="15"/>
      <c r="O623" s="15"/>
      <c r="P623" s="15"/>
      <c r="Q623" s="15"/>
      <c r="R623" s="15"/>
      <c r="S623" s="15"/>
      <c r="T623" s="15"/>
      <c r="U623" s="74"/>
      <c r="V623" s="74"/>
      <c r="W623" s="74"/>
      <c r="X623" s="74"/>
      <c r="Y623" s="74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229"/>
      <c r="K624" s="229"/>
      <c r="L624" s="229"/>
      <c r="M624" s="15"/>
      <c r="N624" s="15"/>
      <c r="O624" s="15"/>
      <c r="P624" s="15"/>
      <c r="Q624" s="15"/>
      <c r="R624" s="15"/>
      <c r="S624" s="15"/>
      <c r="T624" s="15"/>
      <c r="U624" s="74"/>
      <c r="V624" s="74"/>
      <c r="W624" s="74"/>
      <c r="X624" s="74"/>
      <c r="Y624" s="74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229"/>
      <c r="K625" s="229"/>
      <c r="L625" s="229"/>
      <c r="M625" s="15"/>
      <c r="N625" s="15"/>
      <c r="O625" s="15"/>
      <c r="P625" s="15"/>
      <c r="Q625" s="15"/>
      <c r="R625" s="15"/>
      <c r="S625" s="15"/>
      <c r="T625" s="15"/>
      <c r="U625" s="74"/>
      <c r="V625" s="74"/>
      <c r="W625" s="74"/>
      <c r="X625" s="74"/>
      <c r="Y625" s="74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229"/>
      <c r="K626" s="229"/>
      <c r="L626" s="229"/>
      <c r="M626" s="15"/>
      <c r="N626" s="15"/>
      <c r="O626" s="15"/>
      <c r="P626" s="15"/>
      <c r="Q626" s="15"/>
      <c r="R626" s="15"/>
      <c r="S626" s="15"/>
      <c r="T626" s="15"/>
      <c r="U626" s="74"/>
      <c r="V626" s="74"/>
      <c r="W626" s="74"/>
      <c r="X626" s="74"/>
      <c r="Y626" s="74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229"/>
      <c r="K627" s="229"/>
      <c r="L627" s="229"/>
      <c r="M627" s="15"/>
      <c r="N627" s="15"/>
      <c r="O627" s="15"/>
      <c r="P627" s="15"/>
      <c r="Q627" s="15"/>
      <c r="R627" s="15"/>
      <c r="S627" s="15"/>
      <c r="T627" s="15"/>
      <c r="U627" s="74"/>
      <c r="V627" s="74"/>
      <c r="W627" s="74"/>
      <c r="X627" s="74"/>
      <c r="Y627" s="74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229"/>
      <c r="K628" s="229"/>
      <c r="L628" s="229"/>
      <c r="M628" s="15"/>
      <c r="N628" s="15"/>
      <c r="O628" s="15"/>
      <c r="P628" s="15"/>
      <c r="Q628" s="15"/>
      <c r="R628" s="15"/>
      <c r="S628" s="15"/>
      <c r="T628" s="15"/>
      <c r="U628" s="74"/>
      <c r="V628" s="74"/>
      <c r="W628" s="74"/>
      <c r="X628" s="74"/>
      <c r="Y628" s="74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229"/>
      <c r="K629" s="229"/>
      <c r="L629" s="229"/>
      <c r="M629" s="15"/>
      <c r="N629" s="15"/>
      <c r="O629" s="15"/>
      <c r="P629" s="15"/>
      <c r="Q629" s="15"/>
      <c r="R629" s="15"/>
      <c r="S629" s="15"/>
      <c r="T629" s="15"/>
      <c r="U629" s="74"/>
      <c r="V629" s="74"/>
      <c r="W629" s="74"/>
      <c r="X629" s="74"/>
      <c r="Y629" s="74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229"/>
      <c r="K630" s="229"/>
      <c r="L630" s="229"/>
      <c r="M630" s="15"/>
      <c r="N630" s="15"/>
      <c r="O630" s="15"/>
      <c r="P630" s="15"/>
      <c r="Q630" s="15"/>
      <c r="R630" s="15"/>
      <c r="S630" s="15"/>
      <c r="T630" s="15"/>
      <c r="U630" s="74"/>
      <c r="V630" s="74"/>
      <c r="W630" s="74"/>
      <c r="X630" s="74"/>
      <c r="Y630" s="74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229"/>
      <c r="K631" s="229"/>
      <c r="L631" s="229"/>
      <c r="M631" s="15"/>
      <c r="N631" s="15"/>
      <c r="O631" s="15"/>
      <c r="P631" s="15"/>
      <c r="Q631" s="15"/>
      <c r="R631" s="15"/>
      <c r="S631" s="15"/>
      <c r="T631" s="15"/>
      <c r="U631" s="74"/>
      <c r="V631" s="74"/>
      <c r="W631" s="74"/>
      <c r="X631" s="74"/>
      <c r="Y631" s="74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229"/>
      <c r="K632" s="229"/>
      <c r="L632" s="229"/>
      <c r="M632" s="15"/>
      <c r="N632" s="15"/>
      <c r="O632" s="15"/>
      <c r="P632" s="15"/>
      <c r="Q632" s="15"/>
      <c r="R632" s="15"/>
      <c r="S632" s="15"/>
      <c r="T632" s="15"/>
      <c r="U632" s="74"/>
      <c r="V632" s="74"/>
      <c r="W632" s="74"/>
      <c r="X632" s="74"/>
      <c r="Y632" s="74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229"/>
      <c r="K633" s="229"/>
      <c r="L633" s="229"/>
      <c r="M633" s="15"/>
      <c r="N633" s="15"/>
      <c r="O633" s="15"/>
      <c r="P633" s="15"/>
      <c r="Q633" s="15"/>
      <c r="R633" s="15"/>
      <c r="S633" s="15"/>
      <c r="T633" s="15"/>
      <c r="U633" s="74"/>
      <c r="V633" s="74"/>
      <c r="W633" s="74"/>
      <c r="X633" s="74"/>
      <c r="Y633" s="74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229"/>
      <c r="K634" s="229"/>
      <c r="L634" s="229"/>
      <c r="M634" s="15"/>
      <c r="N634" s="15"/>
      <c r="O634" s="15"/>
      <c r="P634" s="15"/>
      <c r="Q634" s="15"/>
      <c r="R634" s="15"/>
      <c r="S634" s="15"/>
      <c r="T634" s="15"/>
      <c r="U634" s="74"/>
      <c r="V634" s="74"/>
      <c r="W634" s="74"/>
      <c r="X634" s="74"/>
      <c r="Y634" s="74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229"/>
      <c r="K635" s="229"/>
      <c r="L635" s="229"/>
      <c r="M635" s="15"/>
      <c r="N635" s="15"/>
      <c r="O635" s="15"/>
      <c r="P635" s="15"/>
      <c r="Q635" s="15"/>
      <c r="R635" s="15"/>
      <c r="S635" s="15"/>
      <c r="T635" s="15"/>
      <c r="U635" s="74"/>
      <c r="V635" s="74"/>
      <c r="W635" s="74"/>
      <c r="X635" s="74"/>
      <c r="Y635" s="74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229"/>
      <c r="K636" s="229"/>
      <c r="L636" s="229"/>
      <c r="M636" s="15"/>
      <c r="N636" s="15"/>
      <c r="O636" s="15"/>
      <c r="P636" s="15"/>
      <c r="Q636" s="15"/>
      <c r="R636" s="15"/>
      <c r="S636" s="15"/>
      <c r="T636" s="15"/>
      <c r="U636" s="74"/>
      <c r="V636" s="74"/>
      <c r="W636" s="74"/>
      <c r="X636" s="74"/>
      <c r="Y636" s="74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229"/>
      <c r="K637" s="229"/>
      <c r="L637" s="229"/>
      <c r="M637" s="15"/>
      <c r="N637" s="15"/>
      <c r="O637" s="15"/>
      <c r="P637" s="15"/>
      <c r="Q637" s="15"/>
      <c r="R637" s="15"/>
      <c r="S637" s="15"/>
      <c r="T637" s="15"/>
      <c r="U637" s="74"/>
      <c r="V637" s="74"/>
      <c r="W637" s="74"/>
      <c r="X637" s="74"/>
      <c r="Y637" s="74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229"/>
      <c r="K638" s="229"/>
      <c r="L638" s="229"/>
      <c r="M638" s="15"/>
      <c r="N638" s="15"/>
      <c r="O638" s="15"/>
      <c r="P638" s="15"/>
      <c r="Q638" s="15"/>
      <c r="R638" s="15"/>
      <c r="S638" s="15"/>
      <c r="T638" s="15"/>
      <c r="U638" s="74"/>
      <c r="V638" s="74"/>
      <c r="W638" s="74"/>
      <c r="X638" s="74"/>
      <c r="Y638" s="74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229"/>
      <c r="K639" s="229"/>
      <c r="L639" s="229"/>
      <c r="M639" s="15"/>
      <c r="N639" s="15"/>
      <c r="O639" s="15"/>
      <c r="P639" s="15"/>
      <c r="Q639" s="15"/>
      <c r="R639" s="15"/>
      <c r="S639" s="15"/>
      <c r="T639" s="15"/>
      <c r="U639" s="74"/>
      <c r="V639" s="74"/>
      <c r="W639" s="74"/>
      <c r="X639" s="74"/>
      <c r="Y639" s="74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229"/>
      <c r="K640" s="229"/>
      <c r="L640" s="229"/>
      <c r="M640" s="15"/>
      <c r="N640" s="15"/>
      <c r="O640" s="15"/>
      <c r="P640" s="15"/>
      <c r="Q640" s="15"/>
      <c r="R640" s="15"/>
      <c r="S640" s="15"/>
      <c r="T640" s="15"/>
      <c r="U640" s="74"/>
      <c r="V640" s="74"/>
      <c r="W640" s="74"/>
      <c r="X640" s="74"/>
      <c r="Y640" s="74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229"/>
      <c r="K641" s="229"/>
      <c r="L641" s="229"/>
      <c r="M641" s="15"/>
      <c r="N641" s="15"/>
      <c r="O641" s="15"/>
      <c r="P641" s="15"/>
      <c r="Q641" s="15"/>
      <c r="R641" s="15"/>
      <c r="S641" s="15"/>
      <c r="T641" s="15"/>
      <c r="U641" s="74"/>
      <c r="V641" s="74"/>
      <c r="W641" s="74"/>
      <c r="X641" s="74"/>
      <c r="Y641" s="74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229"/>
      <c r="K642" s="229"/>
      <c r="L642" s="229"/>
      <c r="M642" s="15"/>
      <c r="N642" s="15"/>
      <c r="O642" s="15"/>
      <c r="P642" s="15"/>
      <c r="Q642" s="15"/>
      <c r="R642" s="15"/>
      <c r="S642" s="15"/>
      <c r="T642" s="15"/>
      <c r="U642" s="74"/>
      <c r="V642" s="74"/>
      <c r="W642" s="74"/>
      <c r="X642" s="74"/>
      <c r="Y642" s="74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229"/>
      <c r="K643" s="229"/>
      <c r="L643" s="229"/>
      <c r="M643" s="15"/>
      <c r="N643" s="15"/>
      <c r="O643" s="15"/>
      <c r="P643" s="15"/>
      <c r="Q643" s="15"/>
      <c r="R643" s="15"/>
      <c r="S643" s="15"/>
      <c r="T643" s="15"/>
      <c r="U643" s="74"/>
      <c r="V643" s="74"/>
      <c r="W643" s="74"/>
      <c r="X643" s="74"/>
      <c r="Y643" s="74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229"/>
      <c r="K644" s="229"/>
      <c r="L644" s="229"/>
      <c r="M644" s="15"/>
      <c r="N644" s="15"/>
      <c r="O644" s="15"/>
      <c r="P644" s="15"/>
      <c r="Q644" s="15"/>
      <c r="R644" s="15"/>
      <c r="S644" s="15"/>
      <c r="T644" s="15"/>
      <c r="U644" s="74"/>
      <c r="V644" s="74"/>
      <c r="W644" s="74"/>
      <c r="X644" s="74"/>
      <c r="Y644" s="74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229"/>
      <c r="K645" s="229"/>
      <c r="L645" s="229"/>
      <c r="M645" s="15"/>
      <c r="N645" s="15"/>
      <c r="O645" s="15"/>
      <c r="P645" s="15"/>
      <c r="Q645" s="15"/>
      <c r="R645" s="15"/>
      <c r="S645" s="15"/>
      <c r="T645" s="15"/>
      <c r="U645" s="74"/>
      <c r="V645" s="74"/>
      <c r="W645" s="74"/>
      <c r="X645" s="74"/>
      <c r="Y645" s="74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229"/>
      <c r="K646" s="229"/>
      <c r="L646" s="229"/>
      <c r="M646" s="15"/>
      <c r="N646" s="15"/>
      <c r="O646" s="15"/>
      <c r="P646" s="15"/>
      <c r="Q646" s="15"/>
      <c r="R646" s="15"/>
      <c r="S646" s="15"/>
      <c r="T646" s="15"/>
      <c r="U646" s="74"/>
      <c r="V646" s="74"/>
      <c r="W646" s="74"/>
      <c r="X646" s="74"/>
      <c r="Y646" s="74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229"/>
      <c r="K647" s="229"/>
      <c r="L647" s="229"/>
      <c r="M647" s="15"/>
      <c r="N647" s="15"/>
      <c r="O647" s="15"/>
      <c r="P647" s="15"/>
      <c r="Q647" s="15"/>
      <c r="R647" s="15"/>
      <c r="S647" s="15"/>
      <c r="T647" s="15"/>
      <c r="U647" s="74"/>
      <c r="V647" s="74"/>
      <c r="W647" s="74"/>
      <c r="X647" s="74"/>
      <c r="Y647" s="74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229"/>
      <c r="K648" s="229"/>
      <c r="L648" s="229"/>
      <c r="M648" s="15"/>
      <c r="N648" s="15"/>
      <c r="O648" s="15"/>
      <c r="P648" s="15"/>
      <c r="Q648" s="15"/>
      <c r="R648" s="15"/>
      <c r="S648" s="15"/>
      <c r="T648" s="15"/>
      <c r="U648" s="74"/>
      <c r="V648" s="74"/>
      <c r="W648" s="74"/>
      <c r="X648" s="74"/>
      <c r="Y648" s="74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229"/>
      <c r="K649" s="229"/>
      <c r="L649" s="229"/>
      <c r="M649" s="15"/>
      <c r="N649" s="15"/>
      <c r="O649" s="15"/>
      <c r="P649" s="15"/>
      <c r="Q649" s="15"/>
      <c r="R649" s="15"/>
      <c r="S649" s="15"/>
      <c r="T649" s="15"/>
      <c r="U649" s="74"/>
      <c r="V649" s="74"/>
      <c r="W649" s="74"/>
      <c r="X649" s="74"/>
      <c r="Y649" s="74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229"/>
      <c r="K650" s="229"/>
      <c r="L650" s="229"/>
      <c r="M650" s="15"/>
      <c r="N650" s="15"/>
      <c r="O650" s="15"/>
      <c r="P650" s="15"/>
      <c r="Q650" s="15"/>
      <c r="R650" s="15"/>
      <c r="S650" s="15"/>
      <c r="T650" s="15"/>
      <c r="U650" s="74"/>
      <c r="V650" s="74"/>
      <c r="W650" s="74"/>
      <c r="X650" s="74"/>
      <c r="Y650" s="74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229"/>
      <c r="K651" s="229"/>
      <c r="L651" s="229"/>
      <c r="M651" s="15"/>
      <c r="N651" s="15"/>
      <c r="O651" s="15"/>
      <c r="P651" s="15"/>
      <c r="Q651" s="15"/>
      <c r="R651" s="15"/>
      <c r="S651" s="15"/>
      <c r="T651" s="15"/>
      <c r="U651" s="74"/>
      <c r="V651" s="74"/>
      <c r="W651" s="74"/>
      <c r="X651" s="74"/>
      <c r="Y651" s="74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229"/>
      <c r="K652" s="229"/>
      <c r="L652" s="229"/>
      <c r="M652" s="15"/>
      <c r="N652" s="15"/>
      <c r="O652" s="15"/>
      <c r="P652" s="15"/>
      <c r="Q652" s="15"/>
      <c r="R652" s="15"/>
      <c r="S652" s="15"/>
      <c r="T652" s="15"/>
      <c r="U652" s="74"/>
      <c r="V652" s="74"/>
      <c r="W652" s="74"/>
      <c r="X652" s="74"/>
      <c r="Y652" s="74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229"/>
      <c r="K653" s="229"/>
      <c r="L653" s="229"/>
      <c r="M653" s="15"/>
      <c r="N653" s="15"/>
      <c r="O653" s="15"/>
      <c r="P653" s="15"/>
      <c r="Q653" s="15"/>
      <c r="R653" s="15"/>
      <c r="S653" s="15"/>
      <c r="T653" s="15"/>
      <c r="U653" s="74"/>
      <c r="V653" s="74"/>
      <c r="W653" s="74"/>
      <c r="X653" s="74"/>
      <c r="Y653" s="74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229"/>
      <c r="K654" s="229"/>
      <c r="L654" s="229"/>
      <c r="M654" s="15"/>
      <c r="N654" s="15"/>
      <c r="O654" s="15"/>
      <c r="P654" s="15"/>
      <c r="Q654" s="15"/>
      <c r="R654" s="15"/>
      <c r="S654" s="15"/>
      <c r="T654" s="15"/>
      <c r="U654" s="74"/>
      <c r="V654" s="74"/>
      <c r="W654" s="74"/>
      <c r="X654" s="74"/>
      <c r="Y654" s="74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229"/>
      <c r="K655" s="229"/>
      <c r="L655" s="229"/>
      <c r="M655" s="15"/>
      <c r="N655" s="15"/>
      <c r="O655" s="15"/>
      <c r="P655" s="15"/>
      <c r="Q655" s="15"/>
      <c r="R655" s="15"/>
      <c r="S655" s="15"/>
      <c r="T655" s="15"/>
      <c r="U655" s="74"/>
      <c r="V655" s="74"/>
      <c r="W655" s="74"/>
      <c r="X655" s="74"/>
      <c r="Y655" s="74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229"/>
      <c r="K656" s="229"/>
      <c r="L656" s="229"/>
      <c r="M656" s="15"/>
      <c r="N656" s="15"/>
      <c r="O656" s="15"/>
      <c r="P656" s="15"/>
      <c r="Q656" s="15"/>
      <c r="R656" s="15"/>
      <c r="S656" s="15"/>
      <c r="T656" s="15"/>
      <c r="U656" s="74"/>
      <c r="V656" s="74"/>
      <c r="W656" s="74"/>
      <c r="X656" s="74"/>
      <c r="Y656" s="74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229"/>
      <c r="K657" s="229"/>
      <c r="L657" s="229"/>
      <c r="M657" s="15"/>
      <c r="N657" s="15"/>
      <c r="O657" s="15"/>
      <c r="P657" s="15"/>
      <c r="Q657" s="15"/>
      <c r="R657" s="15"/>
      <c r="S657" s="15"/>
      <c r="T657" s="15"/>
      <c r="U657" s="74"/>
      <c r="V657" s="74"/>
      <c r="W657" s="74"/>
      <c r="X657" s="74"/>
      <c r="Y657" s="74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229"/>
      <c r="K658" s="229"/>
      <c r="L658" s="229"/>
      <c r="M658" s="15"/>
      <c r="N658" s="15"/>
      <c r="O658" s="15"/>
      <c r="P658" s="15"/>
      <c r="Q658" s="15"/>
      <c r="R658" s="15"/>
      <c r="S658" s="15"/>
      <c r="T658" s="15"/>
      <c r="U658" s="74"/>
      <c r="V658" s="74"/>
      <c r="W658" s="74"/>
      <c r="X658" s="74"/>
      <c r="Y658" s="74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229"/>
      <c r="K659" s="229"/>
      <c r="L659" s="229"/>
      <c r="M659" s="15"/>
      <c r="N659" s="15"/>
      <c r="O659" s="15"/>
      <c r="P659" s="15"/>
      <c r="Q659" s="15"/>
      <c r="R659" s="15"/>
      <c r="S659" s="15"/>
      <c r="T659" s="15"/>
      <c r="U659" s="74"/>
      <c r="V659" s="74"/>
      <c r="W659" s="74"/>
      <c r="X659" s="74"/>
      <c r="Y659" s="74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229"/>
      <c r="K660" s="229"/>
      <c r="L660" s="229"/>
      <c r="M660" s="15"/>
      <c r="N660" s="15"/>
      <c r="O660" s="15"/>
      <c r="P660" s="15"/>
      <c r="Q660" s="15"/>
      <c r="R660" s="15"/>
      <c r="S660" s="15"/>
      <c r="T660" s="15"/>
      <c r="U660" s="74"/>
      <c r="V660" s="74"/>
      <c r="W660" s="74"/>
      <c r="X660" s="74"/>
      <c r="Y660" s="74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229"/>
      <c r="K661" s="229"/>
      <c r="L661" s="229"/>
      <c r="M661" s="15"/>
      <c r="N661" s="15"/>
      <c r="O661" s="15"/>
      <c r="P661" s="15"/>
      <c r="Q661" s="15"/>
      <c r="R661" s="15"/>
      <c r="S661" s="15"/>
      <c r="T661" s="15"/>
      <c r="U661" s="74"/>
      <c r="V661" s="74"/>
      <c r="W661" s="74"/>
      <c r="X661" s="74"/>
      <c r="Y661" s="74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229"/>
      <c r="K662" s="229"/>
      <c r="L662" s="229"/>
      <c r="M662" s="15"/>
      <c r="N662" s="15"/>
      <c r="O662" s="15"/>
      <c r="P662" s="15"/>
      <c r="Q662" s="15"/>
      <c r="R662" s="15"/>
      <c r="S662" s="15"/>
      <c r="T662" s="15"/>
      <c r="U662" s="74"/>
      <c r="V662" s="74"/>
      <c r="W662" s="74"/>
      <c r="X662" s="74"/>
      <c r="Y662" s="74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229"/>
      <c r="K663" s="229"/>
      <c r="L663" s="229"/>
      <c r="M663" s="15"/>
      <c r="N663" s="15"/>
      <c r="O663" s="15"/>
      <c r="P663" s="15"/>
      <c r="Q663" s="15"/>
      <c r="R663" s="15"/>
      <c r="S663" s="15"/>
      <c r="T663" s="15"/>
      <c r="U663" s="74"/>
      <c r="V663" s="74"/>
      <c r="W663" s="74"/>
      <c r="X663" s="74"/>
      <c r="Y663" s="74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229"/>
      <c r="K664" s="229"/>
      <c r="L664" s="229"/>
      <c r="M664" s="15"/>
      <c r="N664" s="15"/>
      <c r="O664" s="15"/>
      <c r="P664" s="15"/>
      <c r="Q664" s="15"/>
      <c r="R664" s="15"/>
      <c r="S664" s="15"/>
      <c r="T664" s="15"/>
      <c r="U664" s="74"/>
      <c r="V664" s="74"/>
      <c r="W664" s="74"/>
      <c r="X664" s="74"/>
      <c r="Y664" s="74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229"/>
      <c r="K665" s="229"/>
      <c r="L665" s="229"/>
      <c r="M665" s="15"/>
      <c r="N665" s="15"/>
      <c r="O665" s="15"/>
      <c r="P665" s="15"/>
      <c r="Q665" s="15"/>
      <c r="R665" s="15"/>
      <c r="S665" s="15"/>
      <c r="T665" s="15"/>
      <c r="U665" s="74"/>
      <c r="V665" s="74"/>
      <c r="W665" s="74"/>
      <c r="X665" s="74"/>
      <c r="Y665" s="74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229"/>
      <c r="K666" s="229"/>
      <c r="L666" s="229"/>
      <c r="M666" s="15"/>
      <c r="N666" s="15"/>
      <c r="O666" s="15"/>
      <c r="P666" s="15"/>
      <c r="Q666" s="15"/>
      <c r="R666" s="15"/>
      <c r="S666" s="15"/>
      <c r="T666" s="15"/>
      <c r="U666" s="74"/>
      <c r="V666" s="74"/>
      <c r="W666" s="74"/>
      <c r="X666" s="74"/>
      <c r="Y666" s="74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229"/>
      <c r="K667" s="229"/>
      <c r="L667" s="229"/>
      <c r="M667" s="15"/>
      <c r="N667" s="15"/>
      <c r="O667" s="15"/>
      <c r="P667" s="15"/>
      <c r="Q667" s="15"/>
      <c r="R667" s="15"/>
      <c r="S667" s="15"/>
      <c r="T667" s="15"/>
      <c r="U667" s="74"/>
      <c r="V667" s="74"/>
      <c r="W667" s="74"/>
      <c r="X667" s="74"/>
      <c r="Y667" s="74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229"/>
      <c r="K668" s="229"/>
      <c r="L668" s="229"/>
      <c r="M668" s="15"/>
      <c r="N668" s="15"/>
      <c r="O668" s="15"/>
      <c r="P668" s="15"/>
      <c r="Q668" s="15"/>
      <c r="R668" s="15"/>
      <c r="S668" s="15"/>
      <c r="T668" s="15"/>
      <c r="U668" s="74"/>
      <c r="V668" s="74"/>
      <c r="W668" s="74"/>
      <c r="X668" s="74"/>
      <c r="Y668" s="74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229"/>
      <c r="K669" s="229"/>
      <c r="L669" s="229"/>
      <c r="M669" s="15"/>
      <c r="N669" s="15"/>
      <c r="O669" s="15"/>
      <c r="P669" s="15"/>
      <c r="Q669" s="15"/>
      <c r="R669" s="15"/>
      <c r="S669" s="15"/>
      <c r="T669" s="15"/>
      <c r="U669" s="74"/>
      <c r="V669" s="74"/>
      <c r="W669" s="74"/>
      <c r="X669" s="74"/>
      <c r="Y669" s="74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229"/>
      <c r="K670" s="229"/>
      <c r="L670" s="229"/>
      <c r="M670" s="15"/>
      <c r="N670" s="15"/>
      <c r="O670" s="15"/>
      <c r="P670" s="15"/>
      <c r="Q670" s="15"/>
      <c r="R670" s="15"/>
      <c r="S670" s="15"/>
      <c r="T670" s="15"/>
      <c r="U670" s="74"/>
      <c r="V670" s="74"/>
      <c r="W670" s="74"/>
      <c r="X670" s="74"/>
      <c r="Y670" s="74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229"/>
      <c r="K671" s="229"/>
      <c r="L671" s="229"/>
      <c r="M671" s="15"/>
      <c r="N671" s="15"/>
      <c r="O671" s="15"/>
      <c r="P671" s="15"/>
      <c r="Q671" s="15"/>
      <c r="R671" s="15"/>
      <c r="S671" s="15"/>
      <c r="T671" s="15"/>
      <c r="U671" s="74"/>
      <c r="V671" s="74"/>
      <c r="W671" s="74"/>
      <c r="X671" s="74"/>
      <c r="Y671" s="74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229"/>
      <c r="K672" s="229"/>
      <c r="L672" s="229"/>
      <c r="M672" s="15"/>
      <c r="N672" s="15"/>
      <c r="O672" s="15"/>
      <c r="P672" s="15"/>
      <c r="Q672" s="15"/>
      <c r="R672" s="15"/>
      <c r="S672" s="15"/>
      <c r="T672" s="15"/>
      <c r="U672" s="74"/>
      <c r="V672" s="74"/>
      <c r="W672" s="74"/>
      <c r="X672" s="74"/>
      <c r="Y672" s="74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229"/>
      <c r="K673" s="229"/>
      <c r="L673" s="229"/>
      <c r="M673" s="15"/>
      <c r="N673" s="15"/>
      <c r="O673" s="15"/>
      <c r="P673" s="15"/>
      <c r="Q673" s="15"/>
      <c r="R673" s="15"/>
      <c r="S673" s="15"/>
      <c r="T673" s="15"/>
      <c r="U673" s="74"/>
      <c r="V673" s="74"/>
      <c r="W673" s="74"/>
      <c r="X673" s="74"/>
      <c r="Y673" s="74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229"/>
      <c r="K674" s="229"/>
      <c r="L674" s="229"/>
      <c r="M674" s="15"/>
      <c r="N674" s="15"/>
      <c r="O674" s="15"/>
      <c r="P674" s="15"/>
      <c r="Q674" s="15"/>
      <c r="R674" s="15"/>
      <c r="S674" s="15"/>
      <c r="T674" s="15"/>
      <c r="U674" s="74"/>
      <c r="V674" s="74"/>
      <c r="W674" s="74"/>
      <c r="X674" s="74"/>
      <c r="Y674" s="74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229"/>
      <c r="K675" s="229"/>
      <c r="L675" s="229"/>
      <c r="M675" s="15"/>
      <c r="N675" s="15"/>
      <c r="O675" s="15"/>
      <c r="P675" s="15"/>
      <c r="Q675" s="15"/>
      <c r="R675" s="15"/>
      <c r="S675" s="15"/>
      <c r="T675" s="15"/>
      <c r="U675" s="74"/>
      <c r="V675" s="74"/>
      <c r="W675" s="74"/>
      <c r="X675" s="74"/>
      <c r="Y675" s="74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229"/>
      <c r="K676" s="229"/>
      <c r="L676" s="229"/>
      <c r="M676" s="15"/>
      <c r="N676" s="15"/>
      <c r="O676" s="15"/>
      <c r="P676" s="15"/>
      <c r="Q676" s="15"/>
      <c r="R676" s="15"/>
      <c r="S676" s="15"/>
      <c r="T676" s="15"/>
      <c r="U676" s="74"/>
      <c r="V676" s="74"/>
      <c r="W676" s="74"/>
      <c r="X676" s="74"/>
      <c r="Y676" s="74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229"/>
      <c r="K677" s="229"/>
      <c r="L677" s="229"/>
      <c r="M677" s="15"/>
      <c r="N677" s="15"/>
      <c r="O677" s="15"/>
      <c r="P677" s="15"/>
      <c r="Q677" s="15"/>
      <c r="R677" s="15"/>
      <c r="S677" s="15"/>
      <c r="T677" s="15"/>
      <c r="U677" s="74"/>
      <c r="V677" s="74"/>
      <c r="W677" s="74"/>
      <c r="X677" s="74"/>
      <c r="Y677" s="74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229"/>
      <c r="K678" s="229"/>
      <c r="L678" s="229"/>
      <c r="M678" s="15"/>
      <c r="N678" s="15"/>
      <c r="O678" s="15"/>
      <c r="P678" s="15"/>
      <c r="Q678" s="15"/>
      <c r="R678" s="15"/>
      <c r="S678" s="15"/>
      <c r="T678" s="15"/>
      <c r="U678" s="74"/>
      <c r="V678" s="74"/>
      <c r="W678" s="74"/>
      <c r="X678" s="74"/>
      <c r="Y678" s="74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229"/>
      <c r="K679" s="229"/>
      <c r="L679" s="229"/>
      <c r="M679" s="15"/>
      <c r="N679" s="15"/>
      <c r="O679" s="15"/>
      <c r="P679" s="15"/>
      <c r="Q679" s="15"/>
      <c r="R679" s="15"/>
      <c r="S679" s="15"/>
      <c r="T679" s="15"/>
      <c r="U679" s="74"/>
      <c r="V679" s="74"/>
      <c r="W679" s="74"/>
      <c r="X679" s="74"/>
      <c r="Y679" s="74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229"/>
      <c r="K680" s="229"/>
      <c r="L680" s="229"/>
      <c r="M680" s="15"/>
      <c r="N680" s="15"/>
      <c r="O680" s="15"/>
      <c r="P680" s="15"/>
      <c r="Q680" s="15"/>
      <c r="R680" s="15"/>
      <c r="S680" s="15"/>
      <c r="T680" s="15"/>
      <c r="U680" s="74"/>
      <c r="V680" s="74"/>
      <c r="W680" s="74"/>
      <c r="X680" s="74"/>
      <c r="Y680" s="74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229"/>
      <c r="K681" s="229"/>
      <c r="L681" s="229"/>
      <c r="M681" s="15"/>
      <c r="N681" s="15"/>
      <c r="O681" s="15"/>
      <c r="P681" s="15"/>
      <c r="Q681" s="15"/>
      <c r="R681" s="15"/>
      <c r="S681" s="15"/>
      <c r="T681" s="15"/>
      <c r="U681" s="74"/>
      <c r="V681" s="74"/>
      <c r="W681" s="74"/>
      <c r="X681" s="74"/>
      <c r="Y681" s="74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229"/>
      <c r="K682" s="229"/>
      <c r="L682" s="229"/>
      <c r="M682" s="15"/>
      <c r="N682" s="15"/>
      <c r="O682" s="15"/>
      <c r="P682" s="15"/>
      <c r="Q682" s="15"/>
      <c r="R682" s="15"/>
      <c r="S682" s="15"/>
      <c r="T682" s="15"/>
      <c r="U682" s="74"/>
      <c r="V682" s="74"/>
      <c r="W682" s="74"/>
      <c r="X682" s="74"/>
      <c r="Y682" s="74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229"/>
      <c r="K683" s="229"/>
      <c r="L683" s="229"/>
      <c r="M683" s="15"/>
      <c r="N683" s="15"/>
      <c r="O683" s="15"/>
      <c r="P683" s="15"/>
      <c r="Q683" s="15"/>
      <c r="R683" s="15"/>
      <c r="S683" s="15"/>
      <c r="T683" s="15"/>
      <c r="U683" s="74"/>
      <c r="V683" s="74"/>
      <c r="W683" s="74"/>
      <c r="X683" s="74"/>
      <c r="Y683" s="74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229"/>
      <c r="K684" s="229"/>
      <c r="L684" s="229"/>
      <c r="M684" s="15"/>
      <c r="N684" s="15"/>
      <c r="O684" s="15"/>
      <c r="P684" s="15"/>
      <c r="Q684" s="15"/>
      <c r="R684" s="15"/>
      <c r="S684" s="15"/>
      <c r="T684" s="15"/>
      <c r="U684" s="74"/>
      <c r="V684" s="74"/>
      <c r="W684" s="74"/>
      <c r="X684" s="74"/>
      <c r="Y684" s="74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229"/>
      <c r="K685" s="229"/>
      <c r="L685" s="229"/>
      <c r="M685" s="15"/>
      <c r="N685" s="15"/>
      <c r="O685" s="15"/>
      <c r="P685" s="15"/>
      <c r="Q685" s="15"/>
      <c r="R685" s="15"/>
      <c r="S685" s="15"/>
      <c r="T685" s="15"/>
      <c r="U685" s="74"/>
      <c r="V685" s="74"/>
      <c r="W685" s="74"/>
      <c r="X685" s="74"/>
      <c r="Y685" s="74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229"/>
      <c r="K686" s="229"/>
      <c r="L686" s="229"/>
      <c r="M686" s="15"/>
      <c r="N686" s="15"/>
      <c r="O686" s="15"/>
      <c r="P686" s="15"/>
      <c r="Q686" s="15"/>
      <c r="R686" s="15"/>
      <c r="S686" s="15"/>
      <c r="T686" s="15"/>
      <c r="U686" s="74"/>
      <c r="V686" s="74"/>
      <c r="W686" s="74"/>
      <c r="X686" s="74"/>
      <c r="Y686" s="74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229"/>
      <c r="K687" s="229"/>
      <c r="L687" s="229"/>
      <c r="M687" s="15"/>
      <c r="N687" s="15"/>
      <c r="O687" s="15"/>
      <c r="P687" s="15"/>
      <c r="Q687" s="15"/>
      <c r="R687" s="15"/>
      <c r="S687" s="15"/>
      <c r="T687" s="15"/>
      <c r="U687" s="74"/>
      <c r="V687" s="74"/>
      <c r="W687" s="74"/>
      <c r="X687" s="74"/>
      <c r="Y687" s="74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229"/>
      <c r="K688" s="229"/>
      <c r="L688" s="229"/>
      <c r="M688" s="15"/>
      <c r="N688" s="15"/>
      <c r="O688" s="15"/>
      <c r="P688" s="15"/>
      <c r="Q688" s="15"/>
      <c r="R688" s="15"/>
      <c r="S688" s="15"/>
      <c r="T688" s="15"/>
      <c r="U688" s="74"/>
      <c r="V688" s="74"/>
      <c r="W688" s="74"/>
      <c r="X688" s="74"/>
      <c r="Y688" s="74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229"/>
      <c r="K689" s="229"/>
      <c r="L689" s="229"/>
      <c r="M689" s="15"/>
      <c r="N689" s="15"/>
      <c r="O689" s="15"/>
      <c r="P689" s="15"/>
      <c r="Q689" s="15"/>
      <c r="R689" s="15"/>
      <c r="S689" s="15"/>
      <c r="T689" s="15"/>
      <c r="U689" s="74"/>
      <c r="V689" s="74"/>
      <c r="W689" s="74"/>
      <c r="X689" s="74"/>
      <c r="Y689" s="74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229"/>
      <c r="K690" s="229"/>
      <c r="L690" s="229"/>
      <c r="M690" s="15"/>
      <c r="N690" s="15"/>
      <c r="O690" s="15"/>
      <c r="P690" s="15"/>
      <c r="Q690" s="15"/>
      <c r="R690" s="15"/>
      <c r="S690" s="15"/>
      <c r="T690" s="15"/>
      <c r="U690" s="74"/>
      <c r="V690" s="74"/>
      <c r="W690" s="74"/>
      <c r="X690" s="74"/>
      <c r="Y690" s="74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229"/>
      <c r="K691" s="229"/>
      <c r="L691" s="229"/>
      <c r="M691" s="15"/>
      <c r="N691" s="15"/>
      <c r="O691" s="15"/>
      <c r="P691" s="15"/>
      <c r="Q691" s="15"/>
      <c r="R691" s="15"/>
      <c r="S691" s="15"/>
      <c r="T691" s="15"/>
      <c r="U691" s="74"/>
      <c r="V691" s="74"/>
      <c r="W691" s="74"/>
      <c r="X691" s="74"/>
      <c r="Y691" s="74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229"/>
      <c r="K692" s="229"/>
      <c r="L692" s="229"/>
      <c r="M692" s="15"/>
      <c r="N692" s="15"/>
      <c r="O692" s="15"/>
      <c r="P692" s="15"/>
      <c r="Q692" s="15"/>
      <c r="R692" s="15"/>
      <c r="S692" s="15"/>
      <c r="T692" s="15"/>
      <c r="U692" s="74"/>
      <c r="V692" s="74"/>
      <c r="W692" s="74"/>
      <c r="X692" s="74"/>
      <c r="Y692" s="74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229"/>
      <c r="K693" s="229"/>
      <c r="L693" s="229"/>
      <c r="M693" s="15"/>
      <c r="N693" s="15"/>
      <c r="O693" s="15"/>
      <c r="P693" s="15"/>
      <c r="Q693" s="15"/>
      <c r="R693" s="15"/>
      <c r="S693" s="15"/>
      <c r="T693" s="15"/>
      <c r="U693" s="74"/>
      <c r="V693" s="74"/>
      <c r="W693" s="74"/>
      <c r="X693" s="74"/>
      <c r="Y693" s="74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229"/>
      <c r="K694" s="229"/>
      <c r="L694" s="229"/>
      <c r="M694" s="15"/>
      <c r="N694" s="15"/>
      <c r="O694" s="15"/>
      <c r="P694" s="15"/>
      <c r="Q694" s="15"/>
      <c r="R694" s="15"/>
      <c r="S694" s="15"/>
      <c r="T694" s="15"/>
      <c r="U694" s="74"/>
      <c r="V694" s="74"/>
      <c r="W694" s="74"/>
      <c r="X694" s="74"/>
      <c r="Y694" s="74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229"/>
      <c r="K695" s="229"/>
      <c r="L695" s="229"/>
      <c r="M695" s="15"/>
      <c r="N695" s="15"/>
      <c r="O695" s="15"/>
      <c r="P695" s="15"/>
      <c r="Q695" s="15"/>
      <c r="R695" s="15"/>
      <c r="S695" s="15"/>
      <c r="T695" s="15"/>
      <c r="U695" s="74"/>
      <c r="V695" s="74"/>
      <c r="W695" s="74"/>
      <c r="X695" s="74"/>
      <c r="Y695" s="74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229"/>
      <c r="K696" s="229"/>
      <c r="L696" s="229"/>
      <c r="M696" s="15"/>
      <c r="N696" s="15"/>
      <c r="O696" s="15"/>
      <c r="P696" s="15"/>
      <c r="Q696" s="15"/>
      <c r="R696" s="15"/>
      <c r="S696" s="15"/>
      <c r="T696" s="15"/>
      <c r="U696" s="74"/>
      <c r="V696" s="74"/>
      <c r="W696" s="74"/>
      <c r="X696" s="74"/>
      <c r="Y696" s="74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229"/>
      <c r="K697" s="229"/>
      <c r="L697" s="229"/>
      <c r="M697" s="15"/>
      <c r="N697" s="15"/>
      <c r="O697" s="15"/>
      <c r="P697" s="15"/>
      <c r="Q697" s="15"/>
      <c r="R697" s="15"/>
      <c r="S697" s="15"/>
      <c r="T697" s="15"/>
      <c r="U697" s="74"/>
      <c r="V697" s="74"/>
      <c r="W697" s="74"/>
      <c r="X697" s="74"/>
      <c r="Y697" s="74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229"/>
      <c r="K698" s="229"/>
      <c r="L698" s="229"/>
      <c r="M698" s="15"/>
      <c r="N698" s="15"/>
      <c r="O698" s="15"/>
      <c r="P698" s="15"/>
      <c r="Q698" s="15"/>
      <c r="R698" s="15"/>
      <c r="S698" s="15"/>
      <c r="T698" s="15"/>
      <c r="U698" s="74"/>
      <c r="V698" s="74"/>
      <c r="W698" s="74"/>
      <c r="X698" s="74"/>
      <c r="Y698" s="74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229"/>
      <c r="K699" s="229"/>
      <c r="L699" s="229"/>
      <c r="M699" s="15"/>
      <c r="N699" s="15"/>
      <c r="O699" s="15"/>
      <c r="P699" s="15"/>
      <c r="Q699" s="15"/>
      <c r="R699" s="15"/>
      <c r="S699" s="15"/>
      <c r="T699" s="15"/>
      <c r="U699" s="74"/>
      <c r="V699" s="74"/>
      <c r="W699" s="74"/>
      <c r="X699" s="74"/>
      <c r="Y699" s="74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229"/>
      <c r="K700" s="229"/>
      <c r="L700" s="229"/>
      <c r="M700" s="15"/>
      <c r="N700" s="15"/>
      <c r="O700" s="15"/>
      <c r="P700" s="15"/>
      <c r="Q700" s="15"/>
      <c r="R700" s="15"/>
      <c r="S700" s="15"/>
      <c r="T700" s="15"/>
      <c r="U700" s="74"/>
      <c r="V700" s="74"/>
      <c r="W700" s="74"/>
      <c r="X700" s="74"/>
      <c r="Y700" s="74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229"/>
      <c r="K701" s="229"/>
      <c r="L701" s="229"/>
      <c r="M701" s="15"/>
      <c r="N701" s="15"/>
      <c r="O701" s="15"/>
      <c r="P701" s="15"/>
      <c r="Q701" s="15"/>
      <c r="R701" s="15"/>
      <c r="S701" s="15"/>
      <c r="T701" s="15"/>
      <c r="U701" s="74"/>
      <c r="V701" s="74"/>
      <c r="W701" s="74"/>
      <c r="X701" s="74"/>
      <c r="Y701" s="74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229"/>
      <c r="K702" s="229"/>
      <c r="L702" s="229"/>
      <c r="M702" s="15"/>
      <c r="N702" s="15"/>
      <c r="O702" s="15"/>
      <c r="P702" s="15"/>
      <c r="Q702" s="15"/>
      <c r="R702" s="15"/>
      <c r="S702" s="15"/>
      <c r="T702" s="15"/>
      <c r="U702" s="74"/>
      <c r="V702" s="74"/>
      <c r="W702" s="74"/>
      <c r="X702" s="74"/>
      <c r="Y702" s="74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229"/>
      <c r="K703" s="229"/>
      <c r="L703" s="229"/>
      <c r="M703" s="15"/>
      <c r="N703" s="15"/>
      <c r="O703" s="15"/>
      <c r="P703" s="15"/>
      <c r="Q703" s="15"/>
      <c r="R703" s="15"/>
      <c r="S703" s="15"/>
      <c r="T703" s="15"/>
      <c r="U703" s="74"/>
      <c r="V703" s="74"/>
      <c r="W703" s="74"/>
      <c r="X703" s="74"/>
      <c r="Y703" s="74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229"/>
      <c r="K704" s="229"/>
      <c r="L704" s="229"/>
      <c r="M704" s="15"/>
      <c r="N704" s="15"/>
      <c r="O704" s="15"/>
      <c r="P704" s="15"/>
      <c r="Q704" s="15"/>
      <c r="R704" s="15"/>
      <c r="S704" s="15"/>
      <c r="T704" s="15"/>
      <c r="U704" s="74"/>
      <c r="V704" s="74"/>
      <c r="W704" s="74"/>
      <c r="X704" s="74"/>
      <c r="Y704" s="74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229"/>
      <c r="K705" s="229"/>
      <c r="L705" s="229"/>
      <c r="M705" s="15"/>
      <c r="N705" s="15"/>
      <c r="O705" s="15"/>
      <c r="P705" s="15"/>
      <c r="Q705" s="15"/>
      <c r="R705" s="15"/>
      <c r="S705" s="15"/>
      <c r="T705" s="15"/>
      <c r="U705" s="74"/>
      <c r="V705" s="74"/>
      <c r="W705" s="74"/>
      <c r="X705" s="74"/>
      <c r="Y705" s="74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229"/>
      <c r="K706" s="229"/>
      <c r="L706" s="229"/>
      <c r="M706" s="15"/>
      <c r="N706" s="15"/>
      <c r="O706" s="15"/>
      <c r="P706" s="15"/>
      <c r="Q706" s="15"/>
      <c r="R706" s="15"/>
      <c r="S706" s="15"/>
      <c r="T706" s="15"/>
      <c r="U706" s="74"/>
      <c r="V706" s="74"/>
      <c r="W706" s="74"/>
      <c r="X706" s="74"/>
      <c r="Y706" s="74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229"/>
      <c r="K707" s="229"/>
      <c r="L707" s="229"/>
      <c r="M707" s="15"/>
      <c r="N707" s="15"/>
      <c r="O707" s="15"/>
      <c r="P707" s="15"/>
      <c r="Q707" s="15"/>
      <c r="R707" s="15"/>
      <c r="S707" s="15"/>
      <c r="T707" s="15"/>
      <c r="U707" s="74"/>
      <c r="V707" s="74"/>
      <c r="W707" s="74"/>
      <c r="X707" s="74"/>
      <c r="Y707" s="74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229"/>
      <c r="K708" s="229"/>
      <c r="L708" s="229"/>
      <c r="M708" s="15"/>
      <c r="N708" s="15"/>
      <c r="O708" s="15"/>
      <c r="P708" s="15"/>
      <c r="Q708" s="15"/>
      <c r="R708" s="15"/>
      <c r="S708" s="15"/>
      <c r="T708" s="15"/>
      <c r="U708" s="74"/>
      <c r="V708" s="74"/>
      <c r="W708" s="74"/>
      <c r="X708" s="74"/>
      <c r="Y708" s="74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229"/>
      <c r="K709" s="229"/>
      <c r="L709" s="229"/>
      <c r="M709" s="15"/>
      <c r="N709" s="15"/>
      <c r="O709" s="15"/>
      <c r="P709" s="15"/>
      <c r="Q709" s="15"/>
      <c r="R709" s="15"/>
      <c r="S709" s="15"/>
      <c r="T709" s="15"/>
      <c r="U709" s="74"/>
      <c r="V709" s="74"/>
      <c r="W709" s="74"/>
      <c r="X709" s="74"/>
      <c r="Y709" s="74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229"/>
      <c r="K710" s="229"/>
      <c r="L710" s="229"/>
      <c r="M710" s="15"/>
      <c r="N710" s="15"/>
      <c r="O710" s="15"/>
      <c r="P710" s="15"/>
      <c r="Q710" s="15"/>
      <c r="R710" s="15"/>
      <c r="S710" s="15"/>
      <c r="T710" s="15"/>
      <c r="U710" s="74"/>
      <c r="V710" s="74"/>
      <c r="W710" s="74"/>
      <c r="X710" s="74"/>
      <c r="Y710" s="74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229"/>
      <c r="K711" s="229"/>
      <c r="L711" s="229"/>
      <c r="M711" s="15"/>
      <c r="N711" s="15"/>
      <c r="O711" s="15"/>
      <c r="P711" s="15"/>
      <c r="Q711" s="15"/>
      <c r="R711" s="15"/>
      <c r="S711" s="15"/>
      <c r="T711" s="15"/>
      <c r="U711" s="74"/>
      <c r="V711" s="74"/>
      <c r="W711" s="74"/>
      <c r="X711" s="74"/>
      <c r="Y711" s="74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229"/>
      <c r="K712" s="229"/>
      <c r="L712" s="229"/>
      <c r="M712" s="15"/>
      <c r="N712" s="15"/>
      <c r="O712" s="15"/>
      <c r="P712" s="15"/>
      <c r="Q712" s="15"/>
      <c r="R712" s="15"/>
      <c r="S712" s="15"/>
      <c r="T712" s="15"/>
      <c r="U712" s="74"/>
      <c r="V712" s="74"/>
      <c r="W712" s="74"/>
      <c r="X712" s="74"/>
      <c r="Y712" s="74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229"/>
      <c r="K713" s="229"/>
      <c r="L713" s="229"/>
      <c r="M713" s="15"/>
      <c r="N713" s="15"/>
      <c r="O713" s="15"/>
      <c r="P713" s="15"/>
      <c r="Q713" s="15"/>
      <c r="R713" s="15"/>
      <c r="S713" s="15"/>
      <c r="T713" s="15"/>
      <c r="U713" s="74"/>
      <c r="V713" s="74"/>
      <c r="W713" s="74"/>
      <c r="X713" s="74"/>
      <c r="Y713" s="74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229"/>
      <c r="K714" s="229"/>
      <c r="L714" s="229"/>
      <c r="M714" s="15"/>
      <c r="N714" s="15"/>
      <c r="O714" s="15"/>
      <c r="P714" s="15"/>
      <c r="Q714" s="15"/>
      <c r="R714" s="15"/>
      <c r="S714" s="15"/>
      <c r="T714" s="15"/>
      <c r="U714" s="74"/>
      <c r="V714" s="74"/>
      <c r="W714" s="74"/>
      <c r="X714" s="74"/>
      <c r="Y714" s="74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229"/>
      <c r="K715" s="229"/>
      <c r="L715" s="229"/>
      <c r="M715" s="15"/>
      <c r="N715" s="15"/>
      <c r="O715" s="15"/>
      <c r="P715" s="15"/>
      <c r="Q715" s="15"/>
      <c r="R715" s="15"/>
      <c r="S715" s="15"/>
      <c r="T715" s="15"/>
      <c r="U715" s="74"/>
      <c r="V715" s="74"/>
      <c r="W715" s="74"/>
      <c r="X715" s="74"/>
      <c r="Y715" s="74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229"/>
      <c r="K716" s="229"/>
      <c r="L716" s="229"/>
      <c r="M716" s="15"/>
      <c r="N716" s="15"/>
      <c r="O716" s="15"/>
      <c r="P716" s="15"/>
      <c r="Q716" s="15"/>
      <c r="R716" s="15"/>
      <c r="S716" s="15"/>
      <c r="T716" s="15"/>
      <c r="U716" s="74"/>
      <c r="V716" s="74"/>
      <c r="W716" s="74"/>
      <c r="X716" s="74"/>
      <c r="Y716" s="74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229"/>
      <c r="K717" s="229"/>
      <c r="L717" s="229"/>
      <c r="M717" s="15"/>
      <c r="N717" s="15"/>
      <c r="O717" s="15"/>
      <c r="P717" s="15"/>
      <c r="Q717" s="15"/>
      <c r="R717" s="15"/>
      <c r="S717" s="15"/>
      <c r="T717" s="15"/>
      <c r="U717" s="74"/>
      <c r="V717" s="74"/>
      <c r="W717" s="74"/>
      <c r="X717" s="74"/>
      <c r="Y717" s="74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229"/>
      <c r="K718" s="229"/>
      <c r="L718" s="229"/>
      <c r="M718" s="15"/>
      <c r="N718" s="15"/>
      <c r="O718" s="15"/>
      <c r="P718" s="15"/>
      <c r="Q718" s="15"/>
      <c r="R718" s="15"/>
      <c r="S718" s="15"/>
      <c r="T718" s="15"/>
      <c r="U718" s="74"/>
      <c r="V718" s="74"/>
      <c r="W718" s="74"/>
      <c r="X718" s="74"/>
      <c r="Y718" s="74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229"/>
      <c r="K719" s="229"/>
      <c r="L719" s="229"/>
      <c r="M719" s="15"/>
      <c r="N719" s="15"/>
      <c r="O719" s="15"/>
      <c r="P719" s="15"/>
      <c r="Q719" s="15"/>
      <c r="R719" s="15"/>
      <c r="S719" s="15"/>
      <c r="T719" s="15"/>
      <c r="U719" s="74"/>
      <c r="V719" s="74"/>
      <c r="W719" s="74"/>
      <c r="X719" s="74"/>
      <c r="Y719" s="74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229"/>
      <c r="K720" s="229"/>
      <c r="L720" s="229"/>
      <c r="M720" s="15"/>
      <c r="N720" s="15"/>
      <c r="O720" s="15"/>
      <c r="P720" s="15"/>
      <c r="Q720" s="15"/>
      <c r="R720" s="15"/>
      <c r="S720" s="15"/>
      <c r="T720" s="15"/>
      <c r="U720" s="74"/>
      <c r="V720" s="74"/>
      <c r="W720" s="74"/>
      <c r="X720" s="74"/>
      <c r="Y720" s="74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229"/>
      <c r="K721" s="229"/>
      <c r="L721" s="229"/>
      <c r="M721" s="15"/>
      <c r="N721" s="15"/>
      <c r="O721" s="15"/>
      <c r="P721" s="15"/>
      <c r="Q721" s="15"/>
      <c r="R721" s="15"/>
      <c r="S721" s="15"/>
      <c r="T721" s="15"/>
      <c r="U721" s="74"/>
      <c r="V721" s="74"/>
      <c r="W721" s="74"/>
      <c r="X721" s="74"/>
      <c r="Y721" s="74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229"/>
      <c r="K722" s="229"/>
      <c r="L722" s="229"/>
      <c r="M722" s="15"/>
      <c r="N722" s="15"/>
      <c r="O722" s="15"/>
      <c r="P722" s="15"/>
      <c r="Q722" s="15"/>
      <c r="R722" s="15"/>
      <c r="S722" s="15"/>
      <c r="T722" s="15"/>
      <c r="U722" s="74"/>
      <c r="V722" s="74"/>
      <c r="W722" s="74"/>
      <c r="X722" s="74"/>
      <c r="Y722" s="74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229"/>
      <c r="K723" s="229"/>
      <c r="L723" s="229"/>
      <c r="M723" s="15"/>
      <c r="N723" s="15"/>
      <c r="O723" s="15"/>
      <c r="P723" s="15"/>
      <c r="Q723" s="15"/>
      <c r="R723" s="15"/>
      <c r="S723" s="15"/>
      <c r="T723" s="15"/>
      <c r="U723" s="74"/>
      <c r="V723" s="74"/>
      <c r="W723" s="74"/>
      <c r="X723" s="74"/>
      <c r="Y723" s="74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229"/>
      <c r="K724" s="229"/>
      <c r="L724" s="229"/>
      <c r="M724" s="15"/>
      <c r="N724" s="15"/>
      <c r="O724" s="15"/>
      <c r="P724" s="15"/>
      <c r="Q724" s="15"/>
      <c r="R724" s="15"/>
      <c r="S724" s="15"/>
      <c r="T724" s="15"/>
      <c r="U724" s="74"/>
      <c r="V724" s="74"/>
      <c r="W724" s="74"/>
      <c r="X724" s="74"/>
      <c r="Y724" s="74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229"/>
      <c r="K725" s="229"/>
      <c r="L725" s="229"/>
      <c r="M725" s="15"/>
      <c r="N725" s="15"/>
      <c r="O725" s="15"/>
      <c r="P725" s="15"/>
      <c r="Q725" s="15"/>
      <c r="R725" s="15"/>
      <c r="S725" s="15"/>
      <c r="T725" s="15"/>
      <c r="U725" s="74"/>
      <c r="V725" s="74"/>
      <c r="W725" s="74"/>
      <c r="X725" s="74"/>
      <c r="Y725" s="74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229"/>
      <c r="K726" s="229"/>
      <c r="L726" s="229"/>
      <c r="M726" s="15"/>
      <c r="N726" s="15"/>
      <c r="O726" s="15"/>
      <c r="P726" s="15"/>
      <c r="Q726" s="15"/>
      <c r="R726" s="15"/>
      <c r="S726" s="15"/>
      <c r="T726" s="15"/>
      <c r="U726" s="74"/>
      <c r="V726" s="74"/>
      <c r="W726" s="74"/>
      <c r="X726" s="74"/>
      <c r="Y726" s="74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229"/>
      <c r="K727" s="229"/>
      <c r="L727" s="229"/>
      <c r="M727" s="15"/>
      <c r="N727" s="15"/>
      <c r="O727" s="15"/>
      <c r="P727" s="15"/>
      <c r="Q727" s="15"/>
      <c r="R727" s="15"/>
      <c r="S727" s="15"/>
      <c r="T727" s="15"/>
      <c r="U727" s="74"/>
      <c r="V727" s="74"/>
      <c r="W727" s="74"/>
      <c r="X727" s="74"/>
      <c r="Y727" s="74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229"/>
      <c r="K728" s="229"/>
      <c r="L728" s="229"/>
      <c r="M728" s="15"/>
      <c r="N728" s="15"/>
      <c r="O728" s="15"/>
      <c r="P728" s="15"/>
      <c r="Q728" s="15"/>
      <c r="R728" s="15"/>
      <c r="S728" s="15"/>
      <c r="T728" s="15"/>
      <c r="U728" s="74"/>
      <c r="V728" s="74"/>
      <c r="W728" s="74"/>
      <c r="X728" s="74"/>
      <c r="Y728" s="74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229"/>
      <c r="K729" s="229"/>
      <c r="L729" s="229"/>
      <c r="M729" s="15"/>
      <c r="N729" s="15"/>
      <c r="O729" s="15"/>
      <c r="P729" s="15"/>
      <c r="Q729" s="15"/>
      <c r="R729" s="15"/>
      <c r="S729" s="15"/>
      <c r="T729" s="15"/>
      <c r="U729" s="74"/>
      <c r="V729" s="74"/>
      <c r="W729" s="74"/>
      <c r="X729" s="74"/>
      <c r="Y729" s="74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229"/>
      <c r="K730" s="229"/>
      <c r="L730" s="229"/>
      <c r="M730" s="15"/>
      <c r="N730" s="15"/>
      <c r="O730" s="15"/>
      <c r="P730" s="15"/>
      <c r="Q730" s="15"/>
      <c r="R730" s="15"/>
      <c r="S730" s="15"/>
      <c r="T730" s="15"/>
      <c r="U730" s="74"/>
      <c r="V730" s="74"/>
      <c r="W730" s="74"/>
      <c r="X730" s="74"/>
      <c r="Y730" s="74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229"/>
      <c r="K731" s="229"/>
      <c r="L731" s="229"/>
      <c r="M731" s="15"/>
      <c r="N731" s="15"/>
      <c r="O731" s="15"/>
      <c r="P731" s="15"/>
      <c r="Q731" s="15"/>
      <c r="R731" s="15"/>
      <c r="S731" s="15"/>
      <c r="T731" s="15"/>
      <c r="U731" s="74"/>
      <c r="V731" s="74"/>
      <c r="W731" s="74"/>
      <c r="X731" s="74"/>
      <c r="Y731" s="74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229"/>
      <c r="K732" s="229"/>
      <c r="L732" s="229"/>
      <c r="M732" s="15"/>
      <c r="N732" s="15"/>
      <c r="O732" s="15"/>
      <c r="P732" s="15"/>
      <c r="Q732" s="15"/>
      <c r="R732" s="15"/>
      <c r="S732" s="15"/>
      <c r="T732" s="15"/>
      <c r="U732" s="74"/>
      <c r="V732" s="74"/>
      <c r="W732" s="74"/>
      <c r="X732" s="74"/>
      <c r="Y732" s="74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229"/>
      <c r="K733" s="229"/>
      <c r="L733" s="229"/>
      <c r="M733" s="15"/>
      <c r="N733" s="15"/>
      <c r="O733" s="15"/>
      <c r="P733" s="15"/>
      <c r="Q733" s="15"/>
      <c r="R733" s="15"/>
      <c r="S733" s="15"/>
      <c r="T733" s="15"/>
      <c r="U733" s="74"/>
      <c r="V733" s="74"/>
      <c r="W733" s="74"/>
      <c r="X733" s="74"/>
      <c r="Y733" s="74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229"/>
      <c r="K734" s="229"/>
      <c r="L734" s="229"/>
      <c r="M734" s="15"/>
      <c r="N734" s="15"/>
      <c r="O734" s="15"/>
      <c r="P734" s="15"/>
      <c r="Q734" s="15"/>
      <c r="R734" s="15"/>
      <c r="S734" s="15"/>
      <c r="T734" s="15"/>
      <c r="U734" s="74"/>
      <c r="V734" s="74"/>
      <c r="W734" s="74"/>
      <c r="X734" s="74"/>
      <c r="Y734" s="74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229"/>
      <c r="K735" s="229"/>
      <c r="L735" s="229"/>
      <c r="M735" s="15"/>
      <c r="N735" s="15"/>
      <c r="O735" s="15"/>
      <c r="P735" s="15"/>
      <c r="Q735" s="15"/>
      <c r="R735" s="15"/>
      <c r="S735" s="15"/>
      <c r="T735" s="15"/>
      <c r="U735" s="74"/>
      <c r="V735" s="74"/>
      <c r="W735" s="74"/>
      <c r="X735" s="74"/>
      <c r="Y735" s="74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229"/>
      <c r="K736" s="229"/>
      <c r="L736" s="229"/>
      <c r="M736" s="15"/>
      <c r="N736" s="15"/>
      <c r="O736" s="15"/>
      <c r="P736" s="15"/>
      <c r="Q736" s="15"/>
      <c r="R736" s="15"/>
      <c r="S736" s="15"/>
      <c r="T736" s="15"/>
      <c r="U736" s="74"/>
      <c r="V736" s="74"/>
      <c r="W736" s="74"/>
      <c r="X736" s="74"/>
      <c r="Y736" s="74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229"/>
      <c r="K737" s="229"/>
      <c r="L737" s="229"/>
      <c r="M737" s="15"/>
      <c r="N737" s="15"/>
      <c r="O737" s="15"/>
      <c r="P737" s="15"/>
      <c r="Q737" s="15"/>
      <c r="R737" s="15"/>
      <c r="S737" s="15"/>
      <c r="T737" s="15"/>
      <c r="U737" s="74"/>
      <c r="V737" s="74"/>
      <c r="W737" s="74"/>
      <c r="X737" s="74"/>
      <c r="Y737" s="74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229"/>
      <c r="K738" s="229"/>
      <c r="L738" s="229"/>
      <c r="M738" s="15"/>
      <c r="N738" s="15"/>
      <c r="O738" s="15"/>
      <c r="P738" s="15"/>
      <c r="Q738" s="15"/>
      <c r="R738" s="15"/>
      <c r="S738" s="15"/>
      <c r="T738" s="15"/>
      <c r="U738" s="74"/>
      <c r="V738" s="74"/>
      <c r="W738" s="74"/>
      <c r="X738" s="74"/>
      <c r="Y738" s="74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229"/>
      <c r="K739" s="229"/>
      <c r="L739" s="229"/>
      <c r="M739" s="15"/>
      <c r="N739" s="15"/>
      <c r="O739" s="15"/>
      <c r="P739" s="15"/>
      <c r="Q739" s="15"/>
      <c r="R739" s="15"/>
      <c r="S739" s="15"/>
      <c r="T739" s="15"/>
      <c r="U739" s="74"/>
      <c r="V739" s="74"/>
      <c r="W739" s="74"/>
      <c r="X739" s="74"/>
      <c r="Y739" s="74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229"/>
      <c r="K740" s="229"/>
      <c r="L740" s="229"/>
      <c r="M740" s="15"/>
      <c r="N740" s="15"/>
      <c r="O740" s="15"/>
      <c r="P740" s="15"/>
      <c r="Q740" s="15"/>
      <c r="R740" s="15"/>
      <c r="S740" s="15"/>
      <c r="T740" s="15"/>
      <c r="U740" s="74"/>
      <c r="V740" s="74"/>
      <c r="W740" s="74"/>
      <c r="X740" s="74"/>
      <c r="Y740" s="74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229"/>
      <c r="K741" s="229"/>
      <c r="L741" s="229"/>
      <c r="M741" s="15"/>
      <c r="N741" s="15"/>
      <c r="O741" s="15"/>
      <c r="P741" s="15"/>
      <c r="Q741" s="15"/>
      <c r="R741" s="15"/>
      <c r="S741" s="15"/>
      <c r="T741" s="15"/>
      <c r="U741" s="74"/>
      <c r="V741" s="74"/>
      <c r="W741" s="74"/>
      <c r="X741" s="74"/>
      <c r="Y741" s="74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229"/>
      <c r="K742" s="229"/>
      <c r="L742" s="229"/>
      <c r="M742" s="15"/>
      <c r="N742" s="15"/>
      <c r="O742" s="15"/>
      <c r="P742" s="15"/>
      <c r="Q742" s="15"/>
      <c r="R742" s="15"/>
      <c r="S742" s="15"/>
      <c r="T742" s="15"/>
      <c r="U742" s="74"/>
      <c r="V742" s="74"/>
      <c r="W742" s="74"/>
      <c r="X742" s="74"/>
      <c r="Y742" s="74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229"/>
      <c r="K743" s="229"/>
      <c r="L743" s="229"/>
      <c r="M743" s="15"/>
      <c r="N743" s="15"/>
      <c r="O743" s="15"/>
      <c r="P743" s="15"/>
      <c r="Q743" s="15"/>
      <c r="R743" s="15"/>
      <c r="S743" s="15"/>
      <c r="T743" s="15"/>
      <c r="U743" s="74"/>
      <c r="V743" s="74"/>
      <c r="W743" s="74"/>
      <c r="X743" s="74"/>
      <c r="Y743" s="74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229"/>
      <c r="K744" s="229"/>
      <c r="L744" s="229"/>
      <c r="M744" s="15"/>
      <c r="N744" s="15"/>
      <c r="O744" s="15"/>
      <c r="P744" s="15"/>
      <c r="Q744" s="15"/>
      <c r="R744" s="15"/>
      <c r="S744" s="15"/>
      <c r="T744" s="15"/>
      <c r="U744" s="74"/>
      <c r="V744" s="74"/>
      <c r="W744" s="74"/>
      <c r="X744" s="74"/>
      <c r="Y744" s="74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229"/>
      <c r="K745" s="229"/>
      <c r="L745" s="229"/>
      <c r="M745" s="15"/>
      <c r="N745" s="15"/>
      <c r="O745" s="15"/>
      <c r="P745" s="15"/>
      <c r="Q745" s="15"/>
      <c r="R745" s="15"/>
      <c r="S745" s="15"/>
      <c r="T745" s="15"/>
      <c r="U745" s="74"/>
      <c r="V745" s="74"/>
      <c r="W745" s="74"/>
      <c r="X745" s="74"/>
      <c r="Y745" s="74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229"/>
      <c r="K746" s="229"/>
      <c r="L746" s="229"/>
      <c r="M746" s="15"/>
      <c r="N746" s="15"/>
      <c r="O746" s="15"/>
      <c r="P746" s="15"/>
      <c r="Q746" s="15"/>
      <c r="R746" s="15"/>
      <c r="S746" s="15"/>
      <c r="T746" s="15"/>
      <c r="U746" s="74"/>
      <c r="V746" s="74"/>
      <c r="W746" s="74"/>
      <c r="X746" s="74"/>
      <c r="Y746" s="74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229"/>
      <c r="K747" s="229"/>
      <c r="L747" s="229"/>
      <c r="M747" s="15"/>
      <c r="N747" s="15"/>
      <c r="O747" s="15"/>
      <c r="P747" s="15"/>
      <c r="Q747" s="15"/>
      <c r="R747" s="15"/>
      <c r="S747" s="15"/>
      <c r="T747" s="15"/>
      <c r="U747" s="74"/>
      <c r="V747" s="74"/>
      <c r="W747" s="74"/>
      <c r="X747" s="74"/>
      <c r="Y747" s="74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229"/>
      <c r="K748" s="229"/>
      <c r="L748" s="229"/>
      <c r="M748" s="15"/>
      <c r="N748" s="15"/>
      <c r="O748" s="15"/>
      <c r="P748" s="15"/>
      <c r="Q748" s="15"/>
      <c r="R748" s="15"/>
      <c r="S748" s="15"/>
      <c r="T748" s="15"/>
      <c r="U748" s="74"/>
      <c r="V748" s="74"/>
      <c r="W748" s="74"/>
      <c r="X748" s="74"/>
      <c r="Y748" s="74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229"/>
      <c r="K749" s="229"/>
      <c r="L749" s="229"/>
      <c r="M749" s="15"/>
      <c r="N749" s="15"/>
      <c r="O749" s="15"/>
      <c r="P749" s="15"/>
      <c r="Q749" s="15"/>
      <c r="R749" s="15"/>
      <c r="S749" s="15"/>
      <c r="T749" s="15"/>
      <c r="U749" s="74"/>
      <c r="V749" s="74"/>
      <c r="W749" s="74"/>
      <c r="X749" s="74"/>
      <c r="Y749" s="74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229"/>
      <c r="K750" s="229"/>
      <c r="L750" s="229"/>
      <c r="M750" s="15"/>
      <c r="N750" s="15"/>
      <c r="O750" s="15"/>
      <c r="P750" s="15"/>
      <c r="Q750" s="15"/>
      <c r="R750" s="15"/>
      <c r="S750" s="15"/>
      <c r="T750" s="15"/>
      <c r="U750" s="74"/>
      <c r="V750" s="74"/>
      <c r="W750" s="74"/>
      <c r="X750" s="74"/>
      <c r="Y750" s="74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229"/>
      <c r="K751" s="229"/>
      <c r="L751" s="229"/>
      <c r="M751" s="15"/>
      <c r="N751" s="15"/>
      <c r="O751" s="15"/>
      <c r="P751" s="15"/>
      <c r="Q751" s="15"/>
      <c r="R751" s="15"/>
      <c r="S751" s="15"/>
      <c r="T751" s="15"/>
      <c r="U751" s="74"/>
      <c r="V751" s="74"/>
      <c r="W751" s="74"/>
      <c r="X751" s="74"/>
      <c r="Y751" s="74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229"/>
      <c r="K752" s="229"/>
      <c r="L752" s="229"/>
      <c r="M752" s="15"/>
      <c r="N752" s="15"/>
      <c r="O752" s="15"/>
      <c r="P752" s="15"/>
      <c r="Q752" s="15"/>
      <c r="R752" s="15"/>
      <c r="S752" s="15"/>
      <c r="T752" s="15"/>
      <c r="U752" s="74"/>
      <c r="V752" s="74"/>
      <c r="W752" s="74"/>
      <c r="X752" s="74"/>
      <c r="Y752" s="74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229"/>
      <c r="K753" s="229"/>
      <c r="L753" s="229"/>
      <c r="M753" s="15"/>
      <c r="N753" s="15"/>
      <c r="O753" s="15"/>
      <c r="P753" s="15"/>
      <c r="Q753" s="15"/>
      <c r="R753" s="15"/>
      <c r="S753" s="15"/>
      <c r="T753" s="15"/>
      <c r="U753" s="74"/>
      <c r="V753" s="74"/>
      <c r="W753" s="74"/>
      <c r="X753" s="74"/>
      <c r="Y753" s="74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229"/>
      <c r="K754" s="229"/>
      <c r="L754" s="229"/>
      <c r="M754" s="15"/>
      <c r="N754" s="15"/>
      <c r="O754" s="15"/>
      <c r="P754" s="15"/>
      <c r="Q754" s="15"/>
      <c r="R754" s="15"/>
      <c r="S754" s="15"/>
      <c r="T754" s="15"/>
      <c r="U754" s="74"/>
      <c r="V754" s="74"/>
      <c r="W754" s="74"/>
      <c r="X754" s="74"/>
      <c r="Y754" s="74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229"/>
      <c r="K755" s="229"/>
      <c r="L755" s="229"/>
      <c r="M755" s="15"/>
      <c r="N755" s="15"/>
      <c r="O755" s="15"/>
      <c r="P755" s="15"/>
      <c r="Q755" s="15"/>
      <c r="R755" s="15"/>
      <c r="S755" s="15"/>
      <c r="T755" s="15"/>
      <c r="U755" s="74"/>
      <c r="V755" s="74"/>
      <c r="W755" s="74"/>
      <c r="X755" s="74"/>
      <c r="Y755" s="74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229"/>
      <c r="K756" s="229"/>
      <c r="L756" s="229"/>
      <c r="M756" s="15"/>
      <c r="N756" s="15"/>
      <c r="O756" s="15"/>
      <c r="P756" s="15"/>
      <c r="Q756" s="15"/>
      <c r="R756" s="15"/>
      <c r="S756" s="15"/>
      <c r="T756" s="15"/>
      <c r="U756" s="74"/>
      <c r="V756" s="74"/>
      <c r="W756" s="74"/>
      <c r="X756" s="74"/>
      <c r="Y756" s="74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229"/>
      <c r="K757" s="229"/>
      <c r="L757" s="229"/>
      <c r="M757" s="15"/>
      <c r="N757" s="15"/>
      <c r="O757" s="15"/>
      <c r="P757" s="15"/>
      <c r="Q757" s="15"/>
      <c r="R757" s="15"/>
      <c r="S757" s="15"/>
      <c r="T757" s="15"/>
      <c r="U757" s="74"/>
      <c r="V757" s="74"/>
      <c r="W757" s="74"/>
      <c r="X757" s="74"/>
      <c r="Y757" s="74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229"/>
      <c r="K758" s="229"/>
      <c r="L758" s="229"/>
      <c r="M758" s="15"/>
      <c r="N758" s="15"/>
      <c r="O758" s="15"/>
      <c r="P758" s="15"/>
      <c r="Q758" s="15"/>
      <c r="R758" s="15"/>
      <c r="S758" s="15"/>
      <c r="T758" s="15"/>
      <c r="U758" s="74"/>
      <c r="V758" s="74"/>
      <c r="W758" s="74"/>
      <c r="X758" s="74"/>
      <c r="Y758" s="74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229"/>
      <c r="K759" s="229"/>
      <c r="L759" s="229"/>
      <c r="M759" s="15"/>
      <c r="N759" s="15"/>
      <c r="O759" s="15"/>
      <c r="P759" s="15"/>
      <c r="Q759" s="15"/>
      <c r="R759" s="15"/>
      <c r="S759" s="15"/>
      <c r="T759" s="15"/>
      <c r="U759" s="74"/>
      <c r="V759" s="74"/>
      <c r="W759" s="74"/>
      <c r="X759" s="74"/>
      <c r="Y759" s="74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229"/>
      <c r="K760" s="229"/>
      <c r="L760" s="229"/>
      <c r="M760" s="15"/>
      <c r="N760" s="15"/>
      <c r="O760" s="15"/>
      <c r="P760" s="15"/>
      <c r="Q760" s="15"/>
      <c r="R760" s="15"/>
      <c r="S760" s="15"/>
      <c r="T760" s="15"/>
      <c r="U760" s="74"/>
      <c r="V760" s="74"/>
      <c r="W760" s="74"/>
      <c r="X760" s="74"/>
      <c r="Y760" s="74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229"/>
      <c r="K761" s="229"/>
      <c r="L761" s="229"/>
      <c r="M761" s="15"/>
      <c r="N761" s="15"/>
      <c r="O761" s="15"/>
      <c r="P761" s="15"/>
      <c r="Q761" s="15"/>
      <c r="R761" s="15"/>
      <c r="S761" s="15"/>
      <c r="T761" s="15"/>
      <c r="U761" s="74"/>
      <c r="V761" s="74"/>
      <c r="W761" s="74"/>
      <c r="X761" s="74"/>
      <c r="Y761" s="74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229"/>
      <c r="K762" s="229"/>
      <c r="L762" s="229"/>
      <c r="M762" s="15"/>
      <c r="N762" s="15"/>
      <c r="O762" s="15"/>
      <c r="P762" s="15"/>
      <c r="Q762" s="15"/>
      <c r="R762" s="15"/>
      <c r="S762" s="15"/>
      <c r="T762" s="15"/>
      <c r="U762" s="74"/>
      <c r="V762" s="74"/>
      <c r="W762" s="74"/>
      <c r="X762" s="74"/>
      <c r="Y762" s="74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229"/>
      <c r="K763" s="229"/>
      <c r="L763" s="229"/>
      <c r="M763" s="15"/>
      <c r="N763" s="15"/>
      <c r="O763" s="15"/>
      <c r="P763" s="15"/>
      <c r="Q763" s="15"/>
      <c r="R763" s="15"/>
      <c r="S763" s="15"/>
      <c r="T763" s="15"/>
      <c r="U763" s="74"/>
      <c r="V763" s="74"/>
      <c r="W763" s="74"/>
      <c r="X763" s="74"/>
      <c r="Y763" s="74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229"/>
      <c r="K764" s="229"/>
      <c r="L764" s="229"/>
      <c r="M764" s="15"/>
      <c r="N764" s="15"/>
      <c r="O764" s="15"/>
      <c r="P764" s="15"/>
      <c r="Q764" s="15"/>
      <c r="R764" s="15"/>
      <c r="S764" s="15"/>
      <c r="T764" s="15"/>
      <c r="U764" s="74"/>
      <c r="V764" s="74"/>
      <c r="W764" s="74"/>
      <c r="X764" s="74"/>
      <c r="Y764" s="74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229"/>
      <c r="K765" s="229"/>
      <c r="L765" s="229"/>
      <c r="M765" s="15"/>
      <c r="N765" s="15"/>
      <c r="O765" s="15"/>
      <c r="P765" s="15"/>
      <c r="Q765" s="15"/>
      <c r="R765" s="15"/>
      <c r="S765" s="15"/>
      <c r="T765" s="15"/>
      <c r="U765" s="74"/>
      <c r="V765" s="74"/>
      <c r="W765" s="74"/>
      <c r="X765" s="74"/>
      <c r="Y765" s="74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229"/>
      <c r="K766" s="229"/>
      <c r="L766" s="229"/>
      <c r="M766" s="15"/>
      <c r="N766" s="15"/>
      <c r="O766" s="15"/>
      <c r="P766" s="15"/>
      <c r="Q766" s="15"/>
      <c r="R766" s="15"/>
      <c r="S766" s="15"/>
      <c r="T766" s="15"/>
      <c r="U766" s="74"/>
      <c r="V766" s="74"/>
      <c r="W766" s="74"/>
      <c r="X766" s="74"/>
      <c r="Y766" s="74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229"/>
      <c r="K767" s="229"/>
      <c r="L767" s="229"/>
      <c r="M767" s="15"/>
      <c r="N767" s="15"/>
      <c r="O767" s="15"/>
      <c r="P767" s="15"/>
      <c r="Q767" s="15"/>
      <c r="R767" s="15"/>
      <c r="S767" s="15"/>
      <c r="T767" s="15"/>
      <c r="U767" s="74"/>
      <c r="V767" s="74"/>
      <c r="W767" s="74"/>
      <c r="X767" s="74"/>
      <c r="Y767" s="74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229"/>
      <c r="K768" s="229"/>
      <c r="L768" s="229"/>
      <c r="M768" s="15"/>
      <c r="N768" s="15"/>
      <c r="O768" s="15"/>
      <c r="P768" s="15"/>
      <c r="Q768" s="15"/>
      <c r="R768" s="15"/>
      <c r="S768" s="15"/>
      <c r="T768" s="15"/>
      <c r="U768" s="74"/>
      <c r="V768" s="74"/>
      <c r="W768" s="74"/>
      <c r="X768" s="74"/>
      <c r="Y768" s="74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229"/>
      <c r="K769" s="229"/>
      <c r="L769" s="229"/>
      <c r="M769" s="15"/>
      <c r="N769" s="15"/>
      <c r="O769" s="15"/>
      <c r="P769" s="15"/>
      <c r="Q769" s="15"/>
      <c r="R769" s="15"/>
      <c r="S769" s="15"/>
      <c r="T769" s="15"/>
      <c r="U769" s="74"/>
      <c r="V769" s="74"/>
      <c r="W769" s="74"/>
      <c r="X769" s="74"/>
      <c r="Y769" s="74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229"/>
      <c r="K770" s="229"/>
      <c r="L770" s="229"/>
      <c r="M770" s="15"/>
      <c r="N770" s="15"/>
      <c r="O770" s="15"/>
      <c r="P770" s="15"/>
      <c r="Q770" s="15"/>
      <c r="R770" s="15"/>
      <c r="S770" s="15"/>
      <c r="T770" s="15"/>
      <c r="U770" s="74"/>
      <c r="V770" s="74"/>
      <c r="W770" s="74"/>
      <c r="X770" s="74"/>
      <c r="Y770" s="74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229"/>
      <c r="K771" s="229"/>
      <c r="L771" s="229"/>
      <c r="M771" s="15"/>
      <c r="N771" s="15"/>
      <c r="O771" s="15"/>
      <c r="P771" s="15"/>
      <c r="Q771" s="15"/>
      <c r="R771" s="15"/>
      <c r="S771" s="15"/>
      <c r="T771" s="15"/>
      <c r="U771" s="74"/>
      <c r="V771" s="74"/>
      <c r="W771" s="74"/>
      <c r="X771" s="74"/>
      <c r="Y771" s="74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229"/>
      <c r="K772" s="229"/>
      <c r="L772" s="229"/>
      <c r="M772" s="15"/>
      <c r="N772" s="15"/>
      <c r="O772" s="15"/>
      <c r="P772" s="15"/>
      <c r="Q772" s="15"/>
      <c r="R772" s="15"/>
      <c r="S772" s="15"/>
      <c r="T772" s="15"/>
      <c r="U772" s="74"/>
      <c r="V772" s="74"/>
      <c r="W772" s="74"/>
      <c r="X772" s="74"/>
      <c r="Y772" s="74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229"/>
      <c r="K773" s="229"/>
      <c r="L773" s="229"/>
      <c r="M773" s="15"/>
      <c r="N773" s="15"/>
      <c r="O773" s="15"/>
      <c r="P773" s="15"/>
      <c r="Q773" s="15"/>
      <c r="R773" s="15"/>
      <c r="S773" s="15"/>
      <c r="T773" s="15"/>
      <c r="U773" s="74"/>
      <c r="V773" s="74"/>
      <c r="W773" s="74"/>
      <c r="X773" s="74"/>
      <c r="Y773" s="74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229"/>
      <c r="K774" s="229"/>
      <c r="L774" s="229"/>
      <c r="M774" s="15"/>
      <c r="N774" s="15"/>
      <c r="O774" s="15"/>
      <c r="P774" s="15"/>
      <c r="Q774" s="15"/>
      <c r="R774" s="15"/>
      <c r="S774" s="15"/>
      <c r="T774" s="15"/>
      <c r="U774" s="74"/>
      <c r="V774" s="74"/>
      <c r="W774" s="74"/>
      <c r="X774" s="74"/>
      <c r="Y774" s="74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229"/>
      <c r="K775" s="229"/>
      <c r="L775" s="229"/>
      <c r="M775" s="15"/>
      <c r="N775" s="15"/>
      <c r="O775" s="15"/>
      <c r="P775" s="15"/>
      <c r="Q775" s="15"/>
      <c r="R775" s="15"/>
      <c r="S775" s="15"/>
      <c r="T775" s="15"/>
      <c r="U775" s="74"/>
      <c r="V775" s="74"/>
      <c r="W775" s="74"/>
      <c r="X775" s="74"/>
      <c r="Y775" s="74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229"/>
      <c r="K776" s="229"/>
      <c r="L776" s="229"/>
      <c r="M776" s="15"/>
      <c r="N776" s="15"/>
      <c r="O776" s="15"/>
      <c r="P776" s="15"/>
      <c r="Q776" s="15"/>
      <c r="R776" s="15"/>
      <c r="S776" s="15"/>
      <c r="T776" s="15"/>
      <c r="U776" s="74"/>
      <c r="V776" s="74"/>
      <c r="W776" s="74"/>
      <c r="X776" s="74"/>
      <c r="Y776" s="74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229"/>
      <c r="K777" s="229"/>
      <c r="L777" s="229"/>
      <c r="M777" s="15"/>
      <c r="N777" s="15"/>
      <c r="O777" s="15"/>
      <c r="P777" s="15"/>
      <c r="Q777" s="15"/>
      <c r="R777" s="15"/>
      <c r="S777" s="15"/>
      <c r="T777" s="15"/>
      <c r="U777" s="74"/>
      <c r="V777" s="74"/>
      <c r="W777" s="74"/>
      <c r="X777" s="74"/>
      <c r="Y777" s="74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229"/>
      <c r="K778" s="229"/>
      <c r="L778" s="229"/>
      <c r="M778" s="15"/>
      <c r="N778" s="15"/>
      <c r="O778" s="15"/>
      <c r="P778" s="15"/>
      <c r="Q778" s="15"/>
      <c r="R778" s="15"/>
      <c r="S778" s="15"/>
      <c r="T778" s="15"/>
      <c r="U778" s="74"/>
      <c r="V778" s="74"/>
      <c r="W778" s="74"/>
      <c r="X778" s="74"/>
      <c r="Y778" s="74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229"/>
      <c r="K779" s="229"/>
      <c r="L779" s="229"/>
      <c r="M779" s="15"/>
      <c r="N779" s="15"/>
      <c r="O779" s="15"/>
      <c r="P779" s="15"/>
      <c r="Q779" s="15"/>
      <c r="R779" s="15"/>
      <c r="S779" s="15"/>
      <c r="T779" s="15"/>
      <c r="U779" s="74"/>
      <c r="V779" s="74"/>
      <c r="W779" s="74"/>
      <c r="X779" s="74"/>
      <c r="Y779" s="74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229"/>
      <c r="K780" s="229"/>
      <c r="L780" s="229"/>
      <c r="M780" s="15"/>
      <c r="N780" s="15"/>
      <c r="O780" s="15"/>
      <c r="P780" s="15"/>
      <c r="Q780" s="15"/>
      <c r="R780" s="15"/>
      <c r="S780" s="15"/>
      <c r="T780" s="15"/>
      <c r="U780" s="74"/>
      <c r="V780" s="74"/>
      <c r="W780" s="74"/>
      <c r="X780" s="74"/>
      <c r="Y780" s="74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229"/>
      <c r="K781" s="229"/>
      <c r="L781" s="229"/>
      <c r="M781" s="15"/>
      <c r="N781" s="15"/>
      <c r="O781" s="15"/>
      <c r="P781" s="15"/>
      <c r="Q781" s="15"/>
      <c r="R781" s="15"/>
      <c r="S781" s="15"/>
      <c r="T781" s="15"/>
      <c r="U781" s="74"/>
      <c r="V781" s="74"/>
      <c r="W781" s="74"/>
      <c r="X781" s="74"/>
      <c r="Y781" s="74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229"/>
      <c r="K782" s="229"/>
      <c r="L782" s="229"/>
      <c r="M782" s="15"/>
      <c r="N782" s="15"/>
      <c r="O782" s="15"/>
      <c r="P782" s="15"/>
      <c r="Q782" s="15"/>
      <c r="R782" s="15"/>
      <c r="S782" s="15"/>
      <c r="T782" s="15"/>
      <c r="U782" s="74"/>
      <c r="V782" s="74"/>
      <c r="W782" s="74"/>
      <c r="X782" s="74"/>
      <c r="Y782" s="74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229"/>
      <c r="K783" s="229"/>
      <c r="L783" s="229"/>
      <c r="M783" s="15"/>
      <c r="N783" s="15"/>
      <c r="O783" s="15"/>
      <c r="P783" s="15"/>
      <c r="Q783" s="15"/>
      <c r="R783" s="15"/>
      <c r="S783" s="15"/>
      <c r="T783" s="15"/>
      <c r="U783" s="74"/>
      <c r="V783" s="74"/>
      <c r="W783" s="74"/>
      <c r="X783" s="74"/>
      <c r="Y783" s="74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229"/>
      <c r="K784" s="229"/>
      <c r="L784" s="229"/>
      <c r="M784" s="15"/>
      <c r="N784" s="15"/>
      <c r="O784" s="15"/>
      <c r="P784" s="15"/>
      <c r="Q784" s="15"/>
      <c r="R784" s="15"/>
      <c r="S784" s="15"/>
      <c r="T784" s="15"/>
      <c r="U784" s="74"/>
      <c r="V784" s="74"/>
      <c r="W784" s="74"/>
      <c r="X784" s="74"/>
      <c r="Y784" s="74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229"/>
      <c r="K785" s="229"/>
      <c r="L785" s="229"/>
      <c r="M785" s="15"/>
      <c r="N785" s="15"/>
      <c r="O785" s="15"/>
      <c r="P785" s="15"/>
      <c r="Q785" s="15"/>
      <c r="R785" s="15"/>
      <c r="S785" s="15"/>
      <c r="T785" s="15"/>
      <c r="U785" s="74"/>
      <c r="V785" s="74"/>
      <c r="W785" s="74"/>
      <c r="X785" s="74"/>
      <c r="Y785" s="74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229"/>
      <c r="K786" s="229"/>
      <c r="L786" s="229"/>
      <c r="M786" s="15"/>
      <c r="N786" s="15"/>
      <c r="O786" s="15"/>
      <c r="P786" s="15"/>
      <c r="Q786" s="15"/>
      <c r="R786" s="15"/>
      <c r="S786" s="15"/>
      <c r="T786" s="15"/>
      <c r="U786" s="74"/>
      <c r="V786" s="74"/>
      <c r="W786" s="74"/>
      <c r="X786" s="74"/>
      <c r="Y786" s="74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229"/>
      <c r="K787" s="229"/>
      <c r="L787" s="229"/>
      <c r="M787" s="15"/>
      <c r="N787" s="15"/>
      <c r="O787" s="15"/>
      <c r="P787" s="15"/>
      <c r="Q787" s="15"/>
      <c r="R787" s="15"/>
      <c r="S787" s="15"/>
      <c r="T787" s="15"/>
      <c r="U787" s="74"/>
      <c r="V787" s="74"/>
      <c r="W787" s="74"/>
      <c r="X787" s="74"/>
      <c r="Y787" s="74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229"/>
      <c r="K788" s="229"/>
      <c r="L788" s="229"/>
      <c r="M788" s="15"/>
      <c r="N788" s="15"/>
      <c r="O788" s="15"/>
      <c r="P788" s="15"/>
      <c r="Q788" s="15"/>
      <c r="R788" s="15"/>
      <c r="S788" s="15"/>
      <c r="T788" s="15"/>
      <c r="U788" s="74"/>
      <c r="V788" s="74"/>
      <c r="W788" s="74"/>
      <c r="X788" s="74"/>
      <c r="Y788" s="74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229"/>
      <c r="K789" s="229"/>
      <c r="L789" s="229"/>
      <c r="M789" s="15"/>
      <c r="N789" s="15"/>
      <c r="O789" s="15"/>
      <c r="P789" s="15"/>
      <c r="Q789" s="15"/>
      <c r="R789" s="15"/>
      <c r="S789" s="15"/>
      <c r="T789" s="15"/>
      <c r="U789" s="74"/>
      <c r="V789" s="74"/>
      <c r="W789" s="74"/>
      <c r="X789" s="74"/>
      <c r="Y789" s="74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229"/>
      <c r="K790" s="229"/>
      <c r="L790" s="229"/>
      <c r="M790" s="15"/>
      <c r="N790" s="15"/>
      <c r="O790" s="15"/>
      <c r="P790" s="15"/>
      <c r="Q790" s="15"/>
      <c r="R790" s="15"/>
      <c r="S790" s="15"/>
      <c r="T790" s="15"/>
      <c r="U790" s="74"/>
      <c r="V790" s="74"/>
      <c r="W790" s="74"/>
      <c r="X790" s="74"/>
      <c r="Y790" s="74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229"/>
      <c r="K791" s="229"/>
      <c r="L791" s="229"/>
      <c r="M791" s="15"/>
      <c r="N791" s="15"/>
      <c r="O791" s="15"/>
      <c r="P791" s="15"/>
      <c r="Q791" s="15"/>
      <c r="R791" s="15"/>
      <c r="S791" s="15"/>
      <c r="T791" s="15"/>
      <c r="U791" s="74"/>
      <c r="V791" s="74"/>
      <c r="W791" s="74"/>
      <c r="X791" s="74"/>
      <c r="Y791" s="74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229"/>
      <c r="K792" s="229"/>
      <c r="L792" s="229"/>
      <c r="M792" s="15"/>
      <c r="N792" s="15"/>
      <c r="O792" s="15"/>
      <c r="P792" s="15"/>
      <c r="Q792" s="15"/>
      <c r="R792" s="15"/>
      <c r="S792" s="15"/>
      <c r="T792" s="15"/>
      <c r="U792" s="74"/>
      <c r="V792" s="74"/>
      <c r="W792" s="74"/>
      <c r="X792" s="74"/>
      <c r="Y792" s="74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229"/>
      <c r="K793" s="229"/>
      <c r="L793" s="229"/>
      <c r="M793" s="15"/>
      <c r="N793" s="15"/>
      <c r="O793" s="15"/>
      <c r="P793" s="15"/>
      <c r="Q793" s="15"/>
      <c r="R793" s="15"/>
      <c r="S793" s="15"/>
      <c r="T793" s="15"/>
      <c r="U793" s="74"/>
      <c r="V793" s="74"/>
      <c r="W793" s="74"/>
      <c r="X793" s="74"/>
      <c r="Y793" s="74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229"/>
      <c r="K794" s="229"/>
      <c r="L794" s="229"/>
      <c r="M794" s="15"/>
      <c r="N794" s="15"/>
      <c r="O794" s="15"/>
      <c r="P794" s="15"/>
      <c r="Q794" s="15"/>
      <c r="R794" s="15"/>
      <c r="S794" s="15"/>
      <c r="T794" s="15"/>
      <c r="U794" s="74"/>
      <c r="V794" s="74"/>
      <c r="W794" s="74"/>
      <c r="X794" s="74"/>
      <c r="Y794" s="74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229"/>
      <c r="K795" s="229"/>
      <c r="L795" s="229"/>
      <c r="M795" s="15"/>
      <c r="N795" s="15"/>
      <c r="O795" s="15"/>
      <c r="P795" s="15"/>
      <c r="Q795" s="15"/>
      <c r="R795" s="15"/>
      <c r="S795" s="15"/>
      <c r="T795" s="15"/>
      <c r="U795" s="74"/>
      <c r="V795" s="74"/>
      <c r="W795" s="74"/>
      <c r="X795" s="74"/>
      <c r="Y795" s="74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229"/>
      <c r="K796" s="229"/>
      <c r="L796" s="229"/>
      <c r="M796" s="15"/>
      <c r="N796" s="15"/>
      <c r="O796" s="15"/>
      <c r="P796" s="15"/>
      <c r="Q796" s="15"/>
      <c r="R796" s="15"/>
      <c r="S796" s="15"/>
      <c r="T796" s="15"/>
      <c r="U796" s="74"/>
      <c r="V796" s="74"/>
      <c r="W796" s="74"/>
      <c r="X796" s="74"/>
      <c r="Y796" s="74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229"/>
      <c r="K797" s="229"/>
      <c r="L797" s="229"/>
      <c r="M797" s="15"/>
      <c r="N797" s="15"/>
      <c r="O797" s="15"/>
      <c r="P797" s="15"/>
      <c r="Q797" s="15"/>
      <c r="R797" s="15"/>
      <c r="S797" s="15"/>
      <c r="T797" s="15"/>
      <c r="U797" s="74"/>
      <c r="V797" s="74"/>
      <c r="W797" s="74"/>
      <c r="X797" s="74"/>
      <c r="Y797" s="74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229"/>
      <c r="K798" s="229"/>
      <c r="L798" s="229"/>
      <c r="M798" s="15"/>
      <c r="N798" s="15"/>
      <c r="O798" s="15"/>
      <c r="P798" s="15"/>
      <c r="Q798" s="15"/>
      <c r="R798" s="15"/>
      <c r="S798" s="15"/>
      <c r="T798" s="15"/>
      <c r="U798" s="74"/>
      <c r="V798" s="74"/>
      <c r="W798" s="74"/>
      <c r="X798" s="74"/>
      <c r="Y798" s="74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229"/>
      <c r="K799" s="229"/>
      <c r="L799" s="229"/>
      <c r="M799" s="15"/>
      <c r="N799" s="15"/>
      <c r="O799" s="15"/>
      <c r="P799" s="15"/>
      <c r="Q799" s="15"/>
      <c r="R799" s="15"/>
      <c r="S799" s="15"/>
      <c r="T799" s="15"/>
      <c r="U799" s="74"/>
      <c r="V799" s="74"/>
      <c r="W799" s="74"/>
      <c r="X799" s="74"/>
      <c r="Y799" s="74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229"/>
      <c r="K800" s="229"/>
      <c r="L800" s="229"/>
      <c r="M800" s="15"/>
      <c r="N800" s="15"/>
      <c r="O800" s="15"/>
      <c r="P800" s="15"/>
      <c r="Q800" s="15"/>
      <c r="R800" s="15"/>
      <c r="S800" s="15"/>
      <c r="T800" s="15"/>
      <c r="U800" s="74"/>
      <c r="V800" s="74"/>
      <c r="W800" s="74"/>
      <c r="X800" s="74"/>
      <c r="Y800" s="74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229"/>
      <c r="K801" s="229"/>
      <c r="L801" s="229"/>
      <c r="M801" s="15"/>
      <c r="N801" s="15"/>
      <c r="O801" s="15"/>
      <c r="P801" s="15"/>
      <c r="Q801" s="15"/>
      <c r="R801" s="15"/>
      <c r="S801" s="15"/>
      <c r="T801" s="15"/>
      <c r="U801" s="74"/>
      <c r="V801" s="74"/>
      <c r="W801" s="74"/>
      <c r="X801" s="74"/>
      <c r="Y801" s="74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229"/>
      <c r="K802" s="229"/>
      <c r="L802" s="229"/>
      <c r="M802" s="15"/>
      <c r="N802" s="15"/>
      <c r="O802" s="15"/>
      <c r="P802" s="15"/>
      <c r="Q802" s="15"/>
      <c r="R802" s="15"/>
      <c r="S802" s="15"/>
      <c r="T802" s="15"/>
      <c r="U802" s="74"/>
      <c r="V802" s="74"/>
      <c r="W802" s="74"/>
      <c r="X802" s="74"/>
      <c r="Y802" s="74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229"/>
      <c r="K803" s="229"/>
      <c r="L803" s="229"/>
      <c r="M803" s="15"/>
      <c r="N803" s="15"/>
      <c r="O803" s="15"/>
      <c r="P803" s="15"/>
      <c r="Q803" s="15"/>
      <c r="R803" s="15"/>
      <c r="S803" s="15"/>
      <c r="T803" s="15"/>
      <c r="U803" s="74"/>
      <c r="V803" s="74"/>
      <c r="W803" s="74"/>
      <c r="X803" s="74"/>
      <c r="Y803" s="74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229"/>
      <c r="K804" s="229"/>
      <c r="L804" s="229"/>
      <c r="M804" s="15"/>
      <c r="N804" s="15"/>
      <c r="O804" s="15"/>
      <c r="P804" s="15"/>
      <c r="Q804" s="15"/>
      <c r="R804" s="15"/>
      <c r="S804" s="15"/>
      <c r="T804" s="15"/>
      <c r="U804" s="74"/>
      <c r="V804" s="74"/>
      <c r="W804" s="74"/>
      <c r="X804" s="74"/>
      <c r="Y804" s="74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229"/>
      <c r="K805" s="229"/>
      <c r="L805" s="229"/>
      <c r="M805" s="15"/>
      <c r="N805" s="15"/>
      <c r="O805" s="15"/>
      <c r="P805" s="15"/>
      <c r="Q805" s="15"/>
      <c r="R805" s="15"/>
      <c r="S805" s="15"/>
      <c r="T805" s="15"/>
      <c r="U805" s="74"/>
      <c r="V805" s="74"/>
      <c r="W805" s="74"/>
      <c r="X805" s="74"/>
      <c r="Y805" s="74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229"/>
      <c r="K806" s="229"/>
      <c r="L806" s="229"/>
      <c r="M806" s="15"/>
      <c r="N806" s="15"/>
      <c r="O806" s="15"/>
      <c r="P806" s="15"/>
      <c r="Q806" s="15"/>
      <c r="R806" s="15"/>
      <c r="S806" s="15"/>
      <c r="T806" s="15"/>
      <c r="U806" s="74"/>
      <c r="V806" s="74"/>
      <c r="W806" s="74"/>
      <c r="X806" s="74"/>
      <c r="Y806" s="74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229"/>
      <c r="K807" s="229"/>
      <c r="L807" s="229"/>
      <c r="M807" s="15"/>
      <c r="N807" s="15"/>
      <c r="O807" s="15"/>
      <c r="P807" s="15"/>
      <c r="Q807" s="15"/>
      <c r="R807" s="15"/>
      <c r="S807" s="15"/>
      <c r="T807" s="15"/>
      <c r="U807" s="74"/>
      <c r="V807" s="74"/>
      <c r="W807" s="74"/>
      <c r="X807" s="74"/>
      <c r="Y807" s="74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229"/>
      <c r="K808" s="229"/>
      <c r="L808" s="229"/>
      <c r="M808" s="15"/>
      <c r="N808" s="15"/>
      <c r="O808" s="15"/>
      <c r="P808" s="15"/>
      <c r="Q808" s="15"/>
      <c r="R808" s="15"/>
      <c r="S808" s="15"/>
      <c r="T808" s="15"/>
      <c r="U808" s="74"/>
      <c r="V808" s="74"/>
      <c r="W808" s="74"/>
      <c r="X808" s="74"/>
      <c r="Y808" s="74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229"/>
      <c r="K809" s="229"/>
      <c r="L809" s="229"/>
      <c r="M809" s="15"/>
      <c r="N809" s="15"/>
      <c r="O809" s="15"/>
      <c r="P809" s="15"/>
      <c r="Q809" s="15"/>
      <c r="R809" s="15"/>
      <c r="S809" s="15"/>
      <c r="T809" s="15"/>
      <c r="U809" s="74"/>
      <c r="V809" s="74"/>
      <c r="W809" s="74"/>
      <c r="X809" s="74"/>
      <c r="Y809" s="74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229"/>
      <c r="K810" s="229"/>
      <c r="L810" s="229"/>
      <c r="M810" s="15"/>
      <c r="N810" s="15"/>
      <c r="O810" s="15"/>
      <c r="P810" s="15"/>
      <c r="Q810" s="15"/>
      <c r="R810" s="15"/>
      <c r="S810" s="15"/>
      <c r="T810" s="15"/>
      <c r="U810" s="74"/>
      <c r="V810" s="74"/>
      <c r="W810" s="74"/>
      <c r="X810" s="74"/>
      <c r="Y810" s="74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229"/>
      <c r="K811" s="229"/>
      <c r="L811" s="229"/>
      <c r="M811" s="15"/>
      <c r="N811" s="15"/>
      <c r="O811" s="15"/>
      <c r="P811" s="15"/>
      <c r="Q811" s="15"/>
      <c r="R811" s="15"/>
      <c r="S811" s="15"/>
      <c r="T811" s="15"/>
      <c r="U811" s="74"/>
      <c r="V811" s="74"/>
      <c r="W811" s="74"/>
      <c r="X811" s="74"/>
      <c r="Y811" s="74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229"/>
      <c r="K812" s="229"/>
      <c r="L812" s="229"/>
      <c r="M812" s="15"/>
      <c r="N812" s="15"/>
      <c r="O812" s="15"/>
      <c r="P812" s="15"/>
      <c r="Q812" s="15"/>
      <c r="R812" s="15"/>
      <c r="S812" s="15"/>
      <c r="T812" s="15"/>
      <c r="U812" s="74"/>
      <c r="V812" s="74"/>
      <c r="W812" s="74"/>
      <c r="X812" s="74"/>
      <c r="Y812" s="74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229"/>
      <c r="K813" s="229"/>
      <c r="L813" s="229"/>
      <c r="M813" s="15"/>
      <c r="N813" s="15"/>
      <c r="O813" s="15"/>
      <c r="P813" s="15"/>
      <c r="Q813" s="15"/>
      <c r="R813" s="15"/>
      <c r="S813" s="15"/>
      <c r="T813" s="15"/>
      <c r="U813" s="74"/>
      <c r="V813" s="74"/>
      <c r="W813" s="74"/>
      <c r="X813" s="74"/>
      <c r="Y813" s="74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229"/>
      <c r="K814" s="229"/>
      <c r="L814" s="229"/>
      <c r="M814" s="15"/>
      <c r="N814" s="15"/>
      <c r="O814" s="15"/>
      <c r="P814" s="15"/>
      <c r="Q814" s="15"/>
      <c r="R814" s="15"/>
      <c r="S814" s="15"/>
      <c r="T814" s="15"/>
      <c r="U814" s="74"/>
      <c r="V814" s="74"/>
      <c r="W814" s="74"/>
      <c r="X814" s="74"/>
      <c r="Y814" s="74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229"/>
      <c r="K815" s="229"/>
      <c r="L815" s="229"/>
      <c r="M815" s="15"/>
      <c r="N815" s="15"/>
      <c r="O815" s="15"/>
      <c r="P815" s="15"/>
      <c r="Q815" s="15"/>
      <c r="R815" s="15"/>
      <c r="S815" s="15"/>
      <c r="T815" s="15"/>
      <c r="U815" s="74"/>
      <c r="V815" s="74"/>
      <c r="W815" s="74"/>
      <c r="X815" s="74"/>
      <c r="Y815" s="74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229"/>
      <c r="K816" s="229"/>
      <c r="L816" s="229"/>
      <c r="M816" s="15"/>
      <c r="N816" s="15"/>
      <c r="O816" s="15"/>
      <c r="P816" s="15"/>
      <c r="Q816" s="15"/>
      <c r="R816" s="15"/>
      <c r="S816" s="15"/>
      <c r="T816" s="15"/>
      <c r="U816" s="74"/>
      <c r="V816" s="74"/>
      <c r="W816" s="74"/>
      <c r="X816" s="74"/>
      <c r="Y816" s="74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229"/>
      <c r="K817" s="229"/>
      <c r="L817" s="229"/>
      <c r="M817" s="15"/>
      <c r="N817" s="15"/>
      <c r="O817" s="15"/>
      <c r="P817" s="15"/>
      <c r="Q817" s="15"/>
      <c r="R817" s="15"/>
      <c r="S817" s="15"/>
      <c r="T817" s="15"/>
      <c r="U817" s="74"/>
      <c r="V817" s="74"/>
      <c r="W817" s="74"/>
      <c r="X817" s="74"/>
      <c r="Y817" s="74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229"/>
      <c r="K818" s="229"/>
      <c r="L818" s="229"/>
      <c r="M818" s="15"/>
      <c r="N818" s="15"/>
      <c r="O818" s="15"/>
      <c r="P818" s="15"/>
      <c r="Q818" s="15"/>
      <c r="R818" s="15"/>
      <c r="S818" s="15"/>
      <c r="T818" s="15"/>
      <c r="U818" s="74"/>
      <c r="V818" s="74"/>
      <c r="W818" s="74"/>
      <c r="X818" s="74"/>
      <c r="Y818" s="74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229"/>
      <c r="K819" s="229"/>
      <c r="L819" s="229"/>
      <c r="M819" s="15"/>
      <c r="N819" s="15"/>
      <c r="O819" s="15"/>
      <c r="P819" s="15"/>
      <c r="Q819" s="15"/>
      <c r="R819" s="15"/>
      <c r="S819" s="15"/>
      <c r="T819" s="15"/>
      <c r="U819" s="74"/>
      <c r="V819" s="74"/>
      <c r="W819" s="74"/>
      <c r="X819" s="74"/>
      <c r="Y819" s="74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229"/>
      <c r="K820" s="229"/>
      <c r="L820" s="229"/>
      <c r="M820" s="15"/>
      <c r="N820" s="15"/>
      <c r="O820" s="15"/>
      <c r="P820" s="15"/>
      <c r="Q820" s="15"/>
      <c r="R820" s="15"/>
      <c r="S820" s="15"/>
      <c r="T820" s="15"/>
      <c r="U820" s="74"/>
      <c r="V820" s="74"/>
      <c r="W820" s="74"/>
      <c r="X820" s="74"/>
      <c r="Y820" s="74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229"/>
      <c r="K821" s="229"/>
      <c r="L821" s="229"/>
      <c r="M821" s="15"/>
      <c r="N821" s="15"/>
      <c r="O821" s="15"/>
      <c r="P821" s="15"/>
      <c r="Q821" s="15"/>
      <c r="R821" s="15"/>
      <c r="S821" s="15"/>
      <c r="T821" s="15"/>
      <c r="U821" s="74"/>
      <c r="V821" s="74"/>
      <c r="W821" s="74"/>
      <c r="X821" s="74"/>
      <c r="Y821" s="74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229"/>
      <c r="K822" s="229"/>
      <c r="L822" s="229"/>
      <c r="M822" s="15"/>
      <c r="N822" s="15"/>
      <c r="O822" s="15"/>
      <c r="P822" s="15"/>
      <c r="Q822" s="15"/>
      <c r="R822" s="15"/>
      <c r="S822" s="15"/>
      <c r="T822" s="15"/>
      <c r="U822" s="74"/>
      <c r="V822" s="74"/>
      <c r="W822" s="74"/>
      <c r="X822" s="74"/>
      <c r="Y822" s="74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229"/>
      <c r="K823" s="229"/>
      <c r="L823" s="229"/>
      <c r="M823" s="15"/>
      <c r="N823" s="15"/>
      <c r="O823" s="15"/>
      <c r="P823" s="15"/>
      <c r="Q823" s="15"/>
      <c r="R823" s="15"/>
      <c r="S823" s="15"/>
      <c r="T823" s="15"/>
      <c r="U823" s="74"/>
      <c r="V823" s="74"/>
      <c r="W823" s="74"/>
      <c r="X823" s="74"/>
      <c r="Y823" s="74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229"/>
      <c r="K824" s="229"/>
      <c r="L824" s="229"/>
      <c r="M824" s="15"/>
      <c r="N824" s="15"/>
      <c r="O824" s="15"/>
      <c r="P824" s="15"/>
      <c r="Q824" s="15"/>
      <c r="R824" s="15"/>
      <c r="S824" s="15"/>
      <c r="T824" s="15"/>
      <c r="U824" s="74"/>
      <c r="V824" s="74"/>
      <c r="W824" s="74"/>
      <c r="X824" s="74"/>
      <c r="Y824" s="74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229"/>
      <c r="K825" s="229"/>
      <c r="L825" s="229"/>
      <c r="M825" s="15"/>
      <c r="N825" s="15"/>
      <c r="O825" s="15"/>
      <c r="P825" s="15"/>
      <c r="Q825" s="15"/>
      <c r="R825" s="15"/>
      <c r="S825" s="15"/>
      <c r="T825" s="15"/>
      <c r="U825" s="74"/>
      <c r="V825" s="74"/>
      <c r="W825" s="74"/>
      <c r="X825" s="74"/>
      <c r="Y825" s="74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229"/>
      <c r="K826" s="229"/>
      <c r="L826" s="229"/>
      <c r="M826" s="15"/>
      <c r="N826" s="15"/>
      <c r="O826" s="15"/>
      <c r="P826" s="15"/>
      <c r="Q826" s="15"/>
      <c r="R826" s="15"/>
      <c r="S826" s="15"/>
      <c r="T826" s="15"/>
      <c r="U826" s="74"/>
      <c r="V826" s="74"/>
      <c r="W826" s="74"/>
      <c r="X826" s="74"/>
      <c r="Y826" s="74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229"/>
      <c r="K827" s="229"/>
      <c r="L827" s="229"/>
      <c r="M827" s="15"/>
      <c r="N827" s="15"/>
      <c r="O827" s="15"/>
      <c r="P827" s="15"/>
      <c r="Q827" s="15"/>
      <c r="R827" s="15"/>
      <c r="S827" s="15"/>
      <c r="T827" s="15"/>
      <c r="U827" s="74"/>
      <c r="V827" s="74"/>
      <c r="W827" s="74"/>
      <c r="X827" s="74"/>
      <c r="Y827" s="74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229"/>
      <c r="K828" s="229"/>
      <c r="L828" s="229"/>
      <c r="M828" s="15"/>
      <c r="N828" s="15"/>
      <c r="O828" s="15"/>
      <c r="P828" s="15"/>
      <c r="Q828" s="15"/>
      <c r="R828" s="15"/>
      <c r="S828" s="15"/>
      <c r="T828" s="15"/>
      <c r="U828" s="74"/>
      <c r="V828" s="74"/>
      <c r="W828" s="74"/>
      <c r="X828" s="74"/>
      <c r="Y828" s="74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229"/>
      <c r="K829" s="229"/>
      <c r="L829" s="229"/>
      <c r="M829" s="15"/>
      <c r="N829" s="15"/>
      <c r="O829" s="15"/>
      <c r="P829" s="15"/>
      <c r="Q829" s="15"/>
      <c r="R829" s="15"/>
      <c r="S829" s="15"/>
      <c r="T829" s="15"/>
      <c r="U829" s="74"/>
      <c r="V829" s="74"/>
      <c r="W829" s="74"/>
      <c r="X829" s="74"/>
      <c r="Y829" s="74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229"/>
      <c r="K830" s="229"/>
      <c r="L830" s="229"/>
      <c r="M830" s="15"/>
      <c r="N830" s="15"/>
      <c r="O830" s="15"/>
      <c r="P830" s="15"/>
      <c r="Q830" s="15"/>
      <c r="R830" s="15"/>
      <c r="S830" s="15"/>
      <c r="T830" s="15"/>
      <c r="U830" s="74"/>
      <c r="V830" s="74"/>
      <c r="W830" s="74"/>
      <c r="X830" s="74"/>
      <c r="Y830" s="74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229"/>
      <c r="K831" s="229"/>
      <c r="L831" s="229"/>
      <c r="M831" s="15"/>
      <c r="N831" s="15"/>
      <c r="O831" s="15"/>
      <c r="P831" s="15"/>
      <c r="Q831" s="15"/>
      <c r="R831" s="15"/>
      <c r="S831" s="15"/>
      <c r="T831" s="15"/>
      <c r="U831" s="74"/>
      <c r="V831" s="74"/>
      <c r="W831" s="74"/>
      <c r="X831" s="74"/>
      <c r="Y831" s="74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229"/>
      <c r="K832" s="229"/>
      <c r="L832" s="229"/>
      <c r="M832" s="15"/>
      <c r="N832" s="15"/>
      <c r="O832" s="15"/>
      <c r="P832" s="15"/>
      <c r="Q832" s="15"/>
      <c r="R832" s="15"/>
      <c r="S832" s="15"/>
      <c r="T832" s="15"/>
      <c r="U832" s="74"/>
      <c r="V832" s="74"/>
      <c r="W832" s="74"/>
      <c r="X832" s="74"/>
      <c r="Y832" s="74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229"/>
      <c r="K833" s="229"/>
      <c r="L833" s="229"/>
      <c r="M833" s="15"/>
      <c r="N833" s="15"/>
      <c r="O833" s="15"/>
      <c r="P833" s="15"/>
      <c r="Q833" s="15"/>
      <c r="R833" s="15"/>
      <c r="S833" s="15"/>
      <c r="T833" s="15"/>
      <c r="U833" s="74"/>
      <c r="V833" s="74"/>
      <c r="W833" s="74"/>
      <c r="X833" s="74"/>
      <c r="Y833" s="74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229"/>
      <c r="K834" s="229"/>
      <c r="L834" s="229"/>
      <c r="M834" s="15"/>
      <c r="N834" s="15"/>
      <c r="O834" s="15"/>
      <c r="P834" s="15"/>
      <c r="Q834" s="15"/>
      <c r="R834" s="15"/>
      <c r="S834" s="15"/>
      <c r="T834" s="15"/>
      <c r="U834" s="74"/>
      <c r="V834" s="74"/>
      <c r="W834" s="74"/>
      <c r="X834" s="74"/>
      <c r="Y834" s="74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229"/>
      <c r="K835" s="229"/>
      <c r="L835" s="229"/>
      <c r="M835" s="15"/>
      <c r="N835" s="15"/>
      <c r="O835" s="15"/>
      <c r="P835" s="15"/>
      <c r="Q835" s="15"/>
      <c r="R835" s="15"/>
      <c r="S835" s="15"/>
      <c r="T835" s="15"/>
      <c r="U835" s="74"/>
      <c r="V835" s="74"/>
      <c r="W835" s="74"/>
      <c r="X835" s="74"/>
      <c r="Y835" s="74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229"/>
      <c r="K836" s="229"/>
      <c r="L836" s="229"/>
      <c r="M836" s="15"/>
      <c r="N836" s="15"/>
      <c r="O836" s="15"/>
      <c r="P836" s="15"/>
      <c r="Q836" s="15"/>
      <c r="R836" s="15"/>
      <c r="S836" s="15"/>
      <c r="T836" s="15"/>
      <c r="U836" s="74"/>
      <c r="V836" s="74"/>
      <c r="W836" s="74"/>
      <c r="X836" s="74"/>
      <c r="Y836" s="74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229"/>
      <c r="K837" s="229"/>
      <c r="L837" s="229"/>
      <c r="M837" s="15"/>
      <c r="N837" s="15"/>
      <c r="O837" s="15"/>
      <c r="P837" s="15"/>
      <c r="Q837" s="15"/>
      <c r="R837" s="15"/>
      <c r="S837" s="15"/>
      <c r="T837" s="15"/>
      <c r="U837" s="74"/>
      <c r="V837" s="74"/>
      <c r="W837" s="74"/>
      <c r="X837" s="74"/>
      <c r="Y837" s="74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229"/>
      <c r="K838" s="229"/>
      <c r="L838" s="229"/>
      <c r="M838" s="15"/>
      <c r="N838" s="15"/>
      <c r="O838" s="15"/>
      <c r="P838" s="15"/>
      <c r="Q838" s="15"/>
      <c r="R838" s="15"/>
      <c r="S838" s="15"/>
      <c r="T838" s="15"/>
      <c r="U838" s="74"/>
      <c r="V838" s="74"/>
      <c r="W838" s="74"/>
      <c r="X838" s="74"/>
      <c r="Y838" s="74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229"/>
      <c r="K839" s="229"/>
      <c r="L839" s="229"/>
      <c r="M839" s="15"/>
      <c r="N839" s="15"/>
      <c r="O839" s="15"/>
      <c r="P839" s="15"/>
      <c r="Q839" s="15"/>
      <c r="R839" s="15"/>
      <c r="S839" s="15"/>
      <c r="T839" s="15"/>
      <c r="U839" s="74"/>
      <c r="V839" s="74"/>
      <c r="W839" s="74"/>
      <c r="X839" s="74"/>
      <c r="Y839" s="74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229"/>
      <c r="K840" s="229"/>
      <c r="L840" s="229"/>
      <c r="M840" s="15"/>
      <c r="N840" s="15"/>
      <c r="O840" s="15"/>
      <c r="P840" s="15"/>
      <c r="Q840" s="15"/>
      <c r="R840" s="15"/>
      <c r="S840" s="15"/>
      <c r="T840" s="15"/>
      <c r="U840" s="74"/>
      <c r="V840" s="74"/>
      <c r="W840" s="74"/>
      <c r="X840" s="74"/>
      <c r="Y840" s="74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229"/>
      <c r="K841" s="229"/>
      <c r="L841" s="229"/>
      <c r="M841" s="15"/>
      <c r="N841" s="15"/>
      <c r="O841" s="15"/>
      <c r="P841" s="15"/>
      <c r="Q841" s="15"/>
      <c r="R841" s="15"/>
      <c r="S841" s="15"/>
      <c r="T841" s="15"/>
      <c r="U841" s="74"/>
      <c r="V841" s="74"/>
      <c r="W841" s="74"/>
      <c r="X841" s="74"/>
      <c r="Y841" s="74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229"/>
      <c r="K842" s="229"/>
      <c r="L842" s="229"/>
      <c r="M842" s="15"/>
      <c r="N842" s="15"/>
      <c r="O842" s="15"/>
      <c r="P842" s="15"/>
      <c r="Q842" s="15"/>
      <c r="R842" s="15"/>
      <c r="S842" s="15"/>
      <c r="T842" s="15"/>
      <c r="U842" s="74"/>
      <c r="V842" s="74"/>
      <c r="W842" s="74"/>
      <c r="X842" s="74"/>
      <c r="Y842" s="74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229"/>
      <c r="K843" s="229"/>
      <c r="L843" s="229"/>
      <c r="M843" s="15"/>
      <c r="N843" s="15"/>
      <c r="O843" s="15"/>
      <c r="P843" s="15"/>
      <c r="Q843" s="15"/>
      <c r="R843" s="15"/>
      <c r="S843" s="15"/>
      <c r="T843" s="15"/>
      <c r="U843" s="74"/>
      <c r="V843" s="74"/>
      <c r="W843" s="74"/>
      <c r="X843" s="74"/>
      <c r="Y843" s="74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229"/>
      <c r="K844" s="229"/>
      <c r="L844" s="229"/>
      <c r="M844" s="15"/>
      <c r="N844" s="15"/>
      <c r="O844" s="15"/>
      <c r="P844" s="15"/>
      <c r="Q844" s="15"/>
      <c r="R844" s="15"/>
      <c r="S844" s="15"/>
      <c r="T844" s="15"/>
      <c r="U844" s="74"/>
      <c r="V844" s="74"/>
      <c r="W844" s="74"/>
      <c r="X844" s="74"/>
      <c r="Y844" s="74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229"/>
      <c r="K845" s="229"/>
      <c r="L845" s="229"/>
      <c r="M845" s="15"/>
      <c r="N845" s="15"/>
      <c r="O845" s="15"/>
      <c r="P845" s="15"/>
      <c r="Q845" s="15"/>
      <c r="R845" s="15"/>
      <c r="S845" s="15"/>
      <c r="T845" s="15"/>
      <c r="U845" s="74"/>
      <c r="V845" s="74"/>
      <c r="W845" s="74"/>
      <c r="X845" s="74"/>
      <c r="Y845" s="74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229"/>
      <c r="K846" s="229"/>
      <c r="L846" s="229"/>
      <c r="M846" s="15"/>
      <c r="N846" s="15"/>
      <c r="O846" s="15"/>
      <c r="P846" s="15"/>
      <c r="Q846" s="15"/>
      <c r="R846" s="15"/>
      <c r="S846" s="15"/>
      <c r="T846" s="15"/>
      <c r="U846" s="74"/>
      <c r="V846" s="74"/>
      <c r="W846" s="74"/>
      <c r="X846" s="74"/>
      <c r="Y846" s="74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229"/>
      <c r="K847" s="229"/>
      <c r="L847" s="229"/>
      <c r="M847" s="15"/>
      <c r="N847" s="15"/>
      <c r="O847" s="15"/>
      <c r="P847" s="15"/>
      <c r="Q847" s="15"/>
      <c r="R847" s="15"/>
      <c r="S847" s="15"/>
      <c r="T847" s="15"/>
      <c r="U847" s="74"/>
      <c r="V847" s="74"/>
      <c r="W847" s="74"/>
      <c r="X847" s="74"/>
      <c r="Y847" s="74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229"/>
      <c r="K848" s="229"/>
      <c r="L848" s="229"/>
      <c r="M848" s="15"/>
      <c r="N848" s="15"/>
      <c r="O848" s="15"/>
      <c r="P848" s="15"/>
      <c r="Q848" s="15"/>
      <c r="R848" s="15"/>
      <c r="S848" s="15"/>
      <c r="T848" s="15"/>
      <c r="U848" s="74"/>
      <c r="V848" s="74"/>
      <c r="W848" s="74"/>
      <c r="X848" s="74"/>
      <c r="Y848" s="74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229"/>
      <c r="K849" s="229"/>
      <c r="L849" s="229"/>
      <c r="M849" s="15"/>
      <c r="N849" s="15"/>
      <c r="O849" s="15"/>
      <c r="P849" s="15"/>
      <c r="Q849" s="15"/>
      <c r="R849" s="15"/>
      <c r="S849" s="15"/>
      <c r="T849" s="15"/>
      <c r="U849" s="74"/>
      <c r="V849" s="74"/>
      <c r="W849" s="74"/>
      <c r="X849" s="74"/>
      <c r="Y849" s="74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229"/>
      <c r="K850" s="229"/>
      <c r="L850" s="229"/>
      <c r="M850" s="15"/>
      <c r="N850" s="15"/>
      <c r="O850" s="15"/>
      <c r="P850" s="15"/>
      <c r="Q850" s="15"/>
      <c r="R850" s="15"/>
      <c r="S850" s="15"/>
      <c r="T850" s="15"/>
      <c r="U850" s="74"/>
      <c r="V850" s="74"/>
      <c r="W850" s="74"/>
      <c r="X850" s="74"/>
      <c r="Y850" s="74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229"/>
      <c r="K851" s="229"/>
      <c r="L851" s="229"/>
      <c r="M851" s="15"/>
      <c r="N851" s="15"/>
      <c r="O851" s="15"/>
      <c r="P851" s="15"/>
      <c r="Q851" s="15"/>
      <c r="R851" s="15"/>
      <c r="S851" s="15"/>
      <c r="T851" s="15"/>
      <c r="U851" s="74"/>
      <c r="V851" s="74"/>
      <c r="W851" s="74"/>
      <c r="X851" s="74"/>
      <c r="Y851" s="74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229"/>
      <c r="K852" s="229"/>
      <c r="L852" s="229"/>
      <c r="M852" s="15"/>
      <c r="N852" s="15"/>
      <c r="O852" s="15"/>
      <c r="P852" s="15"/>
      <c r="Q852" s="15"/>
      <c r="R852" s="15"/>
      <c r="S852" s="15"/>
      <c r="T852" s="15"/>
      <c r="U852" s="74"/>
      <c r="V852" s="74"/>
      <c r="W852" s="74"/>
      <c r="X852" s="74"/>
      <c r="Y852" s="74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229"/>
      <c r="K853" s="229"/>
      <c r="L853" s="229"/>
      <c r="M853" s="15"/>
      <c r="N853" s="15"/>
      <c r="O853" s="15"/>
      <c r="P853" s="15"/>
      <c r="Q853" s="15"/>
      <c r="R853" s="15"/>
      <c r="S853" s="15"/>
      <c r="T853" s="15"/>
      <c r="U853" s="74"/>
      <c r="V853" s="74"/>
      <c r="W853" s="74"/>
      <c r="X853" s="74"/>
      <c r="Y853" s="74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229"/>
      <c r="K854" s="229"/>
      <c r="L854" s="229"/>
      <c r="M854" s="15"/>
      <c r="N854" s="15"/>
      <c r="O854" s="15"/>
      <c r="P854" s="15"/>
      <c r="Q854" s="15"/>
      <c r="R854" s="15"/>
      <c r="S854" s="15"/>
      <c r="T854" s="15"/>
      <c r="U854" s="74"/>
      <c r="V854" s="74"/>
      <c r="W854" s="74"/>
      <c r="X854" s="74"/>
      <c r="Y854" s="74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229"/>
      <c r="K855" s="229"/>
      <c r="L855" s="229"/>
      <c r="M855" s="15"/>
      <c r="N855" s="15"/>
      <c r="O855" s="15"/>
      <c r="P855" s="15"/>
      <c r="Q855" s="15"/>
      <c r="R855" s="15"/>
      <c r="S855" s="15"/>
      <c r="T855" s="15"/>
      <c r="U855" s="74"/>
      <c r="V855" s="74"/>
      <c r="W855" s="74"/>
      <c r="X855" s="74"/>
      <c r="Y855" s="74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229"/>
      <c r="K856" s="229"/>
      <c r="L856" s="229"/>
      <c r="M856" s="15"/>
      <c r="N856" s="15"/>
      <c r="O856" s="15"/>
      <c r="P856" s="15"/>
      <c r="Q856" s="15"/>
      <c r="R856" s="15"/>
      <c r="S856" s="15"/>
      <c r="T856" s="15"/>
      <c r="U856" s="74"/>
      <c r="V856" s="74"/>
      <c r="W856" s="74"/>
      <c r="X856" s="74"/>
      <c r="Y856" s="74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229"/>
      <c r="K857" s="229"/>
      <c r="L857" s="229"/>
      <c r="M857" s="15"/>
      <c r="N857" s="15"/>
      <c r="O857" s="15"/>
      <c r="P857" s="15"/>
      <c r="Q857" s="15"/>
      <c r="R857" s="15"/>
      <c r="S857" s="15"/>
      <c r="T857" s="15"/>
      <c r="U857" s="74"/>
      <c r="V857" s="74"/>
      <c r="W857" s="74"/>
      <c r="X857" s="74"/>
      <c r="Y857" s="74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229"/>
      <c r="K858" s="229"/>
      <c r="L858" s="229"/>
      <c r="M858" s="15"/>
      <c r="N858" s="15"/>
      <c r="O858" s="15"/>
      <c r="P858" s="15"/>
      <c r="Q858" s="15"/>
      <c r="R858" s="15"/>
      <c r="S858" s="15"/>
      <c r="T858" s="15"/>
      <c r="U858" s="74"/>
      <c r="V858" s="74"/>
      <c r="W858" s="74"/>
      <c r="X858" s="74"/>
      <c r="Y858" s="74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229"/>
      <c r="K859" s="229"/>
      <c r="L859" s="229"/>
      <c r="M859" s="15"/>
      <c r="N859" s="15"/>
      <c r="O859" s="15"/>
      <c r="P859" s="15"/>
      <c r="Q859" s="15"/>
      <c r="R859" s="15"/>
      <c r="S859" s="15"/>
      <c r="T859" s="15"/>
      <c r="U859" s="74"/>
      <c r="V859" s="74"/>
      <c r="W859" s="74"/>
      <c r="X859" s="74"/>
      <c r="Y859" s="74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229"/>
      <c r="K860" s="229"/>
      <c r="L860" s="229"/>
      <c r="M860" s="15"/>
      <c r="N860" s="15"/>
      <c r="O860" s="15"/>
      <c r="P860" s="15"/>
      <c r="Q860" s="15"/>
      <c r="R860" s="15"/>
      <c r="S860" s="15"/>
      <c r="T860" s="15"/>
      <c r="U860" s="74"/>
      <c r="V860" s="74"/>
      <c r="W860" s="74"/>
      <c r="X860" s="74"/>
      <c r="Y860" s="74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229"/>
      <c r="K861" s="229"/>
      <c r="L861" s="229"/>
      <c r="M861" s="15"/>
      <c r="N861" s="15"/>
      <c r="O861" s="15"/>
      <c r="P861" s="15"/>
      <c r="Q861" s="15"/>
      <c r="R861" s="15"/>
      <c r="S861" s="15"/>
      <c r="T861" s="15"/>
      <c r="U861" s="74"/>
      <c r="V861" s="74"/>
      <c r="W861" s="74"/>
      <c r="X861" s="74"/>
      <c r="Y861" s="74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229"/>
      <c r="K862" s="229"/>
      <c r="L862" s="229"/>
      <c r="M862" s="15"/>
      <c r="N862" s="15"/>
      <c r="O862" s="15"/>
      <c r="P862" s="15"/>
      <c r="Q862" s="15"/>
      <c r="R862" s="15"/>
      <c r="S862" s="15"/>
      <c r="T862" s="15"/>
      <c r="U862" s="74"/>
      <c r="V862" s="74"/>
      <c r="W862" s="74"/>
      <c r="X862" s="74"/>
      <c r="Y862" s="74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229"/>
      <c r="K863" s="229"/>
      <c r="L863" s="229"/>
      <c r="M863" s="15"/>
      <c r="N863" s="15"/>
      <c r="O863" s="15"/>
      <c r="P863" s="15"/>
      <c r="Q863" s="15"/>
      <c r="R863" s="15"/>
      <c r="S863" s="15"/>
      <c r="T863" s="15"/>
      <c r="U863" s="74"/>
      <c r="V863" s="74"/>
      <c r="W863" s="74"/>
      <c r="X863" s="74"/>
      <c r="Y863" s="74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229"/>
      <c r="K864" s="229"/>
      <c r="L864" s="229"/>
      <c r="M864" s="15"/>
      <c r="N864" s="15"/>
      <c r="O864" s="15"/>
      <c r="P864" s="15"/>
      <c r="Q864" s="15"/>
      <c r="R864" s="15"/>
      <c r="S864" s="15"/>
      <c r="T864" s="15"/>
      <c r="U864" s="74"/>
      <c r="V864" s="74"/>
      <c r="W864" s="74"/>
      <c r="X864" s="74"/>
      <c r="Y864" s="74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229"/>
      <c r="K865" s="229"/>
      <c r="L865" s="229"/>
      <c r="M865" s="15"/>
      <c r="N865" s="15"/>
      <c r="O865" s="15"/>
      <c r="P865" s="15"/>
      <c r="Q865" s="15"/>
      <c r="R865" s="15"/>
      <c r="S865" s="15"/>
      <c r="T865" s="15"/>
      <c r="U865" s="74"/>
      <c r="V865" s="74"/>
      <c r="W865" s="74"/>
      <c r="X865" s="74"/>
      <c r="Y865" s="74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229"/>
      <c r="K866" s="229"/>
      <c r="L866" s="229"/>
      <c r="M866" s="15"/>
      <c r="N866" s="15"/>
      <c r="O866" s="15"/>
      <c r="P866" s="15"/>
      <c r="Q866" s="15"/>
      <c r="R866" s="15"/>
      <c r="S866" s="15"/>
      <c r="T866" s="15"/>
      <c r="U866" s="74"/>
      <c r="V866" s="74"/>
      <c r="W866" s="74"/>
      <c r="X866" s="74"/>
      <c r="Y866" s="74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229"/>
      <c r="K867" s="229"/>
      <c r="L867" s="229"/>
      <c r="M867" s="15"/>
      <c r="N867" s="15"/>
      <c r="O867" s="15"/>
      <c r="P867" s="15"/>
      <c r="Q867" s="15"/>
      <c r="R867" s="15"/>
      <c r="S867" s="15"/>
      <c r="T867" s="15"/>
      <c r="U867" s="74"/>
      <c r="V867" s="74"/>
      <c r="W867" s="74"/>
      <c r="X867" s="74"/>
      <c r="Y867" s="74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229"/>
      <c r="K868" s="229"/>
      <c r="L868" s="229"/>
      <c r="M868" s="15"/>
      <c r="N868" s="15"/>
      <c r="O868" s="15"/>
      <c r="P868" s="15"/>
      <c r="Q868" s="15"/>
      <c r="R868" s="15"/>
      <c r="S868" s="15"/>
      <c r="T868" s="15"/>
      <c r="U868" s="74"/>
      <c r="V868" s="74"/>
      <c r="W868" s="74"/>
      <c r="X868" s="74"/>
      <c r="Y868" s="74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229"/>
      <c r="K869" s="229"/>
      <c r="L869" s="229"/>
      <c r="M869" s="15"/>
      <c r="N869" s="15"/>
      <c r="O869" s="15"/>
      <c r="P869" s="15"/>
      <c r="Q869" s="15"/>
      <c r="R869" s="15"/>
      <c r="S869" s="15"/>
      <c r="T869" s="15"/>
      <c r="U869" s="74"/>
      <c r="V869" s="74"/>
      <c r="W869" s="74"/>
      <c r="X869" s="74"/>
      <c r="Y869" s="74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229"/>
      <c r="K870" s="229"/>
      <c r="L870" s="229"/>
      <c r="M870" s="15"/>
      <c r="N870" s="15"/>
      <c r="O870" s="15"/>
      <c r="P870" s="15"/>
      <c r="Q870" s="15"/>
      <c r="R870" s="15"/>
      <c r="S870" s="15"/>
      <c r="T870" s="15"/>
      <c r="U870" s="74"/>
      <c r="V870" s="74"/>
      <c r="W870" s="74"/>
      <c r="X870" s="74"/>
      <c r="Y870" s="74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229"/>
      <c r="K871" s="229"/>
      <c r="L871" s="229"/>
      <c r="M871" s="15"/>
      <c r="N871" s="15"/>
      <c r="O871" s="15"/>
      <c r="P871" s="15"/>
      <c r="Q871" s="15"/>
      <c r="R871" s="15"/>
      <c r="S871" s="15"/>
      <c r="T871" s="15"/>
      <c r="U871" s="74"/>
      <c r="V871" s="74"/>
      <c r="W871" s="74"/>
      <c r="X871" s="74"/>
      <c r="Y871" s="74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229"/>
      <c r="K872" s="229"/>
      <c r="L872" s="229"/>
      <c r="M872" s="15"/>
      <c r="N872" s="15"/>
      <c r="O872" s="15"/>
      <c r="P872" s="15"/>
      <c r="Q872" s="15"/>
      <c r="R872" s="15"/>
      <c r="S872" s="15"/>
      <c r="T872" s="15"/>
      <c r="U872" s="74"/>
      <c r="V872" s="74"/>
      <c r="W872" s="74"/>
      <c r="X872" s="74"/>
      <c r="Y872" s="74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229"/>
      <c r="K873" s="229"/>
      <c r="L873" s="229"/>
      <c r="M873" s="15"/>
      <c r="N873" s="15"/>
      <c r="O873" s="15"/>
      <c r="P873" s="15"/>
      <c r="Q873" s="15"/>
      <c r="R873" s="15"/>
      <c r="S873" s="15"/>
      <c r="T873" s="15"/>
      <c r="U873" s="74"/>
      <c r="V873" s="74"/>
      <c r="W873" s="74"/>
      <c r="X873" s="74"/>
      <c r="Y873" s="74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229"/>
      <c r="K874" s="229"/>
      <c r="L874" s="229"/>
      <c r="M874" s="15"/>
      <c r="N874" s="15"/>
      <c r="O874" s="15"/>
      <c r="P874" s="15"/>
      <c r="Q874" s="15"/>
      <c r="R874" s="15"/>
      <c r="S874" s="15"/>
      <c r="T874" s="15"/>
      <c r="U874" s="74"/>
      <c r="V874" s="74"/>
      <c r="W874" s="74"/>
      <c r="X874" s="74"/>
      <c r="Y874" s="74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229"/>
      <c r="K875" s="229"/>
      <c r="L875" s="229"/>
      <c r="M875" s="15"/>
      <c r="N875" s="15"/>
      <c r="O875" s="15"/>
      <c r="P875" s="15"/>
      <c r="Q875" s="15"/>
      <c r="R875" s="15"/>
      <c r="S875" s="15"/>
      <c r="T875" s="15"/>
      <c r="U875" s="74"/>
      <c r="V875" s="74"/>
      <c r="W875" s="74"/>
      <c r="X875" s="74"/>
      <c r="Y875" s="74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229"/>
      <c r="K876" s="229"/>
      <c r="L876" s="229"/>
      <c r="M876" s="15"/>
      <c r="N876" s="15"/>
      <c r="O876" s="15"/>
      <c r="P876" s="15"/>
      <c r="Q876" s="15"/>
      <c r="R876" s="15"/>
      <c r="S876" s="15"/>
      <c r="T876" s="15"/>
      <c r="U876" s="74"/>
      <c r="V876" s="74"/>
      <c r="W876" s="74"/>
      <c r="X876" s="74"/>
      <c r="Y876" s="74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229"/>
      <c r="K877" s="229"/>
      <c r="L877" s="229"/>
      <c r="M877" s="15"/>
      <c r="N877" s="15"/>
      <c r="O877" s="15"/>
      <c r="P877" s="15"/>
      <c r="Q877" s="15"/>
      <c r="R877" s="15"/>
      <c r="S877" s="15"/>
      <c r="T877" s="15"/>
      <c r="U877" s="74"/>
      <c r="V877" s="74"/>
      <c r="W877" s="74"/>
      <c r="X877" s="74"/>
      <c r="Y877" s="74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229"/>
      <c r="K878" s="229"/>
      <c r="L878" s="229"/>
      <c r="M878" s="15"/>
      <c r="N878" s="15"/>
      <c r="O878" s="15"/>
      <c r="P878" s="15"/>
      <c r="Q878" s="15"/>
      <c r="R878" s="15"/>
      <c r="S878" s="15"/>
      <c r="T878" s="15"/>
      <c r="U878" s="74"/>
      <c r="V878" s="74"/>
      <c r="W878" s="74"/>
      <c r="X878" s="74"/>
      <c r="Y878" s="74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229"/>
      <c r="K879" s="229"/>
      <c r="L879" s="229"/>
      <c r="M879" s="15"/>
      <c r="N879" s="15"/>
      <c r="O879" s="15"/>
      <c r="P879" s="15"/>
      <c r="Q879" s="15"/>
      <c r="R879" s="15"/>
      <c r="S879" s="15"/>
      <c r="T879" s="15"/>
      <c r="U879" s="74"/>
      <c r="V879" s="74"/>
      <c r="W879" s="74"/>
      <c r="X879" s="74"/>
      <c r="Y879" s="74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229"/>
      <c r="K880" s="229"/>
      <c r="L880" s="229"/>
      <c r="M880" s="15"/>
      <c r="N880" s="15"/>
      <c r="O880" s="15"/>
      <c r="P880" s="15"/>
      <c r="Q880" s="15"/>
      <c r="R880" s="15"/>
      <c r="S880" s="15"/>
      <c r="T880" s="15"/>
      <c r="U880" s="74"/>
      <c r="V880" s="74"/>
      <c r="W880" s="74"/>
      <c r="X880" s="74"/>
      <c r="Y880" s="74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229"/>
      <c r="K881" s="229"/>
      <c r="L881" s="229"/>
      <c r="M881" s="15"/>
      <c r="N881" s="15"/>
      <c r="O881" s="15"/>
      <c r="P881" s="15"/>
      <c r="Q881" s="15"/>
      <c r="R881" s="15"/>
      <c r="S881" s="15"/>
      <c r="T881" s="15"/>
      <c r="U881" s="74"/>
      <c r="V881" s="74"/>
      <c r="W881" s="74"/>
      <c r="X881" s="74"/>
      <c r="Y881" s="74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229"/>
      <c r="K882" s="229"/>
      <c r="L882" s="229"/>
      <c r="M882" s="15"/>
      <c r="N882" s="15"/>
      <c r="O882" s="15"/>
      <c r="P882" s="15"/>
      <c r="Q882" s="15"/>
      <c r="R882" s="15"/>
      <c r="S882" s="15"/>
      <c r="T882" s="15"/>
      <c r="U882" s="74"/>
      <c r="V882" s="74"/>
      <c r="W882" s="74"/>
      <c r="X882" s="74"/>
      <c r="Y882" s="74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229"/>
      <c r="K883" s="229"/>
      <c r="L883" s="229"/>
      <c r="M883" s="15"/>
      <c r="N883" s="15"/>
      <c r="O883" s="15"/>
      <c r="P883" s="15"/>
      <c r="Q883" s="15"/>
      <c r="R883" s="15"/>
      <c r="S883" s="15"/>
      <c r="T883" s="15"/>
      <c r="U883" s="74"/>
      <c r="V883" s="74"/>
      <c r="W883" s="74"/>
      <c r="X883" s="74"/>
      <c r="Y883" s="74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229"/>
      <c r="K884" s="229"/>
      <c r="L884" s="229"/>
      <c r="M884" s="15"/>
      <c r="N884" s="15"/>
      <c r="O884" s="15"/>
      <c r="P884" s="15"/>
      <c r="Q884" s="15"/>
      <c r="R884" s="15"/>
      <c r="S884" s="15"/>
      <c r="T884" s="15"/>
      <c r="U884" s="74"/>
      <c r="V884" s="74"/>
      <c r="W884" s="74"/>
      <c r="X884" s="74"/>
      <c r="Y884" s="74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229"/>
      <c r="K885" s="229"/>
      <c r="L885" s="229"/>
      <c r="M885" s="15"/>
      <c r="N885" s="15"/>
      <c r="O885" s="15"/>
      <c r="P885" s="15"/>
      <c r="Q885" s="15"/>
      <c r="R885" s="15"/>
      <c r="S885" s="15"/>
      <c r="T885" s="15"/>
      <c r="U885" s="74"/>
      <c r="V885" s="74"/>
      <c r="W885" s="74"/>
      <c r="X885" s="74"/>
      <c r="Y885" s="74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229"/>
      <c r="K886" s="229"/>
      <c r="L886" s="229"/>
      <c r="M886" s="15"/>
      <c r="N886" s="15"/>
      <c r="O886" s="15"/>
      <c r="P886" s="15"/>
      <c r="Q886" s="15"/>
      <c r="R886" s="15"/>
      <c r="S886" s="15"/>
      <c r="T886" s="15"/>
      <c r="U886" s="74"/>
      <c r="V886" s="74"/>
      <c r="W886" s="74"/>
      <c r="X886" s="74"/>
      <c r="Y886" s="74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229"/>
      <c r="K887" s="229"/>
      <c r="L887" s="229"/>
      <c r="M887" s="15"/>
      <c r="N887" s="15"/>
      <c r="O887" s="15"/>
      <c r="P887" s="15"/>
      <c r="Q887" s="15"/>
      <c r="R887" s="15"/>
      <c r="S887" s="15"/>
      <c r="T887" s="15"/>
      <c r="U887" s="74"/>
      <c r="V887" s="74"/>
      <c r="W887" s="74"/>
      <c r="X887" s="74"/>
      <c r="Y887" s="74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229"/>
      <c r="K888" s="229"/>
      <c r="L888" s="229"/>
      <c r="M888" s="15"/>
      <c r="N888" s="15"/>
      <c r="O888" s="15"/>
      <c r="P888" s="15"/>
      <c r="Q888" s="15"/>
      <c r="R888" s="15"/>
      <c r="S888" s="15"/>
      <c r="T888" s="15"/>
      <c r="U888" s="74"/>
      <c r="V888" s="74"/>
      <c r="W888" s="74"/>
      <c r="X888" s="74"/>
      <c r="Y888" s="74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229"/>
      <c r="K889" s="229"/>
      <c r="L889" s="229"/>
      <c r="M889" s="15"/>
      <c r="N889" s="15"/>
      <c r="O889" s="15"/>
      <c r="P889" s="15"/>
      <c r="Q889" s="15"/>
      <c r="R889" s="15"/>
      <c r="S889" s="15"/>
      <c r="T889" s="15"/>
      <c r="U889" s="74"/>
      <c r="V889" s="74"/>
      <c r="W889" s="74"/>
      <c r="X889" s="74"/>
      <c r="Y889" s="74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229"/>
      <c r="K890" s="229"/>
      <c r="L890" s="229"/>
      <c r="M890" s="15"/>
      <c r="N890" s="15"/>
      <c r="O890" s="15"/>
      <c r="P890" s="15"/>
      <c r="Q890" s="15"/>
      <c r="R890" s="15"/>
      <c r="S890" s="15"/>
      <c r="T890" s="15"/>
      <c r="U890" s="74"/>
      <c r="V890" s="74"/>
      <c r="W890" s="74"/>
      <c r="X890" s="74"/>
      <c r="Y890" s="74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229"/>
      <c r="K891" s="229"/>
      <c r="L891" s="229"/>
      <c r="M891" s="15"/>
      <c r="N891" s="15"/>
      <c r="O891" s="15"/>
      <c r="P891" s="15"/>
      <c r="Q891" s="15"/>
      <c r="R891" s="15"/>
      <c r="S891" s="15"/>
      <c r="T891" s="15"/>
      <c r="U891" s="74"/>
      <c r="V891" s="74"/>
      <c r="W891" s="74"/>
      <c r="X891" s="74"/>
      <c r="Y891" s="74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229"/>
      <c r="K892" s="229"/>
      <c r="L892" s="229"/>
      <c r="M892" s="15"/>
      <c r="N892" s="15"/>
      <c r="O892" s="15"/>
      <c r="P892" s="15"/>
      <c r="Q892" s="15"/>
      <c r="R892" s="15"/>
      <c r="S892" s="15"/>
      <c r="T892" s="15"/>
      <c r="U892" s="74"/>
      <c r="V892" s="74"/>
      <c r="W892" s="74"/>
      <c r="X892" s="74"/>
      <c r="Y892" s="74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229"/>
      <c r="K893" s="229"/>
      <c r="L893" s="229"/>
      <c r="M893" s="15"/>
      <c r="N893" s="15"/>
      <c r="O893" s="15"/>
      <c r="P893" s="15"/>
      <c r="Q893" s="15"/>
      <c r="R893" s="15"/>
      <c r="S893" s="15"/>
      <c r="T893" s="15"/>
      <c r="U893" s="74"/>
      <c r="V893" s="74"/>
      <c r="W893" s="74"/>
      <c r="X893" s="74"/>
      <c r="Y893" s="74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229"/>
      <c r="K894" s="229"/>
      <c r="L894" s="229"/>
      <c r="M894" s="15"/>
      <c r="N894" s="15"/>
      <c r="O894" s="15"/>
      <c r="P894" s="15"/>
      <c r="Q894" s="15"/>
      <c r="R894" s="15"/>
      <c r="S894" s="15"/>
      <c r="T894" s="15"/>
      <c r="U894" s="74"/>
      <c r="V894" s="74"/>
      <c r="W894" s="74"/>
      <c r="X894" s="74"/>
      <c r="Y894" s="74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229"/>
      <c r="K895" s="229"/>
      <c r="L895" s="229"/>
      <c r="M895" s="15"/>
      <c r="N895" s="15"/>
      <c r="O895" s="15"/>
      <c r="P895" s="15"/>
      <c r="Q895" s="15"/>
      <c r="R895" s="15"/>
      <c r="S895" s="15"/>
      <c r="T895" s="15"/>
      <c r="U895" s="74"/>
      <c r="V895" s="74"/>
      <c r="W895" s="74"/>
      <c r="X895" s="74"/>
      <c r="Y895" s="74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229"/>
      <c r="K896" s="229"/>
      <c r="L896" s="229"/>
      <c r="M896" s="15"/>
      <c r="N896" s="15"/>
      <c r="O896" s="15"/>
      <c r="P896" s="15"/>
      <c r="Q896" s="15"/>
      <c r="R896" s="15"/>
      <c r="S896" s="15"/>
      <c r="T896" s="15"/>
      <c r="U896" s="74"/>
      <c r="V896" s="74"/>
      <c r="W896" s="74"/>
      <c r="X896" s="74"/>
      <c r="Y896" s="74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229"/>
      <c r="K897" s="229"/>
      <c r="L897" s="229"/>
      <c r="M897" s="15"/>
      <c r="N897" s="15"/>
      <c r="O897" s="15"/>
      <c r="P897" s="15"/>
      <c r="Q897" s="15"/>
      <c r="R897" s="15"/>
      <c r="S897" s="15"/>
      <c r="T897" s="15"/>
      <c r="U897" s="74"/>
      <c r="V897" s="74"/>
      <c r="W897" s="74"/>
      <c r="X897" s="74"/>
      <c r="Y897" s="74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229"/>
      <c r="K898" s="229"/>
      <c r="L898" s="229"/>
      <c r="M898" s="15"/>
      <c r="N898" s="15"/>
      <c r="O898" s="15"/>
      <c r="P898" s="15"/>
      <c r="Q898" s="15"/>
      <c r="R898" s="15"/>
      <c r="S898" s="15"/>
      <c r="T898" s="15"/>
      <c r="U898" s="74"/>
      <c r="V898" s="74"/>
      <c r="W898" s="74"/>
      <c r="X898" s="74"/>
      <c r="Y898" s="74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229"/>
      <c r="K899" s="229"/>
      <c r="L899" s="229"/>
      <c r="M899" s="15"/>
      <c r="N899" s="15"/>
      <c r="O899" s="15"/>
      <c r="P899" s="15"/>
      <c r="Q899" s="15"/>
      <c r="R899" s="15"/>
      <c r="S899" s="15"/>
      <c r="T899" s="15"/>
      <c r="U899" s="74"/>
      <c r="V899" s="74"/>
      <c r="W899" s="74"/>
      <c r="X899" s="74"/>
      <c r="Y899" s="74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229"/>
      <c r="K900" s="229"/>
      <c r="L900" s="229"/>
      <c r="M900" s="15"/>
      <c r="N900" s="15"/>
      <c r="O900" s="15"/>
      <c r="P900" s="15"/>
      <c r="Q900" s="15"/>
      <c r="R900" s="15"/>
      <c r="S900" s="15"/>
      <c r="T900" s="15"/>
      <c r="U900" s="74"/>
      <c r="V900" s="74"/>
      <c r="W900" s="74"/>
      <c r="X900" s="74"/>
      <c r="Y900" s="74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229"/>
      <c r="K901" s="229"/>
      <c r="L901" s="229"/>
      <c r="M901" s="15"/>
      <c r="N901" s="15"/>
      <c r="O901" s="15"/>
      <c r="P901" s="15"/>
      <c r="Q901" s="15"/>
      <c r="R901" s="15"/>
      <c r="S901" s="15"/>
      <c r="T901" s="15"/>
      <c r="U901" s="74"/>
      <c r="V901" s="74"/>
      <c r="W901" s="74"/>
      <c r="X901" s="74"/>
      <c r="Y901" s="74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229"/>
      <c r="K902" s="229"/>
      <c r="L902" s="229"/>
      <c r="M902" s="15"/>
      <c r="N902" s="15"/>
      <c r="O902" s="15"/>
      <c r="P902" s="15"/>
      <c r="Q902" s="15"/>
      <c r="R902" s="15"/>
      <c r="S902" s="15"/>
      <c r="T902" s="15"/>
      <c r="U902" s="74"/>
      <c r="V902" s="74"/>
      <c r="W902" s="74"/>
      <c r="X902" s="74"/>
      <c r="Y902" s="74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229"/>
      <c r="K903" s="229"/>
      <c r="L903" s="229"/>
      <c r="M903" s="15"/>
      <c r="N903" s="15"/>
      <c r="O903" s="15"/>
      <c r="P903" s="15"/>
      <c r="Q903" s="15"/>
      <c r="R903" s="15"/>
      <c r="S903" s="15"/>
      <c r="T903" s="15"/>
      <c r="U903" s="74"/>
      <c r="V903" s="74"/>
      <c r="W903" s="74"/>
      <c r="X903" s="74"/>
      <c r="Y903" s="74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229"/>
      <c r="K904" s="229"/>
      <c r="L904" s="229"/>
      <c r="M904" s="15"/>
      <c r="N904" s="15"/>
      <c r="O904" s="15"/>
      <c r="P904" s="15"/>
      <c r="Q904" s="15"/>
      <c r="R904" s="15"/>
      <c r="S904" s="15"/>
      <c r="T904" s="15"/>
      <c r="U904" s="74"/>
      <c r="V904" s="74"/>
      <c r="W904" s="74"/>
      <c r="X904" s="74"/>
      <c r="Y904" s="74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229"/>
      <c r="K905" s="229"/>
      <c r="L905" s="229"/>
      <c r="M905" s="15"/>
      <c r="N905" s="15"/>
      <c r="O905" s="15"/>
      <c r="P905" s="15"/>
      <c r="Q905" s="15"/>
      <c r="R905" s="15"/>
      <c r="S905" s="15"/>
      <c r="T905" s="15"/>
      <c r="U905" s="74"/>
      <c r="V905" s="74"/>
      <c r="W905" s="74"/>
      <c r="X905" s="74"/>
      <c r="Y905" s="74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229"/>
      <c r="K906" s="229"/>
      <c r="L906" s="229"/>
      <c r="M906" s="15"/>
      <c r="N906" s="15"/>
      <c r="O906" s="15"/>
      <c r="P906" s="15"/>
      <c r="Q906" s="15"/>
      <c r="R906" s="15"/>
      <c r="S906" s="15"/>
      <c r="T906" s="15"/>
      <c r="U906" s="74"/>
      <c r="V906" s="74"/>
      <c r="W906" s="74"/>
      <c r="X906" s="74"/>
      <c r="Y906" s="74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229"/>
      <c r="K907" s="229"/>
      <c r="L907" s="229"/>
      <c r="M907" s="15"/>
      <c r="N907" s="15"/>
      <c r="O907" s="15"/>
      <c r="P907" s="15"/>
      <c r="Q907" s="15"/>
      <c r="R907" s="15"/>
      <c r="S907" s="15"/>
      <c r="T907" s="15"/>
      <c r="U907" s="74"/>
      <c r="V907" s="74"/>
      <c r="W907" s="74"/>
      <c r="X907" s="74"/>
      <c r="Y907" s="74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229"/>
      <c r="K908" s="229"/>
      <c r="L908" s="229"/>
      <c r="M908" s="15"/>
      <c r="N908" s="15"/>
      <c r="O908" s="15"/>
      <c r="P908" s="15"/>
      <c r="Q908" s="15"/>
      <c r="R908" s="15"/>
      <c r="S908" s="15"/>
      <c r="T908" s="15"/>
      <c r="U908" s="74"/>
      <c r="V908" s="74"/>
      <c r="W908" s="74"/>
      <c r="X908" s="74"/>
      <c r="Y908" s="74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229"/>
      <c r="K909" s="229"/>
      <c r="L909" s="229"/>
      <c r="M909" s="15"/>
      <c r="N909" s="15"/>
      <c r="O909" s="15"/>
      <c r="P909" s="15"/>
      <c r="Q909" s="15"/>
      <c r="R909" s="15"/>
      <c r="S909" s="15"/>
      <c r="T909" s="15"/>
      <c r="U909" s="74"/>
      <c r="V909" s="74"/>
      <c r="W909" s="74"/>
      <c r="X909" s="74"/>
      <c r="Y909" s="74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229"/>
      <c r="K910" s="229"/>
      <c r="L910" s="229"/>
      <c r="M910" s="15"/>
      <c r="N910" s="15"/>
      <c r="O910" s="15"/>
      <c r="P910" s="15"/>
      <c r="Q910" s="15"/>
      <c r="R910" s="15"/>
      <c r="S910" s="15"/>
      <c r="T910" s="15"/>
      <c r="U910" s="74"/>
      <c r="V910" s="74"/>
      <c r="W910" s="74"/>
      <c r="X910" s="74"/>
      <c r="Y910" s="74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229"/>
      <c r="K911" s="229"/>
      <c r="L911" s="229"/>
      <c r="M911" s="15"/>
      <c r="N911" s="15"/>
      <c r="O911" s="15"/>
      <c r="P911" s="15"/>
      <c r="Q911" s="15"/>
      <c r="R911" s="15"/>
      <c r="S911" s="15"/>
      <c r="T911" s="15"/>
      <c r="U911" s="74"/>
      <c r="V911" s="74"/>
      <c r="W911" s="74"/>
      <c r="X911" s="74"/>
      <c r="Y911" s="74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229"/>
      <c r="K912" s="229"/>
      <c r="L912" s="229"/>
      <c r="M912" s="15"/>
      <c r="N912" s="15"/>
      <c r="O912" s="15"/>
      <c r="P912" s="15"/>
      <c r="Q912" s="15"/>
      <c r="R912" s="15"/>
      <c r="S912" s="15"/>
      <c r="T912" s="15"/>
      <c r="U912" s="74"/>
      <c r="V912" s="74"/>
      <c r="W912" s="74"/>
      <c r="X912" s="74"/>
      <c r="Y912" s="74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229"/>
      <c r="K913" s="229"/>
      <c r="L913" s="229"/>
      <c r="M913" s="15"/>
      <c r="N913" s="15"/>
      <c r="O913" s="15"/>
      <c r="P913" s="15"/>
      <c r="Q913" s="15"/>
      <c r="R913" s="15"/>
      <c r="S913" s="15"/>
      <c r="T913" s="15"/>
      <c r="U913" s="74"/>
      <c r="V913" s="74"/>
      <c r="W913" s="74"/>
      <c r="X913" s="74"/>
      <c r="Y913" s="74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229"/>
      <c r="K914" s="229"/>
      <c r="L914" s="229"/>
      <c r="M914" s="15"/>
      <c r="N914" s="15"/>
      <c r="O914" s="15"/>
      <c r="P914" s="15"/>
      <c r="Q914" s="15"/>
      <c r="R914" s="15"/>
      <c r="S914" s="15"/>
      <c r="T914" s="15"/>
      <c r="U914" s="74"/>
      <c r="V914" s="74"/>
      <c r="W914" s="74"/>
      <c r="X914" s="74"/>
      <c r="Y914" s="74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229"/>
      <c r="K915" s="229"/>
      <c r="L915" s="229"/>
      <c r="M915" s="15"/>
      <c r="N915" s="15"/>
      <c r="O915" s="15"/>
      <c r="P915" s="15"/>
      <c r="Q915" s="15"/>
      <c r="R915" s="15"/>
      <c r="S915" s="15"/>
      <c r="T915" s="15"/>
      <c r="U915" s="74"/>
      <c r="V915" s="74"/>
      <c r="W915" s="74"/>
      <c r="X915" s="74"/>
      <c r="Y915" s="74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229"/>
      <c r="K916" s="229"/>
      <c r="L916" s="229"/>
      <c r="M916" s="15"/>
      <c r="N916" s="15"/>
      <c r="O916" s="15"/>
      <c r="P916" s="15"/>
      <c r="Q916" s="15"/>
      <c r="R916" s="15"/>
      <c r="S916" s="15"/>
      <c r="T916" s="15"/>
      <c r="U916" s="74"/>
      <c r="V916" s="74"/>
      <c r="W916" s="74"/>
      <c r="X916" s="74"/>
      <c r="Y916" s="74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229"/>
      <c r="K917" s="229"/>
      <c r="L917" s="229"/>
      <c r="M917" s="15"/>
      <c r="N917" s="15"/>
      <c r="O917" s="15"/>
      <c r="P917" s="15"/>
      <c r="Q917" s="15"/>
      <c r="R917" s="15"/>
      <c r="S917" s="15"/>
      <c r="T917" s="15"/>
      <c r="U917" s="74"/>
      <c r="V917" s="74"/>
      <c r="W917" s="74"/>
      <c r="X917" s="74"/>
      <c r="Y917" s="74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229"/>
      <c r="K918" s="229"/>
      <c r="L918" s="229"/>
      <c r="M918" s="15"/>
      <c r="N918" s="15"/>
      <c r="O918" s="15"/>
      <c r="P918" s="15"/>
      <c r="Q918" s="15"/>
      <c r="R918" s="15"/>
      <c r="S918" s="15"/>
      <c r="T918" s="15"/>
      <c r="U918" s="74"/>
      <c r="V918" s="74"/>
      <c r="W918" s="74"/>
      <c r="X918" s="74"/>
      <c r="Y918" s="74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229"/>
      <c r="K919" s="229"/>
      <c r="L919" s="229"/>
      <c r="M919" s="15"/>
      <c r="N919" s="15"/>
      <c r="O919" s="15"/>
      <c r="P919" s="15"/>
      <c r="Q919" s="15"/>
      <c r="R919" s="15"/>
      <c r="S919" s="15"/>
      <c r="T919" s="15"/>
      <c r="U919" s="74"/>
      <c r="V919" s="74"/>
      <c r="W919" s="74"/>
      <c r="X919" s="74"/>
      <c r="Y919" s="74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229"/>
      <c r="K920" s="229"/>
      <c r="L920" s="229"/>
      <c r="M920" s="15"/>
      <c r="N920" s="15"/>
      <c r="O920" s="15"/>
      <c r="P920" s="15"/>
      <c r="Q920" s="15"/>
      <c r="R920" s="15"/>
      <c r="S920" s="15"/>
      <c r="T920" s="15"/>
      <c r="U920" s="74"/>
      <c r="V920" s="74"/>
      <c r="W920" s="74"/>
      <c r="X920" s="74"/>
      <c r="Y920" s="74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229"/>
      <c r="K921" s="229"/>
      <c r="L921" s="229"/>
      <c r="M921" s="15"/>
      <c r="N921" s="15"/>
      <c r="O921" s="15"/>
      <c r="P921" s="15"/>
      <c r="Q921" s="15"/>
      <c r="R921" s="15"/>
      <c r="S921" s="15"/>
      <c r="T921" s="15"/>
      <c r="U921" s="74"/>
      <c r="V921" s="74"/>
      <c r="W921" s="74"/>
      <c r="X921" s="74"/>
      <c r="Y921" s="74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229"/>
      <c r="K922" s="229"/>
      <c r="L922" s="229"/>
      <c r="M922" s="15"/>
      <c r="N922" s="15"/>
      <c r="O922" s="15"/>
      <c r="P922" s="15"/>
      <c r="Q922" s="15"/>
      <c r="R922" s="15"/>
      <c r="S922" s="15"/>
      <c r="T922" s="15"/>
      <c r="U922" s="74"/>
      <c r="V922" s="74"/>
      <c r="W922" s="74"/>
      <c r="X922" s="74"/>
      <c r="Y922" s="74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229"/>
      <c r="K923" s="229"/>
      <c r="L923" s="229"/>
      <c r="M923" s="15"/>
      <c r="N923" s="15"/>
      <c r="O923" s="15"/>
      <c r="P923" s="15"/>
      <c r="Q923" s="15"/>
      <c r="R923" s="15"/>
      <c r="S923" s="15"/>
      <c r="T923" s="15"/>
      <c r="U923" s="74"/>
      <c r="V923" s="74"/>
      <c r="W923" s="74"/>
      <c r="X923" s="74"/>
      <c r="Y923" s="74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229"/>
      <c r="K924" s="229"/>
      <c r="L924" s="229"/>
      <c r="M924" s="15"/>
      <c r="N924" s="15"/>
      <c r="O924" s="15"/>
      <c r="P924" s="15"/>
      <c r="Q924" s="15"/>
      <c r="R924" s="15"/>
      <c r="S924" s="15"/>
      <c r="T924" s="15"/>
      <c r="U924" s="74"/>
      <c r="V924" s="74"/>
      <c r="W924" s="74"/>
      <c r="X924" s="74"/>
      <c r="Y924" s="74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229"/>
      <c r="K925" s="229"/>
      <c r="L925" s="229"/>
      <c r="M925" s="15"/>
      <c r="N925" s="15"/>
      <c r="O925" s="15"/>
      <c r="P925" s="15"/>
      <c r="Q925" s="15"/>
      <c r="R925" s="15"/>
      <c r="S925" s="15"/>
      <c r="T925" s="15"/>
      <c r="U925" s="74"/>
      <c r="V925" s="74"/>
      <c r="W925" s="74"/>
      <c r="X925" s="74"/>
      <c r="Y925" s="74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229"/>
      <c r="K926" s="229"/>
      <c r="L926" s="229"/>
      <c r="M926" s="15"/>
      <c r="N926" s="15"/>
      <c r="O926" s="15"/>
      <c r="P926" s="15"/>
      <c r="Q926" s="15"/>
      <c r="R926" s="15"/>
      <c r="S926" s="15"/>
      <c r="T926" s="15"/>
      <c r="U926" s="74"/>
      <c r="V926" s="74"/>
      <c r="W926" s="74"/>
      <c r="X926" s="74"/>
      <c r="Y926" s="74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229"/>
      <c r="K927" s="229"/>
      <c r="L927" s="229"/>
      <c r="M927" s="15"/>
      <c r="N927" s="15"/>
      <c r="O927" s="15"/>
      <c r="P927" s="15"/>
      <c r="Q927" s="15"/>
      <c r="R927" s="15"/>
      <c r="S927" s="15"/>
      <c r="T927" s="15"/>
      <c r="U927" s="74"/>
      <c r="V927" s="74"/>
      <c r="W927" s="74"/>
      <c r="X927" s="74"/>
      <c r="Y927" s="74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229"/>
      <c r="K928" s="229"/>
      <c r="L928" s="229"/>
      <c r="M928" s="15"/>
      <c r="N928" s="15"/>
      <c r="O928" s="15"/>
      <c r="P928" s="15"/>
      <c r="Q928" s="15"/>
      <c r="R928" s="15"/>
      <c r="S928" s="15"/>
      <c r="T928" s="15"/>
      <c r="U928" s="74"/>
      <c r="V928" s="74"/>
      <c r="W928" s="74"/>
      <c r="X928" s="74"/>
      <c r="Y928" s="74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229"/>
      <c r="K929" s="229"/>
      <c r="L929" s="229"/>
      <c r="M929" s="15"/>
      <c r="N929" s="15"/>
      <c r="O929" s="15"/>
      <c r="P929" s="15"/>
      <c r="Q929" s="15"/>
      <c r="R929" s="15"/>
      <c r="S929" s="15"/>
      <c r="T929" s="15"/>
      <c r="U929" s="74"/>
      <c r="V929" s="74"/>
      <c r="W929" s="74"/>
      <c r="X929" s="74"/>
      <c r="Y929" s="74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229"/>
      <c r="K930" s="229"/>
      <c r="L930" s="229"/>
      <c r="M930" s="15"/>
      <c r="N930" s="15"/>
      <c r="O930" s="15"/>
      <c r="P930" s="15"/>
      <c r="Q930" s="15"/>
      <c r="R930" s="15"/>
      <c r="S930" s="15"/>
      <c r="T930" s="15"/>
      <c r="U930" s="74"/>
      <c r="V930" s="74"/>
      <c r="W930" s="74"/>
      <c r="X930" s="74"/>
      <c r="Y930" s="74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229"/>
      <c r="K931" s="229"/>
      <c r="L931" s="229"/>
      <c r="M931" s="15"/>
      <c r="N931" s="15"/>
      <c r="O931" s="15"/>
      <c r="P931" s="15"/>
      <c r="Q931" s="15"/>
      <c r="R931" s="15"/>
      <c r="S931" s="15"/>
      <c r="T931" s="15"/>
      <c r="U931" s="74"/>
      <c r="V931" s="74"/>
      <c r="W931" s="74"/>
      <c r="X931" s="74"/>
      <c r="Y931" s="74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229"/>
      <c r="K932" s="229"/>
      <c r="L932" s="229"/>
      <c r="M932" s="15"/>
      <c r="N932" s="15"/>
      <c r="O932" s="15"/>
      <c r="P932" s="15"/>
      <c r="Q932" s="15"/>
      <c r="R932" s="15"/>
      <c r="S932" s="15"/>
      <c r="T932" s="15"/>
      <c r="U932" s="74"/>
      <c r="V932" s="74"/>
      <c r="W932" s="74"/>
      <c r="X932" s="74"/>
      <c r="Y932" s="74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229"/>
      <c r="K933" s="229"/>
      <c r="L933" s="229"/>
      <c r="M933" s="15"/>
      <c r="N933" s="15"/>
      <c r="O933" s="15"/>
      <c r="P933" s="15"/>
      <c r="Q933" s="15"/>
      <c r="R933" s="15"/>
      <c r="S933" s="15"/>
      <c r="T933" s="15"/>
      <c r="U933" s="74"/>
      <c r="V933" s="74"/>
      <c r="W933" s="74"/>
      <c r="X933" s="74"/>
      <c r="Y933" s="74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229"/>
      <c r="K934" s="229"/>
      <c r="L934" s="229"/>
      <c r="M934" s="15"/>
      <c r="N934" s="15"/>
      <c r="O934" s="15"/>
      <c r="P934" s="15"/>
      <c r="Q934" s="15"/>
      <c r="R934" s="15"/>
      <c r="S934" s="15"/>
      <c r="T934" s="15"/>
      <c r="U934" s="74"/>
      <c r="V934" s="74"/>
      <c r="W934" s="74"/>
      <c r="X934" s="74"/>
      <c r="Y934" s="74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229"/>
      <c r="K935" s="229"/>
      <c r="L935" s="229"/>
      <c r="M935" s="15"/>
      <c r="N935" s="15"/>
      <c r="O935" s="15"/>
      <c r="P935" s="15"/>
      <c r="Q935" s="15"/>
      <c r="R935" s="15"/>
      <c r="S935" s="15"/>
      <c r="T935" s="15"/>
      <c r="U935" s="74"/>
      <c r="V935" s="74"/>
      <c r="W935" s="74"/>
      <c r="X935" s="74"/>
      <c r="Y935" s="74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229"/>
      <c r="K936" s="229"/>
      <c r="L936" s="229"/>
      <c r="M936" s="15"/>
      <c r="N936" s="15"/>
      <c r="O936" s="15"/>
      <c r="P936" s="15"/>
      <c r="Q936" s="15"/>
      <c r="R936" s="15"/>
      <c r="S936" s="15"/>
      <c r="T936" s="15"/>
      <c r="U936" s="74"/>
      <c r="V936" s="74"/>
      <c r="W936" s="74"/>
      <c r="X936" s="74"/>
      <c r="Y936" s="74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229"/>
      <c r="K937" s="229"/>
      <c r="L937" s="229"/>
      <c r="M937" s="15"/>
      <c r="N937" s="15"/>
      <c r="O937" s="15"/>
      <c r="P937" s="15"/>
      <c r="Q937" s="15"/>
      <c r="R937" s="15"/>
      <c r="S937" s="15"/>
      <c r="T937" s="15"/>
      <c r="U937" s="74"/>
      <c r="V937" s="74"/>
      <c r="W937" s="74"/>
      <c r="X937" s="74"/>
      <c r="Y937" s="74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229"/>
      <c r="K938" s="229"/>
      <c r="L938" s="229"/>
      <c r="M938" s="15"/>
      <c r="N938" s="15"/>
      <c r="O938" s="15"/>
      <c r="P938" s="15"/>
      <c r="Q938" s="15"/>
      <c r="R938" s="15"/>
      <c r="S938" s="15"/>
      <c r="T938" s="15"/>
      <c r="U938" s="74"/>
      <c r="V938" s="74"/>
      <c r="W938" s="74"/>
      <c r="X938" s="74"/>
      <c r="Y938" s="74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229"/>
      <c r="K939" s="229"/>
      <c r="L939" s="229"/>
      <c r="M939" s="15"/>
      <c r="N939" s="15"/>
      <c r="O939" s="15"/>
      <c r="P939" s="15"/>
      <c r="Q939" s="15"/>
      <c r="R939" s="15"/>
      <c r="S939" s="15"/>
      <c r="T939" s="15"/>
      <c r="U939" s="74"/>
      <c r="V939" s="74"/>
      <c r="W939" s="74"/>
      <c r="X939" s="74"/>
      <c r="Y939" s="74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229"/>
      <c r="K940" s="229"/>
      <c r="L940" s="229"/>
      <c r="M940" s="15"/>
      <c r="N940" s="15"/>
      <c r="O940" s="15"/>
      <c r="P940" s="15"/>
      <c r="Q940" s="15"/>
      <c r="R940" s="15"/>
      <c r="S940" s="15"/>
      <c r="T940" s="15"/>
      <c r="U940" s="74"/>
      <c r="V940" s="74"/>
      <c r="W940" s="74"/>
      <c r="X940" s="74"/>
      <c r="Y940" s="74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229"/>
      <c r="K941" s="229"/>
      <c r="L941" s="229"/>
      <c r="M941" s="15"/>
      <c r="N941" s="15"/>
      <c r="O941" s="15"/>
      <c r="P941" s="15"/>
      <c r="Q941" s="15"/>
      <c r="R941" s="15"/>
      <c r="S941" s="15"/>
      <c r="T941" s="15"/>
      <c r="U941" s="74"/>
      <c r="V941" s="74"/>
      <c r="W941" s="74"/>
      <c r="X941" s="74"/>
      <c r="Y941" s="74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229"/>
      <c r="K942" s="229"/>
      <c r="L942" s="229"/>
      <c r="M942" s="15"/>
      <c r="N942" s="15"/>
      <c r="O942" s="15"/>
      <c r="P942" s="15"/>
      <c r="Q942" s="15"/>
      <c r="R942" s="15"/>
      <c r="S942" s="15"/>
      <c r="T942" s="15"/>
      <c r="U942" s="74"/>
      <c r="V942" s="74"/>
      <c r="W942" s="74"/>
      <c r="X942" s="74"/>
      <c r="Y942" s="74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229"/>
      <c r="K943" s="229"/>
      <c r="L943" s="229"/>
      <c r="M943" s="15"/>
      <c r="N943" s="15"/>
      <c r="O943" s="15"/>
      <c r="P943" s="15"/>
      <c r="Q943" s="15"/>
      <c r="R943" s="15"/>
      <c r="S943" s="15"/>
      <c r="T943" s="15"/>
      <c r="U943" s="74"/>
      <c r="V943" s="74"/>
      <c r="W943" s="74"/>
      <c r="X943" s="74"/>
      <c r="Y943" s="74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229"/>
      <c r="K944" s="229"/>
      <c r="L944" s="229"/>
      <c r="M944" s="15"/>
      <c r="N944" s="15"/>
      <c r="O944" s="15"/>
      <c r="P944" s="15"/>
      <c r="Q944" s="15"/>
      <c r="R944" s="15"/>
      <c r="S944" s="15"/>
      <c r="T944" s="15"/>
      <c r="U944" s="74"/>
      <c r="V944" s="74"/>
      <c r="W944" s="74"/>
      <c r="X944" s="74"/>
      <c r="Y944" s="74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229"/>
      <c r="K945" s="229"/>
      <c r="L945" s="229"/>
      <c r="M945" s="15"/>
      <c r="N945" s="15"/>
      <c r="O945" s="15"/>
      <c r="P945" s="15"/>
      <c r="Q945" s="15"/>
      <c r="R945" s="15"/>
      <c r="S945" s="15"/>
      <c r="T945" s="15"/>
      <c r="U945" s="74"/>
      <c r="V945" s="74"/>
      <c r="W945" s="74"/>
      <c r="X945" s="74"/>
      <c r="Y945" s="74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229"/>
      <c r="K946" s="229"/>
      <c r="L946" s="229"/>
      <c r="M946" s="15"/>
      <c r="N946" s="15"/>
      <c r="O946" s="15"/>
      <c r="P946" s="15"/>
      <c r="Q946" s="15"/>
      <c r="R946" s="15"/>
      <c r="S946" s="15"/>
      <c r="T946" s="15"/>
      <c r="U946" s="74"/>
      <c r="V946" s="74"/>
      <c r="W946" s="74"/>
      <c r="X946" s="74"/>
      <c r="Y946" s="74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229"/>
      <c r="K947" s="229"/>
      <c r="L947" s="229"/>
      <c r="M947" s="15"/>
      <c r="N947" s="15"/>
      <c r="O947" s="15"/>
      <c r="P947" s="15"/>
      <c r="Q947" s="15"/>
      <c r="R947" s="15"/>
      <c r="S947" s="15"/>
      <c r="T947" s="15"/>
      <c r="U947" s="74"/>
      <c r="V947" s="74"/>
      <c r="W947" s="74"/>
      <c r="X947" s="74"/>
      <c r="Y947" s="74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229"/>
      <c r="K948" s="229"/>
      <c r="L948" s="229"/>
      <c r="M948" s="15"/>
      <c r="N948" s="15"/>
      <c r="O948" s="15"/>
      <c r="P948" s="15"/>
      <c r="Q948" s="15"/>
      <c r="R948" s="15"/>
      <c r="S948" s="15"/>
      <c r="T948" s="15"/>
      <c r="U948" s="74"/>
      <c r="V948" s="74"/>
      <c r="W948" s="74"/>
      <c r="X948" s="74"/>
      <c r="Y948" s="74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229"/>
      <c r="K949" s="229"/>
      <c r="L949" s="229"/>
      <c r="M949" s="15"/>
      <c r="N949" s="15"/>
      <c r="O949" s="15"/>
      <c r="P949" s="15"/>
      <c r="Q949" s="15"/>
      <c r="R949" s="15"/>
      <c r="S949" s="15"/>
      <c r="T949" s="15"/>
      <c r="U949" s="74"/>
      <c r="V949" s="74"/>
      <c r="W949" s="74"/>
      <c r="X949" s="74"/>
      <c r="Y949" s="74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229"/>
      <c r="K950" s="229"/>
      <c r="L950" s="229"/>
      <c r="M950" s="15"/>
      <c r="N950" s="15"/>
      <c r="O950" s="15"/>
      <c r="P950" s="15"/>
      <c r="Q950" s="15"/>
      <c r="R950" s="15"/>
      <c r="S950" s="15"/>
      <c r="T950" s="15"/>
      <c r="U950" s="74"/>
      <c r="V950" s="74"/>
      <c r="W950" s="74"/>
      <c r="X950" s="74"/>
      <c r="Y950" s="74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229"/>
      <c r="K951" s="229"/>
      <c r="L951" s="229"/>
      <c r="M951" s="15"/>
      <c r="N951" s="15"/>
      <c r="O951" s="15"/>
      <c r="P951" s="15"/>
      <c r="Q951" s="15"/>
      <c r="R951" s="15"/>
      <c r="S951" s="15"/>
      <c r="T951" s="15"/>
      <c r="U951" s="74"/>
      <c r="V951" s="74"/>
      <c r="W951" s="74"/>
      <c r="X951" s="74"/>
      <c r="Y951" s="74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229"/>
      <c r="K952" s="229"/>
      <c r="L952" s="229"/>
      <c r="M952" s="15"/>
      <c r="N952" s="15"/>
      <c r="O952" s="15"/>
      <c r="P952" s="15"/>
      <c r="Q952" s="15"/>
      <c r="R952" s="15"/>
      <c r="S952" s="15"/>
      <c r="T952" s="15"/>
      <c r="U952" s="74"/>
      <c r="V952" s="74"/>
      <c r="W952" s="74"/>
      <c r="X952" s="74"/>
      <c r="Y952" s="74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229"/>
      <c r="K953" s="229"/>
      <c r="L953" s="229"/>
      <c r="M953" s="15"/>
      <c r="N953" s="15"/>
      <c r="O953" s="15"/>
      <c r="P953" s="15"/>
      <c r="Q953" s="15"/>
      <c r="R953" s="15"/>
      <c r="S953" s="15"/>
      <c r="T953" s="15"/>
      <c r="U953" s="74"/>
      <c r="V953" s="74"/>
      <c r="W953" s="74"/>
      <c r="X953" s="74"/>
      <c r="Y953" s="74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229"/>
      <c r="K954" s="229"/>
      <c r="L954" s="229"/>
      <c r="M954" s="15"/>
      <c r="N954" s="15"/>
      <c r="O954" s="15"/>
      <c r="P954" s="15"/>
      <c r="Q954" s="15"/>
      <c r="R954" s="15"/>
      <c r="S954" s="15"/>
      <c r="T954" s="15"/>
      <c r="U954" s="74"/>
      <c r="V954" s="74"/>
      <c r="W954" s="74"/>
      <c r="X954" s="74"/>
      <c r="Y954" s="74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229"/>
      <c r="K955" s="229"/>
      <c r="L955" s="229"/>
      <c r="M955" s="15"/>
      <c r="N955" s="15"/>
      <c r="O955" s="15"/>
      <c r="P955" s="15"/>
      <c r="Q955" s="15"/>
      <c r="R955" s="15"/>
      <c r="S955" s="15"/>
      <c r="T955" s="15"/>
      <c r="U955" s="74"/>
      <c r="V955" s="74"/>
      <c r="W955" s="74"/>
      <c r="X955" s="74"/>
      <c r="Y955" s="74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229"/>
      <c r="K956" s="229"/>
      <c r="L956" s="229"/>
      <c r="M956" s="15"/>
      <c r="N956" s="15"/>
      <c r="O956" s="15"/>
      <c r="P956" s="15"/>
      <c r="Q956" s="15"/>
      <c r="R956" s="15"/>
      <c r="S956" s="15"/>
      <c r="T956" s="15"/>
      <c r="U956" s="74"/>
      <c r="V956" s="74"/>
      <c r="W956" s="74"/>
      <c r="X956" s="74"/>
      <c r="Y956" s="74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229"/>
      <c r="K957" s="229"/>
      <c r="L957" s="229"/>
      <c r="M957" s="15"/>
      <c r="N957" s="15"/>
      <c r="O957" s="15"/>
      <c r="P957" s="15"/>
      <c r="Q957" s="15"/>
      <c r="R957" s="15"/>
      <c r="S957" s="15"/>
      <c r="T957" s="15"/>
      <c r="U957" s="74"/>
      <c r="V957" s="74"/>
      <c r="W957" s="74"/>
      <c r="X957" s="74"/>
      <c r="Y957" s="74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229"/>
      <c r="K958" s="229"/>
      <c r="L958" s="229"/>
      <c r="M958" s="15"/>
      <c r="N958" s="15"/>
      <c r="O958" s="15"/>
      <c r="P958" s="15"/>
      <c r="Q958" s="15"/>
      <c r="R958" s="15"/>
      <c r="S958" s="15"/>
      <c r="T958" s="15"/>
      <c r="U958" s="74"/>
      <c r="V958" s="74"/>
      <c r="W958" s="74"/>
      <c r="X958" s="74"/>
      <c r="Y958" s="74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229"/>
      <c r="K959" s="229"/>
      <c r="L959" s="229"/>
      <c r="M959" s="15"/>
      <c r="N959" s="15"/>
      <c r="O959" s="15"/>
      <c r="P959" s="15"/>
      <c r="Q959" s="15"/>
      <c r="R959" s="15"/>
      <c r="S959" s="15"/>
      <c r="T959" s="15"/>
      <c r="U959" s="74"/>
      <c r="V959" s="74"/>
      <c r="W959" s="74"/>
      <c r="X959" s="74"/>
      <c r="Y959" s="74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229"/>
      <c r="K960" s="229"/>
      <c r="L960" s="229"/>
      <c r="M960" s="15"/>
      <c r="N960" s="15"/>
      <c r="O960" s="15"/>
      <c r="P960" s="15"/>
      <c r="Q960" s="15"/>
      <c r="R960" s="15"/>
      <c r="S960" s="15"/>
      <c r="T960" s="15"/>
      <c r="U960" s="74"/>
      <c r="V960" s="74"/>
      <c r="W960" s="74"/>
      <c r="X960" s="74"/>
      <c r="Y960" s="74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229"/>
      <c r="K961" s="229"/>
      <c r="L961" s="229"/>
      <c r="M961" s="15"/>
      <c r="N961" s="15"/>
      <c r="O961" s="15"/>
      <c r="P961" s="15"/>
      <c r="Q961" s="15"/>
      <c r="R961" s="15"/>
      <c r="S961" s="15"/>
      <c r="T961" s="15"/>
      <c r="U961" s="74"/>
      <c r="V961" s="74"/>
      <c r="W961" s="74"/>
      <c r="X961" s="74"/>
      <c r="Y961" s="74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229"/>
      <c r="K962" s="229"/>
      <c r="L962" s="229"/>
      <c r="M962" s="15"/>
      <c r="N962" s="15"/>
      <c r="O962" s="15"/>
      <c r="P962" s="15"/>
      <c r="Q962" s="15"/>
      <c r="R962" s="15"/>
      <c r="S962" s="15"/>
      <c r="T962" s="15"/>
      <c r="U962" s="74"/>
      <c r="V962" s="74"/>
      <c r="W962" s="74"/>
      <c r="X962" s="74"/>
      <c r="Y962" s="74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229"/>
      <c r="K963" s="229"/>
      <c r="L963" s="229"/>
      <c r="M963" s="15"/>
      <c r="N963" s="15"/>
      <c r="O963" s="15"/>
      <c r="P963" s="15"/>
      <c r="Q963" s="15"/>
      <c r="R963" s="15"/>
      <c r="S963" s="15"/>
      <c r="T963" s="15"/>
      <c r="U963" s="74"/>
      <c r="V963" s="74"/>
      <c r="W963" s="74"/>
      <c r="X963" s="74"/>
      <c r="Y963" s="74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229"/>
      <c r="K964" s="229"/>
      <c r="L964" s="229"/>
      <c r="M964" s="15"/>
      <c r="N964" s="15"/>
      <c r="O964" s="15"/>
      <c r="P964" s="15"/>
      <c r="Q964" s="15"/>
      <c r="R964" s="15"/>
      <c r="S964" s="15"/>
      <c r="T964" s="15"/>
      <c r="U964" s="74"/>
      <c r="V964" s="74"/>
      <c r="W964" s="74"/>
      <c r="X964" s="74"/>
      <c r="Y964" s="74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229"/>
      <c r="K965" s="229"/>
      <c r="L965" s="229"/>
      <c r="M965" s="15"/>
      <c r="N965" s="15"/>
      <c r="O965" s="15"/>
      <c r="P965" s="15"/>
      <c r="Q965" s="15"/>
      <c r="R965" s="15"/>
      <c r="S965" s="15"/>
      <c r="T965" s="15"/>
      <c r="U965" s="74"/>
      <c r="V965" s="74"/>
      <c r="W965" s="74"/>
      <c r="X965" s="74"/>
      <c r="Y965" s="74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229"/>
      <c r="K966" s="229"/>
      <c r="L966" s="229"/>
      <c r="M966" s="15"/>
      <c r="N966" s="15"/>
      <c r="O966" s="15"/>
      <c r="P966" s="15"/>
      <c r="Q966" s="15"/>
      <c r="R966" s="15"/>
      <c r="S966" s="15"/>
      <c r="T966" s="15"/>
      <c r="U966" s="74"/>
      <c r="V966" s="74"/>
      <c r="W966" s="74"/>
      <c r="X966" s="74"/>
      <c r="Y966" s="74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229"/>
      <c r="K967" s="229"/>
      <c r="L967" s="229"/>
      <c r="M967" s="15"/>
      <c r="N967" s="15"/>
      <c r="O967" s="15"/>
      <c r="P967" s="15"/>
      <c r="Q967" s="15"/>
      <c r="R967" s="15"/>
      <c r="S967" s="15"/>
      <c r="T967" s="15"/>
      <c r="U967" s="74"/>
      <c r="V967" s="74"/>
      <c r="W967" s="74"/>
      <c r="X967" s="74"/>
      <c r="Y967" s="74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229"/>
      <c r="K968" s="229"/>
      <c r="L968" s="229"/>
      <c r="M968" s="15"/>
      <c r="N968" s="15"/>
      <c r="O968" s="15"/>
      <c r="P968" s="15"/>
      <c r="Q968" s="15"/>
      <c r="R968" s="15"/>
      <c r="S968" s="15"/>
      <c r="T968" s="15"/>
      <c r="U968" s="74"/>
      <c r="V968" s="74"/>
      <c r="W968" s="74"/>
      <c r="X968" s="74"/>
      <c r="Y968" s="74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229"/>
      <c r="K969" s="229"/>
      <c r="L969" s="229"/>
      <c r="M969" s="15"/>
      <c r="N969" s="15"/>
      <c r="O969" s="15"/>
      <c r="P969" s="15"/>
      <c r="Q969" s="15"/>
      <c r="R969" s="15"/>
      <c r="S969" s="15"/>
      <c r="T969" s="15"/>
      <c r="U969" s="74"/>
      <c r="V969" s="74"/>
      <c r="W969" s="74"/>
      <c r="X969" s="74"/>
      <c r="Y969" s="74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229"/>
      <c r="K970" s="229"/>
      <c r="L970" s="229"/>
      <c r="M970" s="15"/>
      <c r="N970" s="15"/>
      <c r="O970" s="15"/>
      <c r="P970" s="15"/>
      <c r="Q970" s="15"/>
      <c r="R970" s="15"/>
      <c r="S970" s="15"/>
      <c r="T970" s="15"/>
      <c r="U970" s="74"/>
      <c r="V970" s="74"/>
      <c r="W970" s="74"/>
      <c r="X970" s="74"/>
      <c r="Y970" s="74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229"/>
      <c r="K971" s="229"/>
      <c r="L971" s="229"/>
      <c r="M971" s="15"/>
      <c r="N971" s="15"/>
      <c r="O971" s="15"/>
      <c r="P971" s="15"/>
      <c r="Q971" s="15"/>
      <c r="R971" s="15"/>
      <c r="S971" s="15"/>
      <c r="T971" s="15"/>
      <c r="U971" s="74"/>
      <c r="V971" s="74"/>
      <c r="W971" s="74"/>
      <c r="X971" s="74"/>
      <c r="Y971" s="74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229"/>
      <c r="K972" s="229"/>
      <c r="L972" s="229"/>
      <c r="M972" s="15"/>
      <c r="N972" s="15"/>
      <c r="O972" s="15"/>
      <c r="P972" s="15"/>
      <c r="Q972" s="15"/>
      <c r="R972" s="15"/>
      <c r="S972" s="15"/>
      <c r="T972" s="15"/>
      <c r="U972" s="74"/>
      <c r="V972" s="74"/>
      <c r="W972" s="74"/>
      <c r="X972" s="74"/>
      <c r="Y972" s="74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229"/>
      <c r="K973" s="229"/>
      <c r="L973" s="229"/>
      <c r="M973" s="15"/>
      <c r="N973" s="15"/>
      <c r="O973" s="15"/>
      <c r="P973" s="15"/>
      <c r="Q973" s="15"/>
      <c r="R973" s="15"/>
      <c r="S973" s="15"/>
      <c r="T973" s="15"/>
      <c r="U973" s="74"/>
      <c r="V973" s="74"/>
      <c r="W973" s="74"/>
      <c r="X973" s="74"/>
      <c r="Y973" s="74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229"/>
      <c r="K974" s="229"/>
      <c r="L974" s="229"/>
      <c r="M974" s="15"/>
      <c r="N974" s="15"/>
      <c r="O974" s="15"/>
      <c r="P974" s="15"/>
      <c r="Q974" s="15"/>
      <c r="R974" s="15"/>
      <c r="S974" s="15"/>
      <c r="T974" s="15"/>
      <c r="U974" s="74"/>
      <c r="V974" s="74"/>
      <c r="W974" s="74"/>
      <c r="X974" s="74"/>
      <c r="Y974" s="74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229"/>
      <c r="K975" s="229"/>
      <c r="L975" s="229"/>
      <c r="M975" s="15"/>
      <c r="N975" s="15"/>
      <c r="O975" s="15"/>
      <c r="P975" s="15"/>
      <c r="Q975" s="15"/>
      <c r="R975" s="15"/>
      <c r="S975" s="15"/>
      <c r="T975" s="15"/>
      <c r="U975" s="74"/>
      <c r="V975" s="74"/>
      <c r="W975" s="74"/>
      <c r="X975" s="74"/>
      <c r="Y975" s="74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229"/>
      <c r="K976" s="229"/>
      <c r="L976" s="229"/>
      <c r="M976" s="15"/>
      <c r="N976" s="15"/>
      <c r="O976" s="15"/>
      <c r="P976" s="15"/>
      <c r="Q976" s="15"/>
      <c r="R976" s="15"/>
      <c r="S976" s="15"/>
      <c r="T976" s="15"/>
      <c r="U976" s="74"/>
      <c r="V976" s="74"/>
      <c r="W976" s="74"/>
      <c r="X976" s="74"/>
      <c r="Y976" s="74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229"/>
      <c r="K977" s="229"/>
      <c r="L977" s="229"/>
      <c r="M977" s="15"/>
      <c r="N977" s="15"/>
      <c r="O977" s="15"/>
      <c r="P977" s="15"/>
      <c r="Q977" s="15"/>
      <c r="R977" s="15"/>
      <c r="S977" s="15"/>
      <c r="T977" s="15"/>
      <c r="U977" s="74"/>
      <c r="V977" s="74"/>
      <c r="W977" s="74"/>
      <c r="X977" s="74"/>
      <c r="Y977" s="74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229"/>
      <c r="K978" s="229"/>
      <c r="L978" s="229"/>
      <c r="M978" s="15"/>
      <c r="N978" s="15"/>
      <c r="O978" s="15"/>
      <c r="P978" s="15"/>
      <c r="Q978" s="15"/>
      <c r="R978" s="15"/>
      <c r="S978" s="15"/>
      <c r="T978" s="15"/>
      <c r="U978" s="74"/>
      <c r="V978" s="74"/>
      <c r="W978" s="74"/>
      <c r="X978" s="74"/>
      <c r="Y978" s="74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229"/>
      <c r="K979" s="229"/>
      <c r="L979" s="229"/>
      <c r="M979" s="15"/>
      <c r="N979" s="15"/>
      <c r="O979" s="15"/>
      <c r="P979" s="15"/>
      <c r="Q979" s="15"/>
      <c r="R979" s="15"/>
      <c r="S979" s="15"/>
      <c r="T979" s="15"/>
      <c r="U979" s="74"/>
      <c r="V979" s="74"/>
      <c r="W979" s="74"/>
      <c r="X979" s="74"/>
      <c r="Y979" s="74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229"/>
      <c r="K980" s="229"/>
      <c r="L980" s="229"/>
      <c r="M980" s="15"/>
      <c r="N980" s="15"/>
      <c r="O980" s="15"/>
      <c r="P980" s="15"/>
      <c r="Q980" s="15"/>
      <c r="R980" s="15"/>
      <c r="S980" s="15"/>
      <c r="T980" s="15"/>
      <c r="U980" s="74"/>
      <c r="V980" s="74"/>
      <c r="W980" s="74"/>
      <c r="X980" s="74"/>
      <c r="Y980" s="74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229"/>
      <c r="K981" s="229"/>
      <c r="L981" s="229"/>
      <c r="M981" s="15"/>
      <c r="N981" s="15"/>
      <c r="O981" s="15"/>
      <c r="P981" s="15"/>
      <c r="Q981" s="15"/>
      <c r="R981" s="15"/>
      <c r="S981" s="15"/>
      <c r="T981" s="15"/>
      <c r="U981" s="74"/>
      <c r="V981" s="74"/>
      <c r="W981" s="74"/>
      <c r="X981" s="74"/>
      <c r="Y981" s="74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229"/>
      <c r="K982" s="229"/>
      <c r="L982" s="229"/>
      <c r="M982" s="15"/>
      <c r="N982" s="15"/>
      <c r="O982" s="15"/>
      <c r="P982" s="15"/>
      <c r="Q982" s="15"/>
      <c r="R982" s="15"/>
      <c r="S982" s="15"/>
      <c r="T982" s="15"/>
      <c r="U982" s="74"/>
      <c r="V982" s="74"/>
      <c r="W982" s="74"/>
      <c r="X982" s="74"/>
      <c r="Y982" s="74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229"/>
      <c r="K983" s="229"/>
      <c r="L983" s="229"/>
      <c r="M983" s="15"/>
      <c r="N983" s="15"/>
      <c r="O983" s="15"/>
      <c r="P983" s="15"/>
      <c r="Q983" s="15"/>
      <c r="R983" s="15"/>
      <c r="S983" s="15"/>
      <c r="T983" s="15"/>
      <c r="U983" s="74"/>
      <c r="V983" s="74"/>
      <c r="W983" s="74"/>
      <c r="X983" s="74"/>
      <c r="Y983" s="74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229"/>
      <c r="K984" s="229"/>
      <c r="L984" s="229"/>
      <c r="M984" s="15"/>
      <c r="N984" s="15"/>
      <c r="O984" s="15"/>
      <c r="P984" s="15"/>
      <c r="Q984" s="15"/>
      <c r="R984" s="15"/>
      <c r="S984" s="15"/>
      <c r="T984" s="15"/>
      <c r="U984" s="74"/>
      <c r="V984" s="74"/>
      <c r="W984" s="74"/>
      <c r="X984" s="74"/>
      <c r="Y984" s="74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229"/>
      <c r="K985" s="229"/>
      <c r="L985" s="229"/>
      <c r="M985" s="15"/>
      <c r="N985" s="15"/>
      <c r="O985" s="15"/>
      <c r="P985" s="15"/>
      <c r="Q985" s="15"/>
      <c r="R985" s="15"/>
      <c r="S985" s="15"/>
      <c r="T985" s="15"/>
      <c r="U985" s="74"/>
      <c r="V985" s="74"/>
      <c r="W985" s="74"/>
      <c r="X985" s="74"/>
      <c r="Y985" s="74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229"/>
      <c r="K986" s="229"/>
      <c r="L986" s="229"/>
      <c r="M986" s="15"/>
      <c r="N986" s="15"/>
      <c r="O986" s="15"/>
      <c r="P986" s="15"/>
      <c r="Q986" s="15"/>
      <c r="R986" s="15"/>
      <c r="S986" s="15"/>
      <c r="T986" s="15"/>
      <c r="U986" s="74"/>
      <c r="V986" s="74"/>
      <c r="W986" s="74"/>
      <c r="X986" s="74"/>
      <c r="Y986" s="74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229"/>
      <c r="K987" s="229"/>
      <c r="L987" s="229"/>
      <c r="M987" s="15"/>
      <c r="N987" s="15"/>
      <c r="O987" s="15"/>
      <c r="P987" s="15"/>
      <c r="Q987" s="15"/>
      <c r="R987" s="15"/>
      <c r="S987" s="15"/>
      <c r="T987" s="15"/>
      <c r="U987" s="74"/>
      <c r="V987" s="74"/>
      <c r="W987" s="74"/>
      <c r="X987" s="74"/>
      <c r="Y987" s="74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229"/>
      <c r="K988" s="229"/>
      <c r="L988" s="229"/>
      <c r="M988" s="15"/>
      <c r="N988" s="15"/>
      <c r="O988" s="15"/>
      <c r="P988" s="15"/>
      <c r="Q988" s="15"/>
      <c r="R988" s="15"/>
      <c r="S988" s="15"/>
      <c r="T988" s="15"/>
      <c r="U988" s="74"/>
      <c r="V988" s="74"/>
      <c r="W988" s="74"/>
      <c r="X988" s="74"/>
      <c r="Y988" s="74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229"/>
      <c r="K989" s="229"/>
      <c r="L989" s="229"/>
      <c r="M989" s="15"/>
      <c r="N989" s="15"/>
      <c r="O989" s="15"/>
      <c r="P989" s="15"/>
      <c r="Q989" s="15"/>
      <c r="R989" s="15"/>
      <c r="S989" s="15"/>
      <c r="T989" s="15"/>
      <c r="U989" s="74"/>
      <c r="V989" s="74"/>
      <c r="W989" s="74"/>
      <c r="X989" s="74"/>
      <c r="Y989" s="74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229"/>
      <c r="K990" s="229"/>
      <c r="L990" s="229"/>
      <c r="M990" s="15"/>
      <c r="N990" s="15"/>
      <c r="O990" s="15"/>
      <c r="P990" s="15"/>
      <c r="Q990" s="15"/>
      <c r="R990" s="15"/>
      <c r="S990" s="15"/>
      <c r="T990" s="15"/>
      <c r="U990" s="74"/>
      <c r="V990" s="74"/>
      <c r="W990" s="74"/>
      <c r="X990" s="74"/>
      <c r="Y990" s="74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229"/>
      <c r="K991" s="229"/>
      <c r="L991" s="229"/>
      <c r="M991" s="15"/>
      <c r="N991" s="15"/>
      <c r="O991" s="15"/>
      <c r="P991" s="15"/>
      <c r="Q991" s="15"/>
      <c r="R991" s="15"/>
      <c r="S991" s="15"/>
      <c r="T991" s="15"/>
      <c r="U991" s="74"/>
      <c r="V991" s="74"/>
      <c r="W991" s="74"/>
      <c r="X991" s="74"/>
      <c r="Y991" s="74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229"/>
      <c r="K992" s="229"/>
      <c r="L992" s="229"/>
      <c r="M992" s="15"/>
      <c r="N992" s="15"/>
      <c r="O992" s="15"/>
      <c r="P992" s="15"/>
      <c r="Q992" s="15"/>
      <c r="R992" s="15"/>
      <c r="S992" s="15"/>
      <c r="T992" s="15"/>
      <c r="U992" s="74"/>
      <c r="V992" s="74"/>
      <c r="W992" s="74"/>
      <c r="X992" s="74"/>
      <c r="Y992" s="74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229"/>
      <c r="K993" s="229"/>
      <c r="L993" s="229"/>
      <c r="M993" s="15"/>
      <c r="N993" s="15"/>
      <c r="O993" s="15"/>
      <c r="P993" s="15"/>
      <c r="Q993" s="15"/>
      <c r="R993" s="15"/>
      <c r="S993" s="15"/>
      <c r="T993" s="15"/>
      <c r="U993" s="74"/>
      <c r="V993" s="74"/>
      <c r="W993" s="74"/>
      <c r="X993" s="74"/>
      <c r="Y993" s="74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229"/>
      <c r="K994" s="229"/>
      <c r="L994" s="229"/>
      <c r="M994" s="15"/>
      <c r="N994" s="15"/>
      <c r="O994" s="15"/>
      <c r="P994" s="15"/>
      <c r="Q994" s="15"/>
      <c r="R994" s="15"/>
      <c r="S994" s="15"/>
      <c r="T994" s="15"/>
      <c r="U994" s="74"/>
      <c r="V994" s="74"/>
      <c r="W994" s="74"/>
      <c r="X994" s="74"/>
      <c r="Y994" s="74"/>
      <c r="Z994" s="15"/>
    </row>
  </sheetData>
  <autoFilter ref="$A$1:$Z$994"/>
  <mergeCells count="18">
    <mergeCell ref="A10:B10"/>
    <mergeCell ref="A17:B17"/>
    <mergeCell ref="A23:B23"/>
    <mergeCell ref="A29:B29"/>
    <mergeCell ref="A33:B33"/>
    <mergeCell ref="A36:B36"/>
    <mergeCell ref="A38:B38"/>
    <mergeCell ref="A67:B67"/>
    <mergeCell ref="A70:B70"/>
    <mergeCell ref="A76:B76"/>
    <mergeCell ref="A80:B80"/>
    <mergeCell ref="A41:B41"/>
    <mergeCell ref="A45:B45"/>
    <mergeCell ref="A49:B49"/>
    <mergeCell ref="A51:B51"/>
    <mergeCell ref="A55:B55"/>
    <mergeCell ref="A59:B59"/>
    <mergeCell ref="A63:B63"/>
  </mergeCells>
  <hyperlinks>
    <hyperlink r:id="rId4" ref="A22"/>
  </hyperlinks>
  <drawing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1.75"/>
    <col customWidth="1" min="2" max="2" width="17.88"/>
  </cols>
  <sheetData>
    <row r="1">
      <c r="A1" s="2" t="s">
        <v>0</v>
      </c>
      <c r="B1" s="5" t="s">
        <v>1</v>
      </c>
      <c r="C1" s="5" t="s">
        <v>2</v>
      </c>
      <c r="D1" s="5" t="s">
        <v>3</v>
      </c>
      <c r="E1" s="8" t="s">
        <v>5</v>
      </c>
      <c r="F1" s="8" t="s">
        <v>9</v>
      </c>
      <c r="G1" s="10" t="s">
        <v>13</v>
      </c>
      <c r="H1" s="8" t="s">
        <v>20</v>
      </c>
      <c r="I1" s="12" t="s">
        <v>21</v>
      </c>
      <c r="J1" s="15" t="s">
        <v>22</v>
      </c>
    </row>
    <row r="2">
      <c r="A2" s="17" t="s">
        <v>23</v>
      </c>
      <c r="B2" s="18" t="s">
        <v>24</v>
      </c>
      <c r="C2" s="21">
        <v>1163534.0</v>
      </c>
      <c r="D2" s="21">
        <v>2713.0</v>
      </c>
      <c r="E2" s="38">
        <f t="shared" ref="E2:E51" si="1">F2/1.22</f>
        <v>326181.6328</v>
      </c>
      <c r="F2" s="38">
        <f t="shared" ref="F2:F7" si="2">G2/1.005</f>
        <v>397941.592</v>
      </c>
      <c r="G2" s="44">
        <v>399931.3</v>
      </c>
      <c r="H2" s="38">
        <f t="shared" ref="H2:H9" si="3">E2/C2*1000</f>
        <v>280.3370016</v>
      </c>
      <c r="I2" s="49">
        <f t="shared" ref="I2:I114" si="4">E2/D2</f>
        <v>120.2291312</v>
      </c>
      <c r="J2" s="15"/>
    </row>
    <row r="3">
      <c r="A3" s="17" t="s">
        <v>35</v>
      </c>
      <c r="B3" s="18" t="s">
        <v>24</v>
      </c>
      <c r="C3" s="21">
        <v>2187702.0</v>
      </c>
      <c r="D3" s="21">
        <v>1595.0</v>
      </c>
      <c r="E3" s="38">
        <f t="shared" si="1"/>
        <v>298532.7787</v>
      </c>
      <c r="F3" s="38">
        <f t="shared" si="2"/>
        <v>364209.99</v>
      </c>
      <c r="G3" s="44">
        <v>366031.04</v>
      </c>
      <c r="H3" s="38">
        <f t="shared" si="3"/>
        <v>136.4595264</v>
      </c>
      <c r="I3" s="49">
        <f t="shared" si="4"/>
        <v>187.1678864</v>
      </c>
      <c r="J3" s="15"/>
    </row>
    <row r="4">
      <c r="A4" s="54" t="s">
        <v>37</v>
      </c>
      <c r="B4" s="18" t="s">
        <v>24</v>
      </c>
      <c r="C4" s="21">
        <v>2400518.0</v>
      </c>
      <c r="D4" s="21">
        <v>21211.0</v>
      </c>
      <c r="E4" s="38">
        <f t="shared" si="1"/>
        <v>328537.6397</v>
      </c>
      <c r="F4" s="38">
        <f t="shared" si="2"/>
        <v>400815.9204</v>
      </c>
      <c r="G4" s="44">
        <v>402820.0</v>
      </c>
      <c r="H4" s="38">
        <f t="shared" si="3"/>
        <v>136.861144</v>
      </c>
      <c r="I4" s="49">
        <f t="shared" si="4"/>
        <v>15.48902172</v>
      </c>
      <c r="J4" s="15"/>
    </row>
    <row r="5">
      <c r="A5" s="61" t="s">
        <v>39</v>
      </c>
      <c r="B5" s="18" t="s">
        <v>24</v>
      </c>
      <c r="C5" s="21">
        <v>1934324.0</v>
      </c>
      <c r="D5" s="21">
        <v>25737.0</v>
      </c>
      <c r="E5" s="38">
        <f t="shared" si="1"/>
        <v>306579.3981</v>
      </c>
      <c r="F5" s="38">
        <f t="shared" si="2"/>
        <v>374026.8657</v>
      </c>
      <c r="G5" s="66">
        <v>375897.0</v>
      </c>
      <c r="H5" s="38">
        <f t="shared" si="3"/>
        <v>158.4943361</v>
      </c>
      <c r="I5" s="49">
        <f t="shared" si="4"/>
        <v>11.91200987</v>
      </c>
      <c r="J5" s="15"/>
    </row>
    <row r="6">
      <c r="A6" s="17" t="s">
        <v>41</v>
      </c>
      <c r="B6" s="18" t="s">
        <v>24</v>
      </c>
      <c r="C6" s="21">
        <v>1676209.0</v>
      </c>
      <c r="D6" s="21">
        <v>14016.0</v>
      </c>
      <c r="E6" s="38">
        <f t="shared" si="1"/>
        <v>431848.952</v>
      </c>
      <c r="F6" s="38">
        <f t="shared" si="2"/>
        <v>526855.7214</v>
      </c>
      <c r="G6" s="44">
        <v>529490.0</v>
      </c>
      <c r="H6" s="38">
        <f t="shared" si="3"/>
        <v>257.6343117</v>
      </c>
      <c r="I6" s="49">
        <f t="shared" si="4"/>
        <v>30.81114098</v>
      </c>
      <c r="J6" s="15"/>
    </row>
    <row r="7">
      <c r="A7" s="61" t="s">
        <v>40</v>
      </c>
      <c r="B7" s="18" t="s">
        <v>24</v>
      </c>
      <c r="C7" s="21">
        <v>3554331.0</v>
      </c>
      <c r="D7" s="21">
        <v>9055.0</v>
      </c>
      <c r="E7" s="38">
        <f t="shared" si="1"/>
        <v>228540.0865</v>
      </c>
      <c r="F7" s="38">
        <f t="shared" si="2"/>
        <v>278818.9055</v>
      </c>
      <c r="G7" s="44">
        <v>280213.0</v>
      </c>
      <c r="H7" s="38">
        <f t="shared" si="3"/>
        <v>64.29904431</v>
      </c>
      <c r="I7" s="49">
        <f t="shared" si="4"/>
        <v>25.23910397</v>
      </c>
      <c r="J7" s="15"/>
    </row>
    <row r="8">
      <c r="A8" s="17" t="s">
        <v>42</v>
      </c>
      <c r="B8" s="18" t="s">
        <v>24</v>
      </c>
      <c r="C8" s="21">
        <v>1019805.0</v>
      </c>
      <c r="D8" s="21">
        <v>6549.0</v>
      </c>
      <c r="E8" s="38">
        <f t="shared" si="1"/>
        <v>171755.5574</v>
      </c>
      <c r="F8" s="44">
        <v>209541.78</v>
      </c>
      <c r="G8" s="73">
        <f>F8*1.005</f>
        <v>210589.4889</v>
      </c>
      <c r="H8" s="38">
        <f t="shared" si="3"/>
        <v>168.4199993</v>
      </c>
      <c r="I8" s="49">
        <f t="shared" si="4"/>
        <v>26.2262265</v>
      </c>
      <c r="J8" s="74">
        <f>H8*1.22</f>
        <v>205.4723991</v>
      </c>
    </row>
    <row r="9">
      <c r="A9" s="61" t="s">
        <v>45</v>
      </c>
      <c r="B9" s="18" t="s">
        <v>24</v>
      </c>
      <c r="C9" s="21">
        <v>3026962.0</v>
      </c>
      <c r="D9" s="21">
        <v>19369.0</v>
      </c>
      <c r="E9" s="38">
        <f t="shared" si="1"/>
        <v>439346.4481</v>
      </c>
      <c r="F9" s="38">
        <f>G9/1.005</f>
        <v>536002.6667</v>
      </c>
      <c r="G9" s="44">
        <v>538682.68</v>
      </c>
      <c r="H9" s="38">
        <f t="shared" si="3"/>
        <v>145.1443553</v>
      </c>
      <c r="I9" s="49">
        <f t="shared" si="4"/>
        <v>22.68297011</v>
      </c>
      <c r="J9" s="15"/>
    </row>
    <row r="10">
      <c r="A10" s="76" t="s">
        <v>46</v>
      </c>
      <c r="B10" s="78"/>
      <c r="C10" s="80">
        <f t="shared" ref="C10:D10" si="5">SUM(C2:C9)</f>
        <v>16963385</v>
      </c>
      <c r="D10" s="80">
        <f t="shared" si="5"/>
        <v>100245</v>
      </c>
      <c r="E10" s="81">
        <f t="shared" si="1"/>
        <v>2531322.493</v>
      </c>
      <c r="F10" s="81">
        <f t="shared" ref="F10:G10" si="6">SUM(F2:F9)</f>
        <v>3088213.442</v>
      </c>
      <c r="G10" s="81">
        <f t="shared" si="6"/>
        <v>3103654.509</v>
      </c>
      <c r="H10" s="81">
        <f>E10/(C10/1000)</f>
        <v>149.2227225</v>
      </c>
      <c r="I10" s="84">
        <f t="shared" si="4"/>
        <v>25.2513591</v>
      </c>
      <c r="J10" s="15"/>
    </row>
    <row r="11">
      <c r="A11" s="17" t="s">
        <v>23</v>
      </c>
      <c r="B11" s="18" t="s">
        <v>53</v>
      </c>
      <c r="C11" s="21">
        <v>1250540.0</v>
      </c>
      <c r="D11" s="21">
        <v>2839.0</v>
      </c>
      <c r="E11" s="38">
        <f t="shared" si="1"/>
        <v>300720.3359</v>
      </c>
      <c r="F11" s="38">
        <f t="shared" ref="F11:F20" si="7">G11/1.005</f>
        <v>366878.8097</v>
      </c>
      <c r="G11" s="38">
        <v>368713.203789</v>
      </c>
      <c r="H11" s="38">
        <f t="shared" ref="H11:H20" si="8">E11/C11*1000</f>
        <v>240.4723846</v>
      </c>
      <c r="I11" s="49">
        <f t="shared" si="4"/>
        <v>105.9247396</v>
      </c>
      <c r="J11" s="15"/>
    </row>
    <row r="12">
      <c r="A12" s="17" t="s">
        <v>55</v>
      </c>
      <c r="B12" s="18" t="s">
        <v>53</v>
      </c>
      <c r="C12" s="21">
        <v>258288.0</v>
      </c>
      <c r="D12" s="21">
        <v>472.0</v>
      </c>
      <c r="E12" s="38">
        <f t="shared" si="1"/>
        <v>576239.6643</v>
      </c>
      <c r="F12" s="38">
        <f t="shared" si="7"/>
        <v>703012.3904</v>
      </c>
      <c r="G12" s="38">
        <v>706527.4524000001</v>
      </c>
      <c r="H12" s="38">
        <f t="shared" si="8"/>
        <v>2230.996656</v>
      </c>
      <c r="I12" s="49">
        <f t="shared" si="4"/>
        <v>1220.846746</v>
      </c>
      <c r="J12" s="15"/>
    </row>
    <row r="13">
      <c r="A13" s="17" t="s">
        <v>56</v>
      </c>
      <c r="B13" s="18" t="s">
        <v>53</v>
      </c>
      <c r="C13" s="21">
        <v>123766.0</v>
      </c>
      <c r="D13" s="21">
        <v>764.0</v>
      </c>
      <c r="E13" s="38">
        <f t="shared" si="1"/>
        <v>40800.09787</v>
      </c>
      <c r="F13" s="38">
        <f t="shared" si="7"/>
        <v>49776.1194</v>
      </c>
      <c r="G13" s="44">
        <v>50025.0</v>
      </c>
      <c r="H13" s="38">
        <f t="shared" si="8"/>
        <v>329.6551385</v>
      </c>
      <c r="I13" s="49">
        <f t="shared" si="4"/>
        <v>53.40326947</v>
      </c>
      <c r="J13" s="15"/>
    </row>
    <row r="14">
      <c r="A14" s="17" t="s">
        <v>57</v>
      </c>
      <c r="B14" s="18" t="s">
        <v>53</v>
      </c>
      <c r="C14" s="86">
        <v>1081679.0</v>
      </c>
      <c r="D14" s="87">
        <v>18972.0</v>
      </c>
      <c r="E14" s="38">
        <f t="shared" si="1"/>
        <v>270419.75</v>
      </c>
      <c r="F14" s="38">
        <f t="shared" si="7"/>
        <v>329912.095</v>
      </c>
      <c r="G14" s="38">
        <v>331561.6554749999</v>
      </c>
      <c r="H14" s="38">
        <f t="shared" si="8"/>
        <v>250</v>
      </c>
      <c r="I14" s="49">
        <f t="shared" si="4"/>
        <v>14.25362376</v>
      </c>
      <c r="J14" s="15"/>
    </row>
    <row r="15">
      <c r="A15" s="17" t="s">
        <v>41</v>
      </c>
      <c r="B15" s="18" t="s">
        <v>53</v>
      </c>
      <c r="C15" s="86">
        <v>1502493.0</v>
      </c>
      <c r="D15" s="86">
        <v>6358.0</v>
      </c>
      <c r="E15" s="38">
        <f t="shared" si="1"/>
        <v>311497.43</v>
      </c>
      <c r="F15" s="38">
        <f t="shared" si="7"/>
        <v>380026.8646</v>
      </c>
      <c r="G15" s="38">
        <v>381926.99892299995</v>
      </c>
      <c r="H15" s="38">
        <f t="shared" si="8"/>
        <v>207.3203869</v>
      </c>
      <c r="I15" s="49">
        <f t="shared" si="4"/>
        <v>48.99298993</v>
      </c>
      <c r="J15" s="15"/>
    </row>
    <row r="16">
      <c r="A16" s="17" t="s">
        <v>58</v>
      </c>
      <c r="B16" s="18" t="s">
        <v>53</v>
      </c>
      <c r="C16" s="86">
        <v>2342641.0</v>
      </c>
      <c r="D16" s="87">
        <v>39069.0</v>
      </c>
      <c r="E16" s="38">
        <f t="shared" si="1"/>
        <v>737931.915</v>
      </c>
      <c r="F16" s="38">
        <f t="shared" si="7"/>
        <v>900276.9363</v>
      </c>
      <c r="G16" s="38">
        <v>904778.3209815002</v>
      </c>
      <c r="H16" s="38">
        <f t="shared" si="8"/>
        <v>315</v>
      </c>
      <c r="I16" s="49">
        <f t="shared" si="4"/>
        <v>18.88791408</v>
      </c>
      <c r="J16" s="15"/>
    </row>
    <row r="17">
      <c r="A17" s="17" t="s">
        <v>59</v>
      </c>
      <c r="B17" s="18" t="s">
        <v>53</v>
      </c>
      <c r="C17" s="87">
        <v>2034729.0</v>
      </c>
      <c r="D17" s="87">
        <v>29493.0</v>
      </c>
      <c r="E17" s="38">
        <f t="shared" si="1"/>
        <v>245509.1421</v>
      </c>
      <c r="F17" s="38">
        <f t="shared" si="7"/>
        <v>299521.1533</v>
      </c>
      <c r="G17" s="38">
        <v>301018.759116</v>
      </c>
      <c r="H17" s="38">
        <f t="shared" si="8"/>
        <v>120.6593812</v>
      </c>
      <c r="I17" s="49">
        <f t="shared" si="4"/>
        <v>8.324319062</v>
      </c>
      <c r="J17" s="15"/>
    </row>
    <row r="18">
      <c r="A18" s="17" t="s">
        <v>60</v>
      </c>
      <c r="B18" s="18" t="s">
        <v>53</v>
      </c>
      <c r="C18" s="87">
        <v>930241.0</v>
      </c>
      <c r="D18" s="87">
        <v>3409.0</v>
      </c>
      <c r="E18" s="38">
        <f t="shared" si="1"/>
        <v>108708.5926</v>
      </c>
      <c r="F18" s="38">
        <f t="shared" si="7"/>
        <v>132624.483</v>
      </c>
      <c r="G18" s="38">
        <v>133287.60541299998</v>
      </c>
      <c r="H18" s="38">
        <f t="shared" si="8"/>
        <v>116.8606766</v>
      </c>
      <c r="I18" s="49">
        <f t="shared" si="4"/>
        <v>31.8887042</v>
      </c>
      <c r="J18" s="15"/>
    </row>
    <row r="19">
      <c r="A19" s="61" t="s">
        <v>45</v>
      </c>
      <c r="B19" s="18" t="s">
        <v>53</v>
      </c>
      <c r="C19" s="87">
        <v>1.0419154E7</v>
      </c>
      <c r="D19" s="87">
        <v>116305.00100464003</v>
      </c>
      <c r="E19" s="38">
        <f t="shared" si="1"/>
        <v>1930431.43</v>
      </c>
      <c r="F19" s="38">
        <f t="shared" si="7"/>
        <v>2355126.345</v>
      </c>
      <c r="G19" s="38">
        <v>2366901.976322999</v>
      </c>
      <c r="H19" s="38">
        <f t="shared" si="8"/>
        <v>185.2771761</v>
      </c>
      <c r="I19" s="49">
        <f t="shared" si="4"/>
        <v>16.5980088</v>
      </c>
      <c r="J19" s="15"/>
    </row>
    <row r="20">
      <c r="A20" s="94" t="s">
        <v>61</v>
      </c>
      <c r="B20" s="18" t="s">
        <v>53</v>
      </c>
      <c r="C20" s="87">
        <v>573143.0</v>
      </c>
      <c r="D20" s="87">
        <v>2459.0</v>
      </c>
      <c r="E20" s="38">
        <f t="shared" si="1"/>
        <v>114553.58</v>
      </c>
      <c r="F20" s="38">
        <f t="shared" si="7"/>
        <v>139755.3676</v>
      </c>
      <c r="G20" s="38">
        <v>140454.144438</v>
      </c>
      <c r="H20" s="38">
        <f t="shared" si="8"/>
        <v>199.8691077</v>
      </c>
      <c r="I20" s="49">
        <f t="shared" si="4"/>
        <v>46.5854331</v>
      </c>
      <c r="J20" s="15"/>
    </row>
    <row r="21">
      <c r="A21" s="76" t="s">
        <v>46</v>
      </c>
      <c r="B21" s="78"/>
      <c r="C21" s="80">
        <f t="shared" ref="C21:D21" si="9">SUM(C11:C20)</f>
        <v>20516674</v>
      </c>
      <c r="D21" s="80">
        <f t="shared" si="9"/>
        <v>220140.001</v>
      </c>
      <c r="E21" s="81">
        <f t="shared" si="1"/>
        <v>4636811.938</v>
      </c>
      <c r="F21" s="81">
        <f t="shared" ref="F21:G21" si="10">SUM(F11:F20)</f>
        <v>5656910.564</v>
      </c>
      <c r="G21" s="81">
        <f t="shared" si="10"/>
        <v>5685195.117</v>
      </c>
      <c r="H21" s="81">
        <f>E21/(C21/1000)</f>
        <v>226.0021258</v>
      </c>
      <c r="I21" s="84">
        <f t="shared" si="4"/>
        <v>21.06301407</v>
      </c>
      <c r="J21" s="15"/>
    </row>
    <row r="22">
      <c r="A22" s="17" t="s">
        <v>51</v>
      </c>
      <c r="B22" s="18" t="s">
        <v>62</v>
      </c>
      <c r="C22" s="21">
        <v>1404626.0</v>
      </c>
      <c r="D22" s="21">
        <v>3456.0</v>
      </c>
      <c r="E22" s="38">
        <f t="shared" si="1"/>
        <v>426633.5617</v>
      </c>
      <c r="F22" s="38">
        <f t="shared" ref="F22:F32" si="11">G22/1.005</f>
        <v>520492.9453</v>
      </c>
      <c r="G22" s="44">
        <v>523095.41</v>
      </c>
      <c r="H22" s="38">
        <f t="shared" ref="H22:H32" si="12">E22/C22*1000</f>
        <v>303.7346324</v>
      </c>
      <c r="I22" s="49">
        <f t="shared" si="4"/>
        <v>123.4472111</v>
      </c>
      <c r="J22" s="15"/>
    </row>
    <row r="23">
      <c r="A23" s="17" t="s">
        <v>23</v>
      </c>
      <c r="B23" s="18" t="s">
        <v>62</v>
      </c>
      <c r="C23" s="21">
        <v>531161.0</v>
      </c>
      <c r="D23" s="21">
        <v>1176.0</v>
      </c>
      <c r="E23" s="38">
        <f t="shared" si="1"/>
        <v>183733.5943</v>
      </c>
      <c r="F23" s="38">
        <f t="shared" si="11"/>
        <v>224154.9851</v>
      </c>
      <c r="G23" s="44">
        <v>225275.76</v>
      </c>
      <c r="H23" s="38">
        <f t="shared" si="12"/>
        <v>345.9094217</v>
      </c>
      <c r="I23" s="49">
        <f t="shared" si="4"/>
        <v>156.2360496</v>
      </c>
      <c r="J23" s="15"/>
    </row>
    <row r="24">
      <c r="A24" s="17" t="s">
        <v>54</v>
      </c>
      <c r="B24" s="18" t="s">
        <v>62</v>
      </c>
      <c r="C24" s="21">
        <v>651449.0</v>
      </c>
      <c r="D24" s="21">
        <v>1648.0</v>
      </c>
      <c r="E24" s="38">
        <f t="shared" si="1"/>
        <v>225696.6805</v>
      </c>
      <c r="F24" s="38">
        <f t="shared" si="11"/>
        <v>275349.9502</v>
      </c>
      <c r="G24" s="44">
        <v>276726.7</v>
      </c>
      <c r="H24" s="38">
        <f t="shared" si="12"/>
        <v>346.4533379</v>
      </c>
      <c r="I24" s="49">
        <f t="shared" si="4"/>
        <v>136.9518693</v>
      </c>
      <c r="J24" s="15"/>
    </row>
    <row r="25">
      <c r="A25" s="17" t="s">
        <v>35</v>
      </c>
      <c r="B25" s="18" t="s">
        <v>62</v>
      </c>
      <c r="C25" s="21">
        <v>1740930.0</v>
      </c>
      <c r="D25" s="21">
        <v>2069.0</v>
      </c>
      <c r="E25" s="38">
        <f t="shared" si="1"/>
        <v>327503.5315</v>
      </c>
      <c r="F25" s="38">
        <f t="shared" si="11"/>
        <v>399554.3085</v>
      </c>
      <c r="G25" s="44">
        <v>401552.08</v>
      </c>
      <c r="H25" s="38">
        <f t="shared" si="12"/>
        <v>188.1198736</v>
      </c>
      <c r="I25" s="49">
        <f t="shared" si="4"/>
        <v>158.2907354</v>
      </c>
      <c r="J25" s="15"/>
    </row>
    <row r="26">
      <c r="A26" s="17" t="s">
        <v>63</v>
      </c>
      <c r="B26" s="18" t="s">
        <v>62</v>
      </c>
      <c r="C26" s="21">
        <v>2150000.0</v>
      </c>
      <c r="D26" s="21">
        <v>12264.0</v>
      </c>
      <c r="E26" s="38">
        <f t="shared" si="1"/>
        <v>1804379.741</v>
      </c>
      <c r="F26" s="38">
        <f t="shared" si="11"/>
        <v>2201343.284</v>
      </c>
      <c r="G26" s="44">
        <v>2212350.0</v>
      </c>
      <c r="H26" s="38">
        <f t="shared" si="12"/>
        <v>839.246391</v>
      </c>
      <c r="I26" s="49">
        <f t="shared" si="4"/>
        <v>147.1281589</v>
      </c>
      <c r="J26" s="15"/>
    </row>
    <row r="27">
      <c r="A27" s="17" t="s">
        <v>58</v>
      </c>
      <c r="B27" s="18" t="s">
        <v>62</v>
      </c>
      <c r="C27" s="21">
        <v>2470101.0</v>
      </c>
      <c r="D27" s="21">
        <v>3278.0</v>
      </c>
      <c r="E27" s="38">
        <f t="shared" si="1"/>
        <v>407566.267</v>
      </c>
      <c r="F27" s="38">
        <f t="shared" si="11"/>
        <v>497230.8458</v>
      </c>
      <c r="G27" s="44">
        <v>499717.0</v>
      </c>
      <c r="H27" s="38">
        <f t="shared" si="12"/>
        <v>164.9998389</v>
      </c>
      <c r="I27" s="49">
        <f t="shared" si="4"/>
        <v>124.3338215</v>
      </c>
      <c r="J27" s="15"/>
    </row>
    <row r="28">
      <c r="A28" s="61" t="s">
        <v>39</v>
      </c>
      <c r="B28" s="18" t="s">
        <v>62</v>
      </c>
      <c r="C28" s="21">
        <v>2618813.0</v>
      </c>
      <c r="D28" s="21">
        <v>34404.0</v>
      </c>
      <c r="E28" s="38">
        <f t="shared" si="1"/>
        <v>408342.7127</v>
      </c>
      <c r="F28" s="38">
        <f t="shared" si="11"/>
        <v>498178.1095</v>
      </c>
      <c r="G28" s="44">
        <v>500669.0</v>
      </c>
      <c r="H28" s="38">
        <f t="shared" si="12"/>
        <v>155.9266403</v>
      </c>
      <c r="I28" s="49">
        <f t="shared" si="4"/>
        <v>11.86904757</v>
      </c>
      <c r="J28" s="15"/>
    </row>
    <row r="29">
      <c r="A29" s="17" t="s">
        <v>64</v>
      </c>
      <c r="B29" s="18" t="s">
        <v>62</v>
      </c>
      <c r="C29" s="21">
        <v>53299.0</v>
      </c>
      <c r="D29" s="21">
        <v>134.0</v>
      </c>
      <c r="E29" s="38">
        <f t="shared" si="1"/>
        <v>1821.22176</v>
      </c>
      <c r="F29" s="38">
        <f t="shared" si="11"/>
        <v>2221.890547</v>
      </c>
      <c r="G29" s="44">
        <v>2233.0</v>
      </c>
      <c r="H29" s="38">
        <f t="shared" si="12"/>
        <v>34.16990488</v>
      </c>
      <c r="I29" s="49">
        <f t="shared" si="4"/>
        <v>13.59120716</v>
      </c>
      <c r="J29" s="74">
        <f>H29*1.22</f>
        <v>41.68728395</v>
      </c>
    </row>
    <row r="30">
      <c r="A30" s="61" t="s">
        <v>40</v>
      </c>
      <c r="B30" s="18" t="s">
        <v>62</v>
      </c>
      <c r="C30" s="21">
        <v>3284188.0</v>
      </c>
      <c r="D30" s="21">
        <v>8507.0</v>
      </c>
      <c r="E30" s="38">
        <f t="shared" si="1"/>
        <v>295573.7705</v>
      </c>
      <c r="F30" s="38">
        <f t="shared" si="11"/>
        <v>360600</v>
      </c>
      <c r="G30" s="44">
        <v>362403.0</v>
      </c>
      <c r="H30" s="38">
        <f t="shared" si="12"/>
        <v>89.99904101</v>
      </c>
      <c r="I30" s="49">
        <f t="shared" si="4"/>
        <v>34.74477142</v>
      </c>
      <c r="J30" s="15"/>
    </row>
    <row r="31">
      <c r="A31" s="100" t="s">
        <v>41</v>
      </c>
      <c r="B31" s="18" t="s">
        <v>62</v>
      </c>
      <c r="C31" s="21">
        <v>2669218.0</v>
      </c>
      <c r="D31" s="21">
        <v>14602.0</v>
      </c>
      <c r="E31" s="38">
        <f t="shared" si="1"/>
        <v>705811.1084</v>
      </c>
      <c r="F31" s="38">
        <f t="shared" si="11"/>
        <v>861089.5522</v>
      </c>
      <c r="G31" s="44">
        <v>865395.0</v>
      </c>
      <c r="H31" s="38">
        <f t="shared" si="12"/>
        <v>264.4261759</v>
      </c>
      <c r="I31" s="49">
        <f t="shared" si="4"/>
        <v>48.33660515</v>
      </c>
      <c r="J31" s="15"/>
    </row>
    <row r="32">
      <c r="A32" s="61" t="s">
        <v>45</v>
      </c>
      <c r="B32" s="18" t="s">
        <v>62</v>
      </c>
      <c r="C32" s="21">
        <v>5032099.0</v>
      </c>
      <c r="D32" s="21">
        <v>53356.0</v>
      </c>
      <c r="E32" s="38">
        <f t="shared" si="1"/>
        <v>1000000.359</v>
      </c>
      <c r="F32" s="38">
        <f t="shared" si="11"/>
        <v>1220000.438</v>
      </c>
      <c r="G32" s="44">
        <v>1226100.44</v>
      </c>
      <c r="H32" s="38">
        <f t="shared" si="12"/>
        <v>198.7243015</v>
      </c>
      <c r="I32" s="49">
        <f t="shared" si="4"/>
        <v>18.74204136</v>
      </c>
      <c r="J32" s="15"/>
    </row>
    <row r="33">
      <c r="A33" s="76" t="s">
        <v>46</v>
      </c>
      <c r="B33" s="78"/>
      <c r="C33" s="80">
        <f t="shared" ref="C33:D33" si="13">SUM(C22:C32)</f>
        <v>22605884</v>
      </c>
      <c r="D33" s="80">
        <f t="shared" si="13"/>
        <v>134894</v>
      </c>
      <c r="E33" s="81">
        <f t="shared" si="1"/>
        <v>5787062.548</v>
      </c>
      <c r="F33" s="81">
        <f t="shared" ref="F33:G33" si="14">SUM(F22:F32)</f>
        <v>7060216.308</v>
      </c>
      <c r="G33" s="81">
        <f t="shared" si="14"/>
        <v>7095517.39</v>
      </c>
      <c r="H33" s="81">
        <f>E33/(C33/1000)</f>
        <v>255.9980644</v>
      </c>
      <c r="I33" s="84">
        <f t="shared" si="4"/>
        <v>42.90081507</v>
      </c>
      <c r="J33" s="15"/>
    </row>
    <row r="34">
      <c r="A34" s="17" t="s">
        <v>54</v>
      </c>
      <c r="B34" s="18" t="s">
        <v>65</v>
      </c>
      <c r="C34" s="21">
        <v>1230776.0</v>
      </c>
      <c r="D34" s="21">
        <v>3668.0</v>
      </c>
      <c r="E34" s="38">
        <f t="shared" si="1"/>
        <v>414977.1888</v>
      </c>
      <c r="F34" s="38">
        <f t="shared" ref="F34:F39" si="15">G34/1.005</f>
        <v>506272.1704</v>
      </c>
      <c r="G34" s="38">
        <v>508803.5312322617</v>
      </c>
      <c r="H34" s="38">
        <f t="shared" ref="H34:H44" si="16">E34/C34*1000</f>
        <v>337.1671115</v>
      </c>
      <c r="I34" s="49">
        <f t="shared" si="4"/>
        <v>113.1344572</v>
      </c>
      <c r="J34" s="15"/>
    </row>
    <row r="35">
      <c r="A35" s="17" t="s">
        <v>35</v>
      </c>
      <c r="B35" s="18" t="s">
        <v>65</v>
      </c>
      <c r="C35" s="21">
        <v>1485988.0</v>
      </c>
      <c r="D35" s="21">
        <v>2022.0</v>
      </c>
      <c r="E35" s="38">
        <f t="shared" si="1"/>
        <v>325744.1007</v>
      </c>
      <c r="F35" s="38">
        <f t="shared" si="15"/>
        <v>397407.8028</v>
      </c>
      <c r="G35" s="38">
        <v>399394.84182324994</v>
      </c>
      <c r="H35" s="38">
        <f t="shared" si="16"/>
        <v>219.2104517</v>
      </c>
      <c r="I35" s="49">
        <f t="shared" si="4"/>
        <v>161.0999509</v>
      </c>
      <c r="J35" s="15"/>
    </row>
    <row r="36">
      <c r="A36" s="17" t="s">
        <v>51</v>
      </c>
      <c r="B36" s="18" t="s">
        <v>65</v>
      </c>
      <c r="C36" s="21">
        <v>1615609.0</v>
      </c>
      <c r="D36" s="21">
        <v>3551.0</v>
      </c>
      <c r="E36" s="38">
        <f t="shared" si="1"/>
        <v>496416.4467</v>
      </c>
      <c r="F36" s="38">
        <f t="shared" si="15"/>
        <v>605628.065</v>
      </c>
      <c r="G36" s="44">
        <v>608656.2053562703</v>
      </c>
      <c r="H36" s="38">
        <f t="shared" si="16"/>
        <v>307.2627392</v>
      </c>
      <c r="I36" s="49">
        <f t="shared" si="4"/>
        <v>139.7962396</v>
      </c>
      <c r="J36" s="15"/>
    </row>
    <row r="37">
      <c r="A37" s="100" t="s">
        <v>41</v>
      </c>
      <c r="B37" s="18" t="s">
        <v>65</v>
      </c>
      <c r="C37" s="86">
        <v>1840236.0</v>
      </c>
      <c r="D37" s="87">
        <v>10204.0</v>
      </c>
      <c r="E37" s="38">
        <f t="shared" si="1"/>
        <v>496893.42</v>
      </c>
      <c r="F37" s="38">
        <f t="shared" si="15"/>
        <v>606209.9724</v>
      </c>
      <c r="G37" s="38">
        <v>609241.0222619999</v>
      </c>
      <c r="H37" s="38">
        <f t="shared" si="16"/>
        <v>270.0161392</v>
      </c>
      <c r="I37" s="49">
        <f t="shared" si="4"/>
        <v>48.69594473</v>
      </c>
      <c r="J37" s="15"/>
    </row>
    <row r="38">
      <c r="A38" s="61" t="s">
        <v>40</v>
      </c>
      <c r="B38" s="18" t="s">
        <v>65</v>
      </c>
      <c r="C38" s="86">
        <v>8980602.0</v>
      </c>
      <c r="D38" s="108">
        <v>17851.0</v>
      </c>
      <c r="E38" s="38">
        <f t="shared" si="1"/>
        <v>153025.26</v>
      </c>
      <c r="F38" s="38">
        <f t="shared" si="15"/>
        <v>186690.8172</v>
      </c>
      <c r="G38" s="38">
        <v>187624.27128599997</v>
      </c>
      <c r="H38" s="38">
        <f t="shared" si="16"/>
        <v>17.03953254</v>
      </c>
      <c r="I38" s="49">
        <f t="shared" si="4"/>
        <v>8.572363453</v>
      </c>
      <c r="J38" s="15"/>
    </row>
    <row r="39">
      <c r="A39" s="54" t="s">
        <v>69</v>
      </c>
      <c r="B39" s="18" t="s">
        <v>65</v>
      </c>
      <c r="C39" s="86">
        <v>2159262.0</v>
      </c>
      <c r="D39" s="108">
        <v>15351.0</v>
      </c>
      <c r="E39" s="38">
        <f t="shared" si="1"/>
        <v>734149.08</v>
      </c>
      <c r="F39" s="38">
        <f t="shared" si="15"/>
        <v>895661.8776</v>
      </c>
      <c r="G39" s="38">
        <v>900140.1869880002</v>
      </c>
      <c r="H39" s="38">
        <f t="shared" si="16"/>
        <v>340</v>
      </c>
      <c r="I39" s="49">
        <f t="shared" si="4"/>
        <v>47.82418605</v>
      </c>
      <c r="J39" s="15"/>
    </row>
    <row r="40">
      <c r="A40" s="17" t="s">
        <v>42</v>
      </c>
      <c r="B40" s="18" t="s">
        <v>65</v>
      </c>
      <c r="C40" s="86">
        <v>726791.0</v>
      </c>
      <c r="D40" s="108">
        <v>4375.0</v>
      </c>
      <c r="E40" s="38">
        <f t="shared" si="1"/>
        <v>122406.1393</v>
      </c>
      <c r="F40" s="44">
        <v>149335.49</v>
      </c>
      <c r="G40" s="109">
        <f>F40*1.005</f>
        <v>150082.1675</v>
      </c>
      <c r="H40" s="38">
        <f t="shared" si="16"/>
        <v>168.4199988</v>
      </c>
      <c r="I40" s="49">
        <f t="shared" si="4"/>
        <v>27.97854614</v>
      </c>
      <c r="J40" s="15"/>
    </row>
    <row r="41">
      <c r="A41" s="17" t="s">
        <v>57</v>
      </c>
      <c r="B41" s="18" t="s">
        <v>65</v>
      </c>
      <c r="C41" s="86">
        <v>2000026.0</v>
      </c>
      <c r="D41" s="87">
        <v>48703.0</v>
      </c>
      <c r="E41" s="38">
        <f t="shared" si="1"/>
        <v>500006.5</v>
      </c>
      <c r="F41" s="38">
        <f t="shared" ref="F41:F44" si="17">G41/1.005</f>
        <v>610007.93</v>
      </c>
      <c r="G41" s="38">
        <v>613057.96965</v>
      </c>
      <c r="H41" s="38">
        <f t="shared" si="16"/>
        <v>250</v>
      </c>
      <c r="I41" s="49">
        <f t="shared" si="4"/>
        <v>10.26644149</v>
      </c>
      <c r="J41" s="15"/>
    </row>
    <row r="42">
      <c r="A42" s="61" t="s">
        <v>39</v>
      </c>
      <c r="B42" s="18" t="s">
        <v>65</v>
      </c>
      <c r="C42" s="86">
        <v>1805840.0</v>
      </c>
      <c r="D42" s="87">
        <v>22614.0</v>
      </c>
      <c r="E42" s="38">
        <f t="shared" si="1"/>
        <v>269121.1</v>
      </c>
      <c r="F42" s="38">
        <f t="shared" si="17"/>
        <v>328327.742</v>
      </c>
      <c r="G42" s="38">
        <v>329969.38070999994</v>
      </c>
      <c r="H42" s="38">
        <f t="shared" si="16"/>
        <v>149.0282085</v>
      </c>
      <c r="I42" s="49">
        <f t="shared" si="4"/>
        <v>11.9006412</v>
      </c>
      <c r="J42" s="15"/>
    </row>
    <row r="43">
      <c r="A43" s="17" t="s">
        <v>64</v>
      </c>
      <c r="B43" s="18" t="s">
        <v>65</v>
      </c>
      <c r="C43" s="86">
        <v>645289.0</v>
      </c>
      <c r="D43" s="108">
        <v>3407.0</v>
      </c>
      <c r="E43" s="38">
        <f t="shared" si="1"/>
        <v>62653.04</v>
      </c>
      <c r="F43" s="38">
        <f t="shared" si="17"/>
        <v>76436.7088</v>
      </c>
      <c r="G43" s="38">
        <v>76818.89234399999</v>
      </c>
      <c r="H43" s="38">
        <f t="shared" si="16"/>
        <v>97.09299244</v>
      </c>
      <c r="I43" s="49">
        <f t="shared" si="4"/>
        <v>18.38950396</v>
      </c>
      <c r="J43" s="15"/>
    </row>
    <row r="44">
      <c r="A44" s="54" t="s">
        <v>72</v>
      </c>
      <c r="B44" s="18" t="s">
        <v>65</v>
      </c>
      <c r="C44" s="87">
        <v>4683408.0</v>
      </c>
      <c r="D44" s="87">
        <v>29056.0</v>
      </c>
      <c r="E44" s="38">
        <f t="shared" si="1"/>
        <v>281487.83</v>
      </c>
      <c r="F44" s="38">
        <f t="shared" si="17"/>
        <v>343415.1526</v>
      </c>
      <c r="G44" s="44">
        <v>345132.228363</v>
      </c>
      <c r="H44" s="38">
        <f t="shared" si="16"/>
        <v>60.10320476</v>
      </c>
      <c r="I44" s="49">
        <f t="shared" si="4"/>
        <v>9.68776948</v>
      </c>
      <c r="J44" s="15"/>
    </row>
    <row r="45">
      <c r="A45" s="76" t="s">
        <v>46</v>
      </c>
      <c r="B45" s="78"/>
      <c r="C45" s="80">
        <f t="shared" ref="C45:D45" si="18">SUM(C34:C44)</f>
        <v>27173827</v>
      </c>
      <c r="D45" s="80">
        <f t="shared" si="18"/>
        <v>160802</v>
      </c>
      <c r="E45" s="81">
        <f t="shared" si="1"/>
        <v>3856880.106</v>
      </c>
      <c r="F45" s="81">
        <f t="shared" ref="F45:G45" si="19">SUM(F34:F44)</f>
        <v>4705393.729</v>
      </c>
      <c r="G45" s="81">
        <f t="shared" si="19"/>
        <v>4728920.697</v>
      </c>
      <c r="H45" s="81">
        <f>E45/(C45/1000)</f>
        <v>141.9336373</v>
      </c>
      <c r="I45" s="84">
        <f t="shared" si="4"/>
        <v>23.98527447</v>
      </c>
      <c r="J45" s="15"/>
    </row>
    <row r="46">
      <c r="A46" s="17" t="s">
        <v>51</v>
      </c>
      <c r="B46" s="45" t="s">
        <v>75</v>
      </c>
      <c r="C46" s="87">
        <v>1062436.0</v>
      </c>
      <c r="D46" s="87">
        <v>1926.0</v>
      </c>
      <c r="E46" s="38">
        <f t="shared" si="1"/>
        <v>315694.4783</v>
      </c>
      <c r="F46" s="38">
        <f t="shared" ref="F46:F48" si="20">G46/1.005</f>
        <v>385147.2635</v>
      </c>
      <c r="G46" s="38">
        <v>387072.99979631504</v>
      </c>
      <c r="H46" s="38">
        <f t="shared" ref="H46:H51" si="21">E46/C46*1000</f>
        <v>297.1421133</v>
      </c>
      <c r="I46" s="49">
        <f t="shared" si="4"/>
        <v>163.9119825</v>
      </c>
      <c r="J46" s="15"/>
    </row>
    <row r="47">
      <c r="A47" s="17" t="s">
        <v>35</v>
      </c>
      <c r="B47" s="45" t="s">
        <v>75</v>
      </c>
      <c r="C47" s="21">
        <v>1485484.0</v>
      </c>
      <c r="D47" s="21">
        <v>1786.0</v>
      </c>
      <c r="E47" s="38">
        <f t="shared" si="1"/>
        <v>311967.3505</v>
      </c>
      <c r="F47" s="38">
        <f t="shared" si="20"/>
        <v>380600.1676</v>
      </c>
      <c r="G47" s="38">
        <v>382503.16843900003</v>
      </c>
      <c r="H47" s="38">
        <f t="shared" si="21"/>
        <v>210.010576</v>
      </c>
      <c r="I47" s="49">
        <f t="shared" si="4"/>
        <v>174.6737685</v>
      </c>
      <c r="J47" s="15"/>
    </row>
    <row r="48">
      <c r="A48" s="61" t="s">
        <v>39</v>
      </c>
      <c r="B48" s="45" t="s">
        <v>75</v>
      </c>
      <c r="C48" s="86">
        <v>2505397.0</v>
      </c>
      <c r="D48" s="87">
        <v>22511.0</v>
      </c>
      <c r="E48" s="38">
        <f t="shared" si="1"/>
        <v>331185.2785</v>
      </c>
      <c r="F48" s="38">
        <f t="shared" si="20"/>
        <v>404046.0398</v>
      </c>
      <c r="G48" s="117">
        <v>406066.27</v>
      </c>
      <c r="H48" s="38">
        <f t="shared" si="21"/>
        <v>132.1887424</v>
      </c>
      <c r="I48" s="49">
        <f t="shared" si="4"/>
        <v>14.7121531</v>
      </c>
      <c r="J48" s="15"/>
    </row>
    <row r="49">
      <c r="A49" s="17" t="s">
        <v>64</v>
      </c>
      <c r="B49" s="45" t="s">
        <v>75</v>
      </c>
      <c r="C49" s="118">
        <v>186472.0</v>
      </c>
      <c r="D49" s="108">
        <v>163.0</v>
      </c>
      <c r="E49" s="44">
        <f t="shared" si="1"/>
        <v>2215.163934</v>
      </c>
      <c r="F49" s="44">
        <v>2702.5</v>
      </c>
      <c r="G49" s="119">
        <f>F49*1.005</f>
        <v>2716.0125</v>
      </c>
      <c r="H49" s="38">
        <f t="shared" si="21"/>
        <v>11.8793381</v>
      </c>
      <c r="I49" s="49">
        <f t="shared" si="4"/>
        <v>13.58996279</v>
      </c>
      <c r="J49" s="15"/>
    </row>
    <row r="50">
      <c r="A50" s="61" t="s">
        <v>40</v>
      </c>
      <c r="B50" s="45" t="s">
        <v>75</v>
      </c>
      <c r="C50" s="86">
        <v>1958827.0</v>
      </c>
      <c r="D50" s="108">
        <v>4097.0</v>
      </c>
      <c r="E50" s="38">
        <f t="shared" si="1"/>
        <v>144231.77</v>
      </c>
      <c r="F50" s="38">
        <f t="shared" ref="F50:F51" si="22">G50/1.005</f>
        <v>175962.7594</v>
      </c>
      <c r="G50" s="119">
        <v>176842.57319699996</v>
      </c>
      <c r="H50" s="38">
        <f t="shared" si="21"/>
        <v>73.63170408</v>
      </c>
      <c r="I50" s="49">
        <f t="shared" si="4"/>
        <v>35.20423969</v>
      </c>
      <c r="J50" s="15"/>
    </row>
    <row r="51">
      <c r="A51" s="17" t="s">
        <v>76</v>
      </c>
      <c r="B51" s="45" t="s">
        <v>75</v>
      </c>
      <c r="C51" s="86">
        <v>2488694.0</v>
      </c>
      <c r="D51" s="87">
        <v>41821.0</v>
      </c>
      <c r="E51" s="38">
        <f t="shared" si="1"/>
        <v>300089.74</v>
      </c>
      <c r="F51" s="38">
        <f t="shared" si="22"/>
        <v>366109.4828</v>
      </c>
      <c r="G51" s="38">
        <v>367940.0302139999</v>
      </c>
      <c r="H51" s="38">
        <f t="shared" si="21"/>
        <v>120.5812125</v>
      </c>
      <c r="I51" s="49">
        <f t="shared" si="4"/>
        <v>7.175575429</v>
      </c>
      <c r="J51" s="15"/>
    </row>
    <row r="52">
      <c r="A52" s="76" t="s">
        <v>46</v>
      </c>
      <c r="B52" s="78"/>
      <c r="C52" s="80">
        <f t="shared" ref="C52:G52" si="23">SUM(C46:C51)</f>
        <v>9687310</v>
      </c>
      <c r="D52" s="80">
        <f t="shared" si="23"/>
        <v>72304</v>
      </c>
      <c r="E52" s="81">
        <f t="shared" si="23"/>
        <v>1405383.781</v>
      </c>
      <c r="F52" s="81">
        <f t="shared" si="23"/>
        <v>1714568.213</v>
      </c>
      <c r="G52" s="81">
        <f t="shared" si="23"/>
        <v>1723141.054</v>
      </c>
      <c r="H52" s="81">
        <f>E52/(C52/1000)</f>
        <v>145.0747195</v>
      </c>
      <c r="I52" s="84">
        <f t="shared" si="4"/>
        <v>19.43715121</v>
      </c>
      <c r="J52" s="15"/>
    </row>
    <row r="53">
      <c r="A53" s="17" t="s">
        <v>51</v>
      </c>
      <c r="B53" s="122" t="s">
        <v>77</v>
      </c>
      <c r="C53" s="123">
        <v>843080.0</v>
      </c>
      <c r="D53" s="124">
        <v>1656.0</v>
      </c>
      <c r="E53" s="38">
        <f t="shared" ref="E53:E57" si="24">F53/1.22</f>
        <v>251682.8843</v>
      </c>
      <c r="F53" s="38">
        <f t="shared" ref="F53:F57" si="25">G53/1.005</f>
        <v>307053.1188</v>
      </c>
      <c r="G53" s="38">
        <v>308588.384439825</v>
      </c>
      <c r="H53" s="38">
        <f t="shared" ref="H53:H57" si="26">E53/C53*1000</f>
        <v>298.5278791</v>
      </c>
      <c r="I53" s="49">
        <f t="shared" si="4"/>
        <v>151.9824181</v>
      </c>
      <c r="J53" s="127"/>
    </row>
    <row r="54">
      <c r="A54" s="17" t="s">
        <v>54</v>
      </c>
      <c r="B54" s="122" t="s">
        <v>77</v>
      </c>
      <c r="C54" s="124">
        <v>1273765.0</v>
      </c>
      <c r="D54" s="124">
        <v>3023.0</v>
      </c>
      <c r="E54" s="38">
        <f t="shared" si="24"/>
        <v>409556.4497</v>
      </c>
      <c r="F54" s="38">
        <f t="shared" si="25"/>
        <v>499658.8686</v>
      </c>
      <c r="G54" s="38">
        <v>502157.16296095005</v>
      </c>
      <c r="H54" s="38">
        <f t="shared" si="26"/>
        <v>321.5321898</v>
      </c>
      <c r="I54" s="49">
        <f t="shared" si="4"/>
        <v>135.4801355</v>
      </c>
      <c r="J54" s="127"/>
    </row>
    <row r="55">
      <c r="A55" s="128" t="s">
        <v>78</v>
      </c>
      <c r="B55" s="122" t="s">
        <v>77</v>
      </c>
      <c r="C55" s="129">
        <v>3740353.0</v>
      </c>
      <c r="D55" s="130">
        <v>9307.0</v>
      </c>
      <c r="E55" s="38">
        <f t="shared" si="24"/>
        <v>293750.72</v>
      </c>
      <c r="F55" s="38">
        <f t="shared" si="25"/>
        <v>358375.8784</v>
      </c>
      <c r="G55" s="38">
        <v>360167.7577919999</v>
      </c>
      <c r="H55" s="38">
        <f t="shared" si="26"/>
        <v>78.53556068</v>
      </c>
      <c r="I55" s="49">
        <f t="shared" si="4"/>
        <v>31.56234232</v>
      </c>
      <c r="J55" s="127"/>
    </row>
    <row r="56">
      <c r="A56" s="100" t="s">
        <v>41</v>
      </c>
      <c r="B56" s="122" t="s">
        <v>77</v>
      </c>
      <c r="C56" s="132">
        <v>122615.08831499997</v>
      </c>
      <c r="D56" s="123">
        <v>3266.0</v>
      </c>
      <c r="E56" s="38">
        <f t="shared" si="24"/>
        <v>418896.53</v>
      </c>
      <c r="F56" s="38">
        <f t="shared" si="25"/>
        <v>511053.7666</v>
      </c>
      <c r="G56" s="38">
        <v>513609.03543299995</v>
      </c>
      <c r="H56" s="38">
        <f t="shared" si="26"/>
        <v>3416.353858</v>
      </c>
      <c r="I56" s="49">
        <f t="shared" si="4"/>
        <v>128.2598071</v>
      </c>
      <c r="J56" s="127"/>
    </row>
    <row r="57">
      <c r="A57" s="61" t="s">
        <v>40</v>
      </c>
      <c r="B57" s="122" t="s">
        <v>77</v>
      </c>
      <c r="C57" s="129">
        <v>4380862.0</v>
      </c>
      <c r="D57" s="130">
        <v>6680.0</v>
      </c>
      <c r="E57" s="38">
        <f t="shared" si="24"/>
        <v>171433.38</v>
      </c>
      <c r="F57" s="38">
        <f t="shared" si="25"/>
        <v>209148.7236</v>
      </c>
      <c r="G57" s="38">
        <v>210194.467218</v>
      </c>
      <c r="H57" s="38">
        <f t="shared" si="26"/>
        <v>39.13233971</v>
      </c>
      <c r="I57" s="49">
        <f t="shared" si="4"/>
        <v>25.66367964</v>
      </c>
      <c r="J57" s="127"/>
    </row>
    <row r="58">
      <c r="A58" s="136" t="s">
        <v>46</v>
      </c>
      <c r="B58" s="78"/>
      <c r="C58" s="137">
        <f t="shared" ref="C58:D58" si="27">SUM(C53:C57)</f>
        <v>10360675.09</v>
      </c>
      <c r="D58" s="137">
        <f t="shared" si="27"/>
        <v>23932</v>
      </c>
      <c r="E58" s="138">
        <f>E53</f>
        <v>251682.8843</v>
      </c>
      <c r="F58" s="138">
        <f t="shared" ref="F58:G58" si="28">SUM(F53:F57)</f>
        <v>1885290.356</v>
      </c>
      <c r="G58" s="138">
        <f t="shared" si="28"/>
        <v>1894716.808</v>
      </c>
      <c r="H58" s="81">
        <f>E58/(C58/1000)</f>
        <v>24.29213175</v>
      </c>
      <c r="I58" s="84">
        <f t="shared" si="4"/>
        <v>10.51658383</v>
      </c>
      <c r="J58" s="127"/>
    </row>
    <row r="59">
      <c r="A59" s="17" t="s">
        <v>41</v>
      </c>
      <c r="B59" s="18" t="s">
        <v>80</v>
      </c>
      <c r="C59" s="21">
        <v>1480693.0</v>
      </c>
      <c r="D59" s="21">
        <v>8502.0</v>
      </c>
      <c r="E59" s="38">
        <f t="shared" ref="E59:E76" si="29">F59/1.22</f>
        <v>311570.0188</v>
      </c>
      <c r="F59" s="38">
        <f t="shared" ref="F59:F60" si="30">G59/1.005</f>
        <v>380115.4229</v>
      </c>
      <c r="G59" s="44">
        <v>382016.0</v>
      </c>
      <c r="H59" s="38">
        <f t="shared" ref="H59:H60" si="31">E59/C59*1000</f>
        <v>210.4217544</v>
      </c>
      <c r="I59" s="49">
        <f t="shared" si="4"/>
        <v>36.64667358</v>
      </c>
      <c r="J59" s="139">
        <f>SUM(C59:C60)</f>
        <v>4992270</v>
      </c>
    </row>
    <row r="60">
      <c r="A60" s="61" t="s">
        <v>40</v>
      </c>
      <c r="B60" s="18" t="s">
        <v>80</v>
      </c>
      <c r="C60" s="21">
        <v>3511577.0</v>
      </c>
      <c r="D60" s="21">
        <v>7263.0</v>
      </c>
      <c r="E60" s="38">
        <f t="shared" si="29"/>
        <v>185028.9536</v>
      </c>
      <c r="F60" s="38">
        <f t="shared" si="30"/>
        <v>225735.3234</v>
      </c>
      <c r="G60" s="44">
        <v>226864.0</v>
      </c>
      <c r="H60" s="38">
        <f t="shared" si="31"/>
        <v>52.69112812</v>
      </c>
      <c r="I60" s="49">
        <f t="shared" si="4"/>
        <v>25.47555467</v>
      </c>
      <c r="J60" s="139">
        <f>SUM(D59:D60)</f>
        <v>15765</v>
      </c>
    </row>
    <row r="61">
      <c r="A61" s="76" t="s">
        <v>46</v>
      </c>
      <c r="B61" s="78"/>
      <c r="C61" s="80">
        <f t="shared" ref="C61:D61" si="32">SUM(C59:C60)</f>
        <v>4992270</v>
      </c>
      <c r="D61" s="80">
        <f t="shared" si="32"/>
        <v>15765</v>
      </c>
      <c r="E61" s="81">
        <f t="shared" si="29"/>
        <v>496598.9724</v>
      </c>
      <c r="F61" s="81">
        <f t="shared" ref="F61:G61" si="33">SUM(F59:F60)</f>
        <v>605850.7463</v>
      </c>
      <c r="G61" s="138">
        <f t="shared" si="33"/>
        <v>608880</v>
      </c>
      <c r="H61" s="81">
        <f>E61/(C61/1000)</f>
        <v>99.47358063</v>
      </c>
      <c r="I61" s="84">
        <f t="shared" si="4"/>
        <v>31.50009339</v>
      </c>
      <c r="J61" s="15"/>
    </row>
    <row r="62">
      <c r="A62" s="17" t="s">
        <v>39</v>
      </c>
      <c r="B62" s="18" t="s">
        <v>81</v>
      </c>
      <c r="C62" s="21">
        <v>1373915.0</v>
      </c>
      <c r="D62" s="21">
        <v>16397.0</v>
      </c>
      <c r="E62" s="38">
        <f t="shared" si="29"/>
        <v>198210.5864</v>
      </c>
      <c r="F62" s="38">
        <f t="shared" ref="F62:F65" si="34">G62/1.005</f>
        <v>241816.9154</v>
      </c>
      <c r="G62" s="117">
        <v>243026.0</v>
      </c>
      <c r="H62" s="38">
        <f t="shared" ref="H62:H65" si="35">E62/C62*1000</f>
        <v>144.2669935</v>
      </c>
      <c r="I62" s="49">
        <f t="shared" si="4"/>
        <v>12.08822263</v>
      </c>
      <c r="J62" s="15"/>
    </row>
    <row r="63">
      <c r="A63" s="61" t="s">
        <v>35</v>
      </c>
      <c r="B63" s="18" t="s">
        <v>81</v>
      </c>
      <c r="C63" s="21">
        <v>2466304.0</v>
      </c>
      <c r="D63" s="21">
        <v>1823.0</v>
      </c>
      <c r="E63" s="38">
        <f t="shared" si="29"/>
        <v>318890.7919</v>
      </c>
      <c r="F63" s="38">
        <f t="shared" si="34"/>
        <v>389046.7662</v>
      </c>
      <c r="G63" s="44">
        <v>390992.0</v>
      </c>
      <c r="H63" s="38">
        <f t="shared" si="35"/>
        <v>129.2990612</v>
      </c>
      <c r="I63" s="49">
        <f t="shared" si="4"/>
        <v>174.9263807</v>
      </c>
      <c r="J63" s="15"/>
    </row>
    <row r="64">
      <c r="A64" s="17" t="s">
        <v>76</v>
      </c>
      <c r="B64" s="18" t="s">
        <v>81</v>
      </c>
      <c r="C64" s="21">
        <v>2456848.0</v>
      </c>
      <c r="D64" s="21">
        <v>37329.0</v>
      </c>
      <c r="E64" s="38">
        <f t="shared" si="29"/>
        <v>300072.5879</v>
      </c>
      <c r="F64" s="38">
        <f t="shared" si="34"/>
        <v>366088.5572</v>
      </c>
      <c r="G64" s="44">
        <v>367919.0</v>
      </c>
      <c r="H64" s="38">
        <f t="shared" si="35"/>
        <v>122.1372213</v>
      </c>
      <c r="I64" s="49">
        <f t="shared" si="4"/>
        <v>8.038591655</v>
      </c>
      <c r="J64" s="15"/>
    </row>
    <row r="65">
      <c r="A65" s="54" t="s">
        <v>83</v>
      </c>
      <c r="B65" s="18" t="s">
        <v>81</v>
      </c>
      <c r="C65" s="21">
        <v>2400000.0</v>
      </c>
      <c r="D65" s="21">
        <v>33771.0</v>
      </c>
      <c r="E65" s="38">
        <f t="shared" si="29"/>
        <v>355204.3063</v>
      </c>
      <c r="F65" s="38">
        <f t="shared" si="34"/>
        <v>433349.2537</v>
      </c>
      <c r="G65" s="44">
        <v>435516.0</v>
      </c>
      <c r="H65" s="38">
        <f t="shared" si="35"/>
        <v>148.0017943</v>
      </c>
      <c r="I65" s="49">
        <f t="shared" si="4"/>
        <v>10.51802749</v>
      </c>
      <c r="J65" s="15"/>
    </row>
    <row r="66">
      <c r="A66" s="76" t="s">
        <v>46</v>
      </c>
      <c r="B66" s="78"/>
      <c r="C66" s="80">
        <f t="shared" ref="C66:D66" si="36">SUM(C62:C65)</f>
        <v>8697067</v>
      </c>
      <c r="D66" s="80">
        <f t="shared" si="36"/>
        <v>89320</v>
      </c>
      <c r="E66" s="81">
        <f t="shared" si="29"/>
        <v>1172378.273</v>
      </c>
      <c r="F66" s="81">
        <f t="shared" ref="F66:G66" si="37">SUM(F62:F65)</f>
        <v>1430301.493</v>
      </c>
      <c r="G66" s="81">
        <f t="shared" si="37"/>
        <v>1437453</v>
      </c>
      <c r="H66" s="81">
        <f>E66/(C66/1000)</f>
        <v>134.8015685</v>
      </c>
      <c r="I66" s="84">
        <f t="shared" si="4"/>
        <v>13.12559642</v>
      </c>
      <c r="J66" s="15"/>
    </row>
    <row r="67">
      <c r="A67" s="17" t="s">
        <v>41</v>
      </c>
      <c r="B67" s="18" t="s">
        <v>84</v>
      </c>
      <c r="C67" s="21">
        <v>1667124.0</v>
      </c>
      <c r="D67" s="21">
        <v>8713.0</v>
      </c>
      <c r="E67" s="38">
        <f t="shared" si="29"/>
        <v>485341.1957</v>
      </c>
      <c r="F67" s="38">
        <f t="shared" ref="F67:F68" si="38">G67/1.005</f>
        <v>592116.2587</v>
      </c>
      <c r="G67" s="141">
        <v>595076.84</v>
      </c>
      <c r="H67" s="38">
        <f t="shared" ref="H67:H68" si="39">E67/C67*1000</f>
        <v>291.1248327</v>
      </c>
      <c r="I67" s="49">
        <f t="shared" si="4"/>
        <v>55.7031098</v>
      </c>
      <c r="J67" s="15"/>
    </row>
    <row r="68">
      <c r="A68" s="94" t="s">
        <v>72</v>
      </c>
      <c r="B68" s="18" t="s">
        <v>84</v>
      </c>
      <c r="C68" s="21">
        <v>5583038.0</v>
      </c>
      <c r="D68" s="21">
        <v>30657.0</v>
      </c>
      <c r="E68" s="38">
        <f t="shared" si="29"/>
        <v>278870.4021</v>
      </c>
      <c r="F68" s="38">
        <f t="shared" si="38"/>
        <v>340221.8905</v>
      </c>
      <c r="G68" s="44">
        <v>341923.0</v>
      </c>
      <c r="H68" s="38">
        <f t="shared" si="39"/>
        <v>49.9495798</v>
      </c>
      <c r="I68" s="49">
        <f t="shared" si="4"/>
        <v>9.096467433</v>
      </c>
      <c r="J68" s="15"/>
    </row>
    <row r="69">
      <c r="A69" s="76" t="s">
        <v>46</v>
      </c>
      <c r="B69" s="78"/>
      <c r="C69" s="80">
        <f t="shared" ref="C69:D69" si="40">SUM(C67:C68)</f>
        <v>7250162</v>
      </c>
      <c r="D69" s="80">
        <f t="shared" si="40"/>
        <v>39370</v>
      </c>
      <c r="E69" s="81">
        <f t="shared" si="29"/>
        <v>764211.5977</v>
      </c>
      <c r="F69" s="81">
        <f t="shared" ref="F69:G69" si="41">SUM(F67:F68)</f>
        <v>932338.1493</v>
      </c>
      <c r="G69" s="81">
        <f t="shared" si="41"/>
        <v>936999.84</v>
      </c>
      <c r="H69" s="81">
        <f>E69/(C69/1000)</f>
        <v>105.406141</v>
      </c>
      <c r="I69" s="84">
        <f t="shared" si="4"/>
        <v>19.4110134</v>
      </c>
      <c r="J69" s="15"/>
    </row>
    <row r="70">
      <c r="A70" s="17" t="s">
        <v>51</v>
      </c>
      <c r="B70" s="144" t="s">
        <v>87</v>
      </c>
      <c r="C70" s="21">
        <v>1260629.0</v>
      </c>
      <c r="D70" s="21">
        <v>2802.0</v>
      </c>
      <c r="E70" s="38">
        <f t="shared" si="29"/>
        <v>383100.8435</v>
      </c>
      <c r="F70" s="38">
        <f t="shared" ref="F70:F76" si="42">G70/1.005</f>
        <v>467383.0291</v>
      </c>
      <c r="G70" s="44">
        <v>469719.94426229503</v>
      </c>
      <c r="H70" s="38">
        <f t="shared" ref="H70:H76" si="43">E70/C70*1000</f>
        <v>303.8965814</v>
      </c>
      <c r="I70" s="49">
        <f t="shared" si="4"/>
        <v>136.7240698</v>
      </c>
      <c r="J70" s="15"/>
    </row>
    <row r="71">
      <c r="A71" s="17" t="s">
        <v>88</v>
      </c>
      <c r="B71" s="144" t="s">
        <v>87</v>
      </c>
      <c r="C71" s="21">
        <v>1137877.0</v>
      </c>
      <c r="D71" s="21">
        <v>2643.0</v>
      </c>
      <c r="E71" s="38">
        <f t="shared" si="29"/>
        <v>232134.0121</v>
      </c>
      <c r="F71" s="38">
        <f t="shared" si="42"/>
        <v>283203.4948</v>
      </c>
      <c r="G71" s="44">
        <v>284619.512295082</v>
      </c>
      <c r="H71" s="38">
        <f t="shared" si="43"/>
        <v>204.0062433</v>
      </c>
      <c r="I71" s="49">
        <f t="shared" si="4"/>
        <v>87.82974353</v>
      </c>
      <c r="J71" s="15"/>
    </row>
    <row r="72">
      <c r="A72" s="17" t="s">
        <v>23</v>
      </c>
      <c r="B72" s="144" t="s">
        <v>87</v>
      </c>
      <c r="C72" s="21">
        <v>1102799.0</v>
      </c>
      <c r="D72" s="21">
        <v>1630.0</v>
      </c>
      <c r="E72" s="38">
        <f t="shared" si="29"/>
        <v>182733.9565</v>
      </c>
      <c r="F72" s="38">
        <f t="shared" si="42"/>
        <v>222935.4269</v>
      </c>
      <c r="G72" s="38">
        <v>224050.1040078</v>
      </c>
      <c r="H72" s="38">
        <f t="shared" si="43"/>
        <v>165.700147</v>
      </c>
      <c r="I72" s="49">
        <f t="shared" si="4"/>
        <v>112.1067218</v>
      </c>
      <c r="J72" s="15"/>
    </row>
    <row r="73">
      <c r="A73" s="61" t="s">
        <v>40</v>
      </c>
      <c r="B73" s="144" t="s">
        <v>87</v>
      </c>
      <c r="C73" s="86">
        <v>2026495.0</v>
      </c>
      <c r="D73" s="108">
        <v>3958.0</v>
      </c>
      <c r="E73" s="38">
        <f t="shared" si="29"/>
        <v>81957.89</v>
      </c>
      <c r="F73" s="38">
        <f t="shared" si="42"/>
        <v>99988.6258</v>
      </c>
      <c r="G73" s="38">
        <v>100488.56892899997</v>
      </c>
      <c r="H73" s="38">
        <f t="shared" si="43"/>
        <v>40.44317405</v>
      </c>
      <c r="I73" s="49">
        <f t="shared" si="4"/>
        <v>20.7068949</v>
      </c>
      <c r="J73" s="15"/>
    </row>
    <row r="74">
      <c r="A74" s="61" t="s">
        <v>39</v>
      </c>
      <c r="B74" s="144" t="s">
        <v>87</v>
      </c>
      <c r="C74" s="86">
        <v>664280.0</v>
      </c>
      <c r="D74" s="87">
        <v>8721.0</v>
      </c>
      <c r="E74" s="38">
        <f t="shared" si="29"/>
        <v>100004.15</v>
      </c>
      <c r="F74" s="38">
        <f t="shared" si="42"/>
        <v>122005.063</v>
      </c>
      <c r="G74" s="38">
        <v>122615.08831499997</v>
      </c>
      <c r="H74" s="38">
        <f t="shared" si="43"/>
        <v>150.5451767</v>
      </c>
      <c r="I74" s="49">
        <f t="shared" si="4"/>
        <v>11.4670508</v>
      </c>
      <c r="J74" s="15"/>
    </row>
    <row r="75">
      <c r="A75" s="17" t="s">
        <v>57</v>
      </c>
      <c r="B75" s="144" t="s">
        <v>87</v>
      </c>
      <c r="C75" s="86">
        <v>600015.0</v>
      </c>
      <c r="D75" s="87">
        <v>15065.0</v>
      </c>
      <c r="E75" s="38">
        <f t="shared" si="29"/>
        <v>149257.4627</v>
      </c>
      <c r="F75" s="38">
        <f t="shared" si="42"/>
        <v>182094.1045</v>
      </c>
      <c r="G75" s="38">
        <v>183004.575</v>
      </c>
      <c r="H75" s="38">
        <f t="shared" si="43"/>
        <v>248.7562189</v>
      </c>
      <c r="I75" s="49">
        <f t="shared" si="4"/>
        <v>9.907564732</v>
      </c>
      <c r="J75" s="15"/>
    </row>
    <row r="76">
      <c r="A76" s="54" t="s">
        <v>72</v>
      </c>
      <c r="B76" s="144" t="s">
        <v>87</v>
      </c>
      <c r="C76" s="87">
        <v>5009239.0</v>
      </c>
      <c r="D76" s="87">
        <v>28071.0</v>
      </c>
      <c r="E76" s="38">
        <f t="shared" si="29"/>
        <v>403267.85</v>
      </c>
      <c r="F76" s="38">
        <f t="shared" si="42"/>
        <v>491986.777</v>
      </c>
      <c r="G76" s="44">
        <v>494446.7108849999</v>
      </c>
      <c r="H76" s="38">
        <f t="shared" si="43"/>
        <v>80.50481321</v>
      </c>
      <c r="I76" s="49">
        <f t="shared" si="4"/>
        <v>14.36599516</v>
      </c>
      <c r="J76" s="15"/>
    </row>
    <row r="77">
      <c r="A77" s="76" t="s">
        <v>46</v>
      </c>
      <c r="B77" s="78"/>
      <c r="C77" s="80">
        <f t="shared" ref="C77:G77" si="44">SUM(C70:C76)</f>
        <v>11801334</v>
      </c>
      <c r="D77" s="80">
        <f t="shared" si="44"/>
        <v>62890</v>
      </c>
      <c r="E77" s="81">
        <f t="shared" si="44"/>
        <v>1532456.165</v>
      </c>
      <c r="F77" s="81">
        <f t="shared" si="44"/>
        <v>1869596.521</v>
      </c>
      <c r="G77" s="81">
        <f t="shared" si="44"/>
        <v>1878944.504</v>
      </c>
      <c r="H77" s="81">
        <f>E77/(C77/1000)</f>
        <v>129.8544864</v>
      </c>
      <c r="I77" s="84">
        <f t="shared" si="4"/>
        <v>24.36724702</v>
      </c>
      <c r="J77" s="15"/>
    </row>
    <row r="78">
      <c r="A78" s="17" t="s">
        <v>23</v>
      </c>
      <c r="B78" s="18" t="s">
        <v>89</v>
      </c>
      <c r="C78" s="21">
        <v>773842.0</v>
      </c>
      <c r="D78" s="21">
        <v>1696.0</v>
      </c>
      <c r="E78" s="38">
        <f t="shared" ref="E78:E118" si="45">F78/1.22</f>
        <v>242850.1917</v>
      </c>
      <c r="F78" s="38">
        <f t="shared" ref="F78:F82" si="46">G78/1.005</f>
        <v>296277.2338</v>
      </c>
      <c r="G78" s="44">
        <v>297758.62</v>
      </c>
      <c r="H78" s="38">
        <f t="shared" ref="H78:H82" si="47">E78/C78*1000</f>
        <v>313.8239998</v>
      </c>
      <c r="I78" s="49">
        <f t="shared" si="4"/>
        <v>143.1899715</v>
      </c>
      <c r="J78" s="15"/>
    </row>
    <row r="79">
      <c r="A79" s="61" t="s">
        <v>40</v>
      </c>
      <c r="B79" s="18" t="s">
        <v>89</v>
      </c>
      <c r="C79" s="21">
        <v>2737741.0</v>
      </c>
      <c r="D79" s="21">
        <v>4544.0</v>
      </c>
      <c r="E79" s="38">
        <f t="shared" si="45"/>
        <v>132600</v>
      </c>
      <c r="F79" s="38">
        <f t="shared" si="46"/>
        <v>161772</v>
      </c>
      <c r="G79" s="44">
        <v>162580.86</v>
      </c>
      <c r="H79" s="38">
        <f t="shared" si="47"/>
        <v>48.43409219</v>
      </c>
      <c r="I79" s="49">
        <f t="shared" si="4"/>
        <v>29.18133803</v>
      </c>
      <c r="J79" s="15"/>
    </row>
    <row r="80">
      <c r="A80" s="17" t="s">
        <v>58</v>
      </c>
      <c r="B80" s="18" t="s">
        <v>89</v>
      </c>
      <c r="C80" s="21">
        <v>3477078.0</v>
      </c>
      <c r="D80" s="21">
        <v>4840.0</v>
      </c>
      <c r="E80" s="38">
        <f t="shared" si="45"/>
        <v>573704.9996</v>
      </c>
      <c r="F80" s="38">
        <f t="shared" si="46"/>
        <v>699920.0995</v>
      </c>
      <c r="G80" s="44">
        <v>703419.7</v>
      </c>
      <c r="H80" s="38">
        <f t="shared" si="47"/>
        <v>164.9962985</v>
      </c>
      <c r="I80" s="49">
        <f t="shared" si="4"/>
        <v>118.5340908</v>
      </c>
      <c r="J80" s="15"/>
    </row>
    <row r="81">
      <c r="A81" s="17" t="s">
        <v>76</v>
      </c>
      <c r="B81" s="18" t="s">
        <v>89</v>
      </c>
      <c r="C81" s="21">
        <v>4033351.0</v>
      </c>
      <c r="D81" s="21">
        <v>56877.0</v>
      </c>
      <c r="E81" s="38">
        <f t="shared" si="45"/>
        <v>493442.623</v>
      </c>
      <c r="F81" s="38">
        <f t="shared" si="46"/>
        <v>602000</v>
      </c>
      <c r="G81" s="44">
        <v>605010.0</v>
      </c>
      <c r="H81" s="38">
        <f t="shared" si="47"/>
        <v>122.3406103</v>
      </c>
      <c r="I81" s="49">
        <f t="shared" si="4"/>
        <v>8.675609173</v>
      </c>
      <c r="J81" s="15"/>
    </row>
    <row r="82">
      <c r="A82" s="17" t="s">
        <v>41</v>
      </c>
      <c r="B82" s="18" t="s">
        <v>89</v>
      </c>
      <c r="C82" s="21">
        <v>1812216.0</v>
      </c>
      <c r="D82" s="21">
        <v>2740.0</v>
      </c>
      <c r="E82" s="38">
        <f t="shared" si="45"/>
        <v>330000</v>
      </c>
      <c r="F82" s="38">
        <f t="shared" si="46"/>
        <v>402600</v>
      </c>
      <c r="G82" s="44">
        <v>404613.0</v>
      </c>
      <c r="H82" s="38">
        <f t="shared" si="47"/>
        <v>182.0974983</v>
      </c>
      <c r="I82" s="49">
        <f t="shared" si="4"/>
        <v>120.4379562</v>
      </c>
      <c r="J82" s="15"/>
    </row>
    <row r="83">
      <c r="A83" s="76" t="s">
        <v>46</v>
      </c>
      <c r="B83" s="78"/>
      <c r="C83" s="80">
        <f t="shared" ref="C83:D83" si="48">SUM(C78:C82)</f>
        <v>12834228</v>
      </c>
      <c r="D83" s="80">
        <f t="shared" si="48"/>
        <v>70697</v>
      </c>
      <c r="E83" s="81">
        <f t="shared" si="45"/>
        <v>1772597.814</v>
      </c>
      <c r="F83" s="80">
        <f t="shared" ref="F83:G83" si="49">SUM(F78:F82)</f>
        <v>2162569.333</v>
      </c>
      <c r="G83" s="81">
        <f t="shared" si="49"/>
        <v>2173382.18</v>
      </c>
      <c r="H83" s="81">
        <f>E83/(C83/1000)</f>
        <v>138.1148764</v>
      </c>
      <c r="I83" s="84">
        <f t="shared" si="4"/>
        <v>25.07316879</v>
      </c>
      <c r="J83" s="15"/>
    </row>
    <row r="84">
      <c r="A84" s="17" t="s">
        <v>78</v>
      </c>
      <c r="B84" s="18" t="s">
        <v>90</v>
      </c>
      <c r="C84" s="21">
        <v>3453651.0</v>
      </c>
      <c r="D84" s="21">
        <v>7198.0</v>
      </c>
      <c r="E84" s="38">
        <f t="shared" si="45"/>
        <v>227892.4802</v>
      </c>
      <c r="F84" s="38">
        <f t="shared" ref="F84:F85" si="50">G84/1.005</f>
        <v>278028.8259</v>
      </c>
      <c r="G84" s="44">
        <v>279418.97</v>
      </c>
      <c r="H84" s="38">
        <f t="shared" ref="H84:H85" si="51">E84/C84*1000</f>
        <v>65.98596101</v>
      </c>
      <c r="I84" s="49">
        <f t="shared" si="4"/>
        <v>31.66052796</v>
      </c>
      <c r="J84" s="15"/>
    </row>
    <row r="85">
      <c r="A85" s="17" t="s">
        <v>91</v>
      </c>
      <c r="B85" s="18" t="s">
        <v>90</v>
      </c>
      <c r="C85" s="21">
        <v>1180837.0</v>
      </c>
      <c r="D85" s="21">
        <v>4334.0</v>
      </c>
      <c r="E85" s="38">
        <f t="shared" si="45"/>
        <v>318600</v>
      </c>
      <c r="F85" s="38">
        <f t="shared" si="50"/>
        <v>388692</v>
      </c>
      <c r="G85" s="44">
        <v>390635.46</v>
      </c>
      <c r="H85" s="38">
        <f t="shared" si="51"/>
        <v>269.8086188</v>
      </c>
      <c r="I85" s="49">
        <f t="shared" si="4"/>
        <v>73.51176742</v>
      </c>
      <c r="J85" s="15"/>
    </row>
    <row r="86">
      <c r="A86" s="76" t="s">
        <v>46</v>
      </c>
      <c r="B86" s="78"/>
      <c r="C86" s="80">
        <f t="shared" ref="C86:D86" si="52">SUM(C84:C85)</f>
        <v>4634488</v>
      </c>
      <c r="D86" s="80">
        <f t="shared" si="52"/>
        <v>11532</v>
      </c>
      <c r="E86" s="81">
        <f t="shared" si="45"/>
        <v>546492.4802</v>
      </c>
      <c r="F86" s="81">
        <f t="shared" ref="F86:G86" si="53">SUM(F84:F85)</f>
        <v>666720.8259</v>
      </c>
      <c r="G86" s="81">
        <f t="shared" si="53"/>
        <v>670054.43</v>
      </c>
      <c r="H86" s="81">
        <f>E86/(C86/1000)</f>
        <v>117.918631</v>
      </c>
      <c r="I86" s="84">
        <f t="shared" si="4"/>
        <v>47.38921958</v>
      </c>
      <c r="J86" s="15"/>
    </row>
    <row r="87">
      <c r="A87" s="54" t="s">
        <v>92</v>
      </c>
      <c r="B87" s="155" t="s">
        <v>93</v>
      </c>
      <c r="C87" s="21">
        <v>261727.0</v>
      </c>
      <c r="D87" s="21">
        <v>1606.0</v>
      </c>
      <c r="E87" s="38">
        <f t="shared" si="45"/>
        <v>123880.597</v>
      </c>
      <c r="F87" s="38">
        <f t="shared" ref="F87:F91" si="54">G87/1.005</f>
        <v>151134.3284</v>
      </c>
      <c r="G87" s="141">
        <v>151890.0</v>
      </c>
      <c r="H87" s="38">
        <f t="shared" ref="H87:H91" si="55">E87/C87*1000</f>
        <v>473.3198983</v>
      </c>
      <c r="I87" s="49">
        <f t="shared" si="4"/>
        <v>77.13611271</v>
      </c>
      <c r="J87" s="15"/>
    </row>
    <row r="88">
      <c r="A88" s="61" t="s">
        <v>39</v>
      </c>
      <c r="B88" s="155" t="s">
        <v>93</v>
      </c>
      <c r="C88" s="21">
        <v>1939158.0</v>
      </c>
      <c r="D88" s="21">
        <v>23545.0</v>
      </c>
      <c r="E88" s="38">
        <f t="shared" si="45"/>
        <v>262204.8773</v>
      </c>
      <c r="F88" s="38">
        <f t="shared" si="54"/>
        <v>319889.9502</v>
      </c>
      <c r="G88" s="44">
        <v>321489.4</v>
      </c>
      <c r="H88" s="38">
        <f t="shared" si="55"/>
        <v>135.2158397</v>
      </c>
      <c r="I88" s="49">
        <f t="shared" si="4"/>
        <v>11.13632946</v>
      </c>
      <c r="J88" s="15"/>
    </row>
    <row r="89">
      <c r="A89" s="17" t="s">
        <v>91</v>
      </c>
      <c r="B89" s="155" t="s">
        <v>93</v>
      </c>
      <c r="C89" s="21">
        <v>1116037.0</v>
      </c>
      <c r="D89" s="21">
        <v>4363.0</v>
      </c>
      <c r="E89" s="38">
        <f t="shared" si="45"/>
        <v>318600</v>
      </c>
      <c r="F89" s="38">
        <f t="shared" si="54"/>
        <v>388692</v>
      </c>
      <c r="G89" s="44">
        <v>390635.46</v>
      </c>
      <c r="H89" s="38">
        <f t="shared" si="55"/>
        <v>285.4744063</v>
      </c>
      <c r="I89" s="49">
        <f t="shared" si="4"/>
        <v>73.02314921</v>
      </c>
      <c r="J89" s="15"/>
    </row>
    <row r="90">
      <c r="A90" s="17" t="s">
        <v>64</v>
      </c>
      <c r="B90" s="155" t="s">
        <v>93</v>
      </c>
      <c r="C90" s="21">
        <v>49028.0</v>
      </c>
      <c r="D90" s="21">
        <v>57.0</v>
      </c>
      <c r="E90" s="38">
        <f t="shared" si="45"/>
        <v>774.6268657</v>
      </c>
      <c r="F90" s="38">
        <f t="shared" si="54"/>
        <v>945.0447761</v>
      </c>
      <c r="G90" s="44">
        <v>949.77</v>
      </c>
      <c r="H90" s="38">
        <f t="shared" si="55"/>
        <v>15.79968315</v>
      </c>
      <c r="I90" s="49">
        <f t="shared" si="4"/>
        <v>13.58994501</v>
      </c>
      <c r="J90" s="15"/>
    </row>
    <row r="91">
      <c r="A91" s="17" t="s">
        <v>23</v>
      </c>
      <c r="B91" s="155" t="s">
        <v>93</v>
      </c>
      <c r="C91" s="21">
        <v>1145419.0</v>
      </c>
      <c r="D91" s="21">
        <v>2571.0</v>
      </c>
      <c r="E91" s="38">
        <f t="shared" si="45"/>
        <v>266161.0064</v>
      </c>
      <c r="F91" s="38">
        <f t="shared" si="54"/>
        <v>324716.4279</v>
      </c>
      <c r="G91" s="44">
        <v>326340.01</v>
      </c>
      <c r="H91" s="38">
        <f t="shared" si="55"/>
        <v>232.3699942</v>
      </c>
      <c r="I91" s="49">
        <f t="shared" si="4"/>
        <v>103.5243121</v>
      </c>
      <c r="J91" s="15"/>
    </row>
    <row r="92">
      <c r="A92" s="76" t="s">
        <v>46</v>
      </c>
      <c r="B92" s="78"/>
      <c r="C92" s="80">
        <f t="shared" ref="C92:D92" si="56">SUM(C87:C91)</f>
        <v>4511369</v>
      </c>
      <c r="D92" s="80">
        <f t="shared" si="56"/>
        <v>32142</v>
      </c>
      <c r="E92" s="81">
        <f t="shared" si="45"/>
        <v>705460.1011</v>
      </c>
      <c r="F92" s="81">
        <f>SUM(F87:F90)</f>
        <v>860661.3234</v>
      </c>
      <c r="G92" s="81">
        <f>SUM(G87:G91)</f>
        <v>1191304.64</v>
      </c>
      <c r="H92" s="81">
        <f>E92/(C92/1000)</f>
        <v>156.3738415</v>
      </c>
      <c r="I92" s="84">
        <f t="shared" si="4"/>
        <v>21.94823288</v>
      </c>
      <c r="J92" s="15"/>
    </row>
    <row r="93">
      <c r="A93" s="100" t="s">
        <v>35</v>
      </c>
      <c r="B93" s="18" t="s">
        <v>94</v>
      </c>
      <c r="C93" s="21">
        <v>1221704.0</v>
      </c>
      <c r="D93" s="21">
        <v>1740.0</v>
      </c>
      <c r="E93" s="38">
        <f t="shared" si="45"/>
        <v>367679.4062</v>
      </c>
      <c r="F93" s="38">
        <f t="shared" ref="F93:F98" si="57">G93/1.005</f>
        <v>448568.8756</v>
      </c>
      <c r="G93" s="44">
        <v>450811.72</v>
      </c>
      <c r="H93" s="38">
        <f t="shared" ref="H93:H98" si="58">E93/C93*1000</f>
        <v>300.9562105</v>
      </c>
      <c r="I93" s="49">
        <f t="shared" si="4"/>
        <v>211.3100036</v>
      </c>
      <c r="J93" s="15"/>
    </row>
    <row r="94">
      <c r="A94" s="17" t="s">
        <v>54</v>
      </c>
      <c r="B94" s="18" t="s">
        <v>94</v>
      </c>
      <c r="C94" s="21">
        <v>1273930.0</v>
      </c>
      <c r="D94" s="21">
        <v>2962.0</v>
      </c>
      <c r="E94" s="38">
        <f t="shared" si="45"/>
        <v>409587.5459</v>
      </c>
      <c r="F94" s="38">
        <f t="shared" si="57"/>
        <v>499696.806</v>
      </c>
      <c r="G94" s="44">
        <v>502195.29</v>
      </c>
      <c r="H94" s="38">
        <f t="shared" si="58"/>
        <v>321.5149544</v>
      </c>
      <c r="I94" s="49">
        <f t="shared" si="4"/>
        <v>138.280738</v>
      </c>
      <c r="J94" s="15"/>
    </row>
    <row r="95">
      <c r="A95" s="61" t="s">
        <v>39</v>
      </c>
      <c r="B95" s="18" t="s">
        <v>94</v>
      </c>
      <c r="C95" s="21">
        <v>878935.0</v>
      </c>
      <c r="D95" s="21">
        <v>12868.0</v>
      </c>
      <c r="E95" s="38">
        <f t="shared" si="45"/>
        <v>133775.3854</v>
      </c>
      <c r="F95" s="38">
        <f t="shared" si="57"/>
        <v>163205.9701</v>
      </c>
      <c r="G95" s="44">
        <v>164022.0</v>
      </c>
      <c r="H95" s="38">
        <f t="shared" si="58"/>
        <v>152.201682</v>
      </c>
      <c r="I95" s="49">
        <f t="shared" si="4"/>
        <v>10.39597337</v>
      </c>
      <c r="J95" s="15"/>
    </row>
    <row r="96">
      <c r="A96" s="17" t="s">
        <v>64</v>
      </c>
      <c r="B96" s="18" t="s">
        <v>94</v>
      </c>
      <c r="C96" s="159">
        <v>431464.0</v>
      </c>
      <c r="D96" s="159">
        <v>1415.0</v>
      </c>
      <c r="E96" s="38">
        <f t="shared" si="45"/>
        <v>27273.90099</v>
      </c>
      <c r="F96" s="38">
        <f t="shared" si="57"/>
        <v>33274.1592</v>
      </c>
      <c r="G96" s="141">
        <v>33440.53</v>
      </c>
      <c r="H96" s="38">
        <f t="shared" si="58"/>
        <v>63.21246034</v>
      </c>
      <c r="I96" s="49">
        <f t="shared" si="4"/>
        <v>19.27484169</v>
      </c>
      <c r="J96" s="15"/>
    </row>
    <row r="97">
      <c r="A97" s="17" t="s">
        <v>76</v>
      </c>
      <c r="B97" s="18" t="s">
        <v>94</v>
      </c>
      <c r="C97" s="21">
        <v>4033275.0</v>
      </c>
      <c r="D97" s="21">
        <v>39544.0</v>
      </c>
      <c r="E97" s="38">
        <f t="shared" si="45"/>
        <v>500088.8998</v>
      </c>
      <c r="F97" s="38">
        <f t="shared" si="57"/>
        <v>610108.4577</v>
      </c>
      <c r="G97" s="44">
        <v>613159.0</v>
      </c>
      <c r="H97" s="38">
        <f t="shared" si="58"/>
        <v>123.9907767</v>
      </c>
      <c r="I97" s="49">
        <f t="shared" si="4"/>
        <v>12.64639136</v>
      </c>
      <c r="J97" s="15"/>
    </row>
    <row r="98">
      <c r="A98" s="100" t="s">
        <v>41</v>
      </c>
      <c r="B98" s="18" t="s">
        <v>94</v>
      </c>
      <c r="C98" s="21">
        <v>1869475.0</v>
      </c>
      <c r="D98" s="21">
        <v>7746.0</v>
      </c>
      <c r="E98" s="38">
        <f t="shared" si="45"/>
        <v>449459.2611</v>
      </c>
      <c r="F98" s="38">
        <f t="shared" si="57"/>
        <v>548340.2985</v>
      </c>
      <c r="G98" s="44">
        <v>551082.0</v>
      </c>
      <c r="H98" s="38">
        <f t="shared" si="58"/>
        <v>240.4200436</v>
      </c>
      <c r="I98" s="49">
        <f t="shared" si="4"/>
        <v>58.02469159</v>
      </c>
      <c r="J98" s="15"/>
    </row>
    <row r="99">
      <c r="A99" s="76" t="s">
        <v>46</v>
      </c>
      <c r="B99" s="78"/>
      <c r="C99" s="80">
        <f t="shared" ref="C99:D99" si="59">SUM(C93:C98)</f>
        <v>9708783</v>
      </c>
      <c r="D99" s="80">
        <f t="shared" si="59"/>
        <v>66275</v>
      </c>
      <c r="E99" s="81">
        <f t="shared" si="45"/>
        <v>1887864.399</v>
      </c>
      <c r="F99" s="81">
        <f t="shared" ref="F99:G99" si="60">SUM(F93:F98)</f>
        <v>2303194.567</v>
      </c>
      <c r="G99" s="81">
        <f t="shared" si="60"/>
        <v>2314710.54</v>
      </c>
      <c r="H99" s="81">
        <f>E99/(C99/1000)</f>
        <v>194.4491291</v>
      </c>
      <c r="I99" s="84">
        <f t="shared" si="4"/>
        <v>28.48531723</v>
      </c>
      <c r="J99" s="15"/>
    </row>
    <row r="100">
      <c r="A100" s="61" t="s">
        <v>39</v>
      </c>
      <c r="B100" s="18" t="s">
        <v>95</v>
      </c>
      <c r="C100" s="21">
        <v>307929.0</v>
      </c>
      <c r="D100" s="21">
        <v>3064.0</v>
      </c>
      <c r="E100" s="38">
        <f t="shared" si="45"/>
        <v>33872.18824</v>
      </c>
      <c r="F100" s="38">
        <f t="shared" ref="F100:F104" si="61">G100/1.005</f>
        <v>41324.06965</v>
      </c>
      <c r="G100" s="44">
        <v>41530.69</v>
      </c>
      <c r="H100" s="38">
        <f t="shared" ref="H100:H104" si="62">E100/C100*1000</f>
        <v>109.9999943</v>
      </c>
      <c r="I100" s="49">
        <f t="shared" si="4"/>
        <v>11.05489172</v>
      </c>
      <c r="J100" s="15"/>
    </row>
    <row r="101">
      <c r="A101" s="100" t="s">
        <v>41</v>
      </c>
      <c r="B101" s="18" t="s">
        <v>95</v>
      </c>
      <c r="C101" s="21">
        <v>660895.0</v>
      </c>
      <c r="D101" s="21">
        <v>1143.0</v>
      </c>
      <c r="E101" s="38">
        <f t="shared" si="45"/>
        <v>129796.1178</v>
      </c>
      <c r="F101" s="38">
        <f t="shared" si="61"/>
        <v>158351.2637</v>
      </c>
      <c r="G101" s="44">
        <v>159143.02</v>
      </c>
      <c r="H101" s="38">
        <f t="shared" si="62"/>
        <v>196.3944617</v>
      </c>
      <c r="I101" s="49">
        <f t="shared" si="4"/>
        <v>113.5574084</v>
      </c>
      <c r="J101" s="15"/>
    </row>
    <row r="102">
      <c r="A102" s="61" t="s">
        <v>40</v>
      </c>
      <c r="B102" s="18" t="s">
        <v>95</v>
      </c>
      <c r="C102" s="21">
        <v>4833747.0</v>
      </c>
      <c r="D102" s="21">
        <v>5367.0</v>
      </c>
      <c r="E102" s="38">
        <f t="shared" si="45"/>
        <v>386675.524</v>
      </c>
      <c r="F102" s="38">
        <f t="shared" si="61"/>
        <v>471744.1393</v>
      </c>
      <c r="G102" s="44">
        <v>474102.86</v>
      </c>
      <c r="H102" s="38">
        <f t="shared" si="62"/>
        <v>79.99498609</v>
      </c>
      <c r="I102" s="49">
        <f t="shared" si="4"/>
        <v>72.04686492</v>
      </c>
      <c r="J102" s="15"/>
    </row>
    <row r="103">
      <c r="A103" s="17" t="s">
        <v>64</v>
      </c>
      <c r="B103" s="18" t="s">
        <v>95</v>
      </c>
      <c r="C103" s="21">
        <v>653781.0</v>
      </c>
      <c r="D103" s="21">
        <v>1784.0</v>
      </c>
      <c r="E103" s="38">
        <f t="shared" si="45"/>
        <v>86435.38047</v>
      </c>
      <c r="F103" s="38">
        <f t="shared" si="61"/>
        <v>105451.1642</v>
      </c>
      <c r="G103" s="44">
        <v>105978.42</v>
      </c>
      <c r="H103" s="38">
        <f t="shared" si="62"/>
        <v>132.208462</v>
      </c>
      <c r="I103" s="49">
        <f t="shared" si="4"/>
        <v>48.45032538</v>
      </c>
      <c r="J103" s="15"/>
    </row>
    <row r="104">
      <c r="A104" s="17" t="s">
        <v>96</v>
      </c>
      <c r="B104" s="18" t="s">
        <v>95</v>
      </c>
      <c r="C104" s="21">
        <v>34002.0</v>
      </c>
      <c r="D104" s="21">
        <v>1849.0</v>
      </c>
      <c r="E104" s="38">
        <f t="shared" si="45"/>
        <v>43616.39344</v>
      </c>
      <c r="F104" s="38">
        <f t="shared" si="61"/>
        <v>53212</v>
      </c>
      <c r="G104" s="44">
        <v>53478.06</v>
      </c>
      <c r="H104" s="38">
        <f t="shared" si="62"/>
        <v>1282.759645</v>
      </c>
      <c r="I104" s="49">
        <f t="shared" si="4"/>
        <v>23.5891798</v>
      </c>
      <c r="J104" s="15"/>
    </row>
    <row r="105">
      <c r="A105" s="76" t="s">
        <v>46</v>
      </c>
      <c r="B105" s="78"/>
      <c r="C105" s="80">
        <f t="shared" ref="C105:D105" si="63">SUM(C100:C103)</f>
        <v>6456352</v>
      </c>
      <c r="D105" s="80">
        <f t="shared" si="63"/>
        <v>11358</v>
      </c>
      <c r="E105" s="81">
        <f t="shared" si="45"/>
        <v>636779.2105</v>
      </c>
      <c r="F105" s="81">
        <f t="shared" ref="F105:G105" si="64">SUM(F100:F103)</f>
        <v>776870.6368</v>
      </c>
      <c r="G105" s="81">
        <f t="shared" si="64"/>
        <v>780754.99</v>
      </c>
      <c r="H105" s="81">
        <f>E105/(C105/1000)</f>
        <v>98.6283292</v>
      </c>
      <c r="I105" s="84">
        <f t="shared" si="4"/>
        <v>56.06437846</v>
      </c>
      <c r="J105" s="15"/>
    </row>
    <row r="106">
      <c r="A106" s="17" t="s">
        <v>96</v>
      </c>
      <c r="B106" s="18" t="s">
        <v>97</v>
      </c>
      <c r="C106" s="21">
        <v>45312.0</v>
      </c>
      <c r="D106" s="21">
        <v>2786.0</v>
      </c>
      <c r="E106" s="38">
        <f t="shared" si="45"/>
        <v>53040.98361</v>
      </c>
      <c r="F106" s="38">
        <f t="shared" ref="F106:F110" si="65">G106/1.005</f>
        <v>64710</v>
      </c>
      <c r="G106" s="44">
        <v>65033.55</v>
      </c>
      <c r="H106" s="38">
        <f t="shared" ref="H106:H110" si="66">E106/C106*1000</f>
        <v>1170.572555</v>
      </c>
      <c r="I106" s="49">
        <f t="shared" si="4"/>
        <v>19.03840043</v>
      </c>
      <c r="J106" s="15"/>
    </row>
    <row r="107">
      <c r="A107" s="54" t="s">
        <v>37</v>
      </c>
      <c r="B107" s="18" t="s">
        <v>97</v>
      </c>
      <c r="C107" s="21">
        <v>2727120.0</v>
      </c>
      <c r="D107" s="21">
        <v>7137.0</v>
      </c>
      <c r="E107" s="38">
        <f t="shared" si="45"/>
        <v>245440.796</v>
      </c>
      <c r="F107" s="38">
        <f t="shared" si="65"/>
        <v>299437.7711</v>
      </c>
      <c r="G107" s="44">
        <v>300934.96</v>
      </c>
      <c r="H107" s="38">
        <f t="shared" si="66"/>
        <v>89.99999854</v>
      </c>
      <c r="I107" s="49">
        <f t="shared" si="4"/>
        <v>34.38991117</v>
      </c>
      <c r="J107" s="15"/>
    </row>
    <row r="108">
      <c r="A108" s="17" t="s">
        <v>76</v>
      </c>
      <c r="B108" s="18" t="s">
        <v>97</v>
      </c>
      <c r="C108" s="21">
        <v>3393662.0</v>
      </c>
      <c r="D108" s="21">
        <v>56561.0</v>
      </c>
      <c r="E108" s="38">
        <f t="shared" si="45"/>
        <v>400039.3769</v>
      </c>
      <c r="F108" s="38">
        <f t="shared" si="65"/>
        <v>488048.0398</v>
      </c>
      <c r="G108" s="44">
        <v>490488.28</v>
      </c>
      <c r="H108" s="38">
        <f t="shared" si="66"/>
        <v>117.8783794</v>
      </c>
      <c r="I108" s="49">
        <f t="shared" si="4"/>
        <v>7.072706934</v>
      </c>
      <c r="J108" s="15"/>
    </row>
    <row r="109">
      <c r="A109" s="61" t="s">
        <v>39</v>
      </c>
      <c r="B109" s="18" t="s">
        <v>97</v>
      </c>
      <c r="C109" s="21">
        <v>57809.0</v>
      </c>
      <c r="D109" s="21">
        <v>208.0</v>
      </c>
      <c r="E109" s="38">
        <f t="shared" si="45"/>
        <v>6338.993557</v>
      </c>
      <c r="F109" s="38">
        <f t="shared" si="65"/>
        <v>7733.572139</v>
      </c>
      <c r="G109" s="117">
        <v>7772.24</v>
      </c>
      <c r="H109" s="38">
        <f t="shared" si="66"/>
        <v>109.6540946</v>
      </c>
      <c r="I109" s="49">
        <f t="shared" si="4"/>
        <v>30.47593056</v>
      </c>
      <c r="J109" s="15"/>
    </row>
    <row r="110">
      <c r="A110" s="100" t="s">
        <v>41</v>
      </c>
      <c r="B110" s="18" t="s">
        <v>97</v>
      </c>
      <c r="C110" s="21">
        <v>2399329.0</v>
      </c>
      <c r="D110" s="21">
        <v>9382.0</v>
      </c>
      <c r="E110" s="38">
        <f t="shared" si="45"/>
        <v>492815.5778</v>
      </c>
      <c r="F110" s="38">
        <f t="shared" si="65"/>
        <v>601235.005</v>
      </c>
      <c r="G110" s="44">
        <v>604241.18</v>
      </c>
      <c r="H110" s="38">
        <f t="shared" si="66"/>
        <v>205.3972498</v>
      </c>
      <c r="I110" s="49">
        <f t="shared" si="4"/>
        <v>52.52777423</v>
      </c>
      <c r="J110" s="15"/>
    </row>
    <row r="111">
      <c r="A111" s="76" t="s">
        <v>46</v>
      </c>
      <c r="B111" s="78"/>
      <c r="C111" s="80">
        <f t="shared" ref="C111:D111" si="67">SUM(C106:C110)</f>
        <v>8623232</v>
      </c>
      <c r="D111" s="80">
        <f t="shared" si="67"/>
        <v>76074</v>
      </c>
      <c r="E111" s="81">
        <f t="shared" si="45"/>
        <v>1144634.744</v>
      </c>
      <c r="F111" s="81">
        <f>SUM(F107:F110)</f>
        <v>1396454.388</v>
      </c>
      <c r="G111" s="81">
        <f>SUM(G106:G110)</f>
        <v>1468470.21</v>
      </c>
      <c r="H111" s="81">
        <f>E111/(C111/1000)</f>
        <v>132.7384842</v>
      </c>
      <c r="I111" s="84">
        <f t="shared" si="4"/>
        <v>15.0463331</v>
      </c>
      <c r="J111" s="15"/>
    </row>
    <row r="112">
      <c r="A112" s="54" t="s">
        <v>98</v>
      </c>
      <c r="B112" s="161" t="s">
        <v>99</v>
      </c>
      <c r="C112" s="21">
        <v>2796860.0</v>
      </c>
      <c r="D112" s="21">
        <v>30839.0</v>
      </c>
      <c r="E112" s="38">
        <f t="shared" si="45"/>
        <v>413935.2663</v>
      </c>
      <c r="F112" s="38">
        <f t="shared" ref="F112:F113" si="68">G112/1.005</f>
        <v>505001.0249</v>
      </c>
      <c r="G112" s="44">
        <v>507526.03</v>
      </c>
      <c r="H112" s="38">
        <f t="shared" ref="H112:H113" si="69">E112/C112*1000</f>
        <v>147.9999951</v>
      </c>
      <c r="I112" s="49">
        <f t="shared" si="4"/>
        <v>13.42246072</v>
      </c>
      <c r="J112" s="15"/>
    </row>
    <row r="113">
      <c r="A113" s="17" t="s">
        <v>96</v>
      </c>
      <c r="B113" s="161" t="s">
        <v>99</v>
      </c>
      <c r="C113" s="21">
        <v>40056.0</v>
      </c>
      <c r="D113" s="21">
        <v>2033.0</v>
      </c>
      <c r="E113" s="38">
        <f t="shared" si="45"/>
        <v>46569.67621</v>
      </c>
      <c r="F113" s="38">
        <f t="shared" si="68"/>
        <v>56815.00498</v>
      </c>
      <c r="G113" s="44">
        <v>57099.08</v>
      </c>
      <c r="H113" s="38">
        <f t="shared" si="69"/>
        <v>1162.614245</v>
      </c>
      <c r="I113" s="49">
        <f t="shared" si="4"/>
        <v>22.90687467</v>
      </c>
      <c r="J113" s="15"/>
    </row>
    <row r="114">
      <c r="A114" s="76" t="s">
        <v>46</v>
      </c>
      <c r="B114" s="78"/>
      <c r="C114" s="80">
        <f t="shared" ref="C114:D114" si="70">SUM(C112:C113)</f>
        <v>2836916</v>
      </c>
      <c r="D114" s="80">
        <f t="shared" si="70"/>
        <v>32872</v>
      </c>
      <c r="E114" s="81">
        <f t="shared" si="45"/>
        <v>460504.9425</v>
      </c>
      <c r="F114" s="81">
        <f t="shared" ref="F114:G114" si="71">SUM(F112:F113)</f>
        <v>561816.0299</v>
      </c>
      <c r="G114" s="81">
        <f t="shared" si="71"/>
        <v>564625.11</v>
      </c>
      <c r="H114" s="81">
        <f>E114/(C114/1000)</f>
        <v>162.3258999</v>
      </c>
      <c r="I114" s="84">
        <f t="shared" si="4"/>
        <v>14.0090333</v>
      </c>
      <c r="J114" s="15"/>
    </row>
    <row r="115">
      <c r="A115" s="94" t="s">
        <v>100</v>
      </c>
      <c r="B115" s="18" t="s">
        <v>101</v>
      </c>
      <c r="C115" s="87" t="s">
        <v>67</v>
      </c>
      <c r="D115" s="87" t="s">
        <v>67</v>
      </c>
      <c r="E115" s="38">
        <f t="shared" si="45"/>
        <v>332137.5989</v>
      </c>
      <c r="F115" s="38">
        <f t="shared" ref="F115:F117" si="72">G115/1.005</f>
        <v>405207.8706</v>
      </c>
      <c r="G115" s="44">
        <v>407233.91</v>
      </c>
      <c r="H115" s="87" t="s">
        <v>67</v>
      </c>
      <c r="I115" s="164" t="s">
        <v>67</v>
      </c>
      <c r="J115" s="15"/>
    </row>
    <row r="116">
      <c r="A116" s="94" t="s">
        <v>102</v>
      </c>
      <c r="B116" s="18" t="s">
        <v>101</v>
      </c>
      <c r="C116" s="87" t="s">
        <v>67</v>
      </c>
      <c r="D116" s="87" t="s">
        <v>67</v>
      </c>
      <c r="E116" s="38">
        <f t="shared" si="45"/>
        <v>11537.99038</v>
      </c>
      <c r="F116" s="38">
        <f t="shared" si="72"/>
        <v>14076.34826</v>
      </c>
      <c r="G116" s="44">
        <v>14146.73</v>
      </c>
      <c r="H116" s="87" t="s">
        <v>67</v>
      </c>
      <c r="I116" s="164" t="s">
        <v>67</v>
      </c>
      <c r="J116" s="15"/>
    </row>
    <row r="117">
      <c r="A117" s="54" t="s">
        <v>103</v>
      </c>
      <c r="B117" s="18" t="s">
        <v>101</v>
      </c>
      <c r="C117" s="87" t="s">
        <v>67</v>
      </c>
      <c r="D117" s="87" t="s">
        <v>67</v>
      </c>
      <c r="E117" s="38">
        <f t="shared" si="45"/>
        <v>28725.90327</v>
      </c>
      <c r="F117" s="38">
        <f t="shared" si="72"/>
        <v>35045.60199</v>
      </c>
      <c r="G117" s="44">
        <v>35220.83</v>
      </c>
      <c r="H117" s="87" t="s">
        <v>67</v>
      </c>
      <c r="I117" s="164" t="s">
        <v>67</v>
      </c>
      <c r="J117" s="15"/>
    </row>
    <row r="118">
      <c r="A118" s="166" t="s">
        <v>46</v>
      </c>
      <c r="B118" s="167"/>
      <c r="C118" s="168" t="s">
        <v>67</v>
      </c>
      <c r="D118" s="168" t="s">
        <v>67</v>
      </c>
      <c r="E118" s="169">
        <f t="shared" si="45"/>
        <v>372401.4925</v>
      </c>
      <c r="F118" s="169">
        <f>SUM(F115:F117)</f>
        <v>454329.8209</v>
      </c>
      <c r="G118" s="169">
        <f>F118*1.01</f>
        <v>458873.1191</v>
      </c>
      <c r="H118" s="168" t="s">
        <v>67</v>
      </c>
      <c r="I118" s="170" t="s">
        <v>67</v>
      </c>
      <c r="J118" s="15"/>
    </row>
    <row r="119">
      <c r="A119" s="15"/>
      <c r="B119" s="15"/>
      <c r="C119" s="15"/>
      <c r="D119" s="15"/>
      <c r="E119" s="74"/>
      <c r="F119" s="74"/>
      <c r="G119" s="74"/>
      <c r="H119" s="74"/>
      <c r="I119" s="74"/>
      <c r="J119" s="15"/>
    </row>
    <row r="120">
      <c r="C120" s="15"/>
      <c r="D120" s="15"/>
      <c r="E120" s="74"/>
      <c r="F120" s="74"/>
      <c r="G120" s="74"/>
      <c r="H120" s="74"/>
      <c r="I120" s="74"/>
      <c r="J120" s="15"/>
    </row>
    <row r="121">
      <c r="C121" s="139">
        <f t="shared" ref="C121:D121" si="73">SUM(C94,C93,C87,C79,C78,C72,C71,C70,C63,C54,C53,C47,C46,C36,C35,C34,C26,C24,C23,C22,C12,C11,C2)</f>
        <v>28643289</v>
      </c>
      <c r="D121" s="139">
        <f t="shared" si="73"/>
        <v>63646</v>
      </c>
      <c r="E121" s="74"/>
      <c r="F121" s="74">
        <f>SUM(F94,F93,F87,F79,F78,F72,F71,F70,F63,F54,F53,F47,F46,F36,F35,F34,F26,F24,F23,F22,F12,F11,F2)</f>
        <v>10690959.37</v>
      </c>
      <c r="G121" s="74"/>
      <c r="H121" s="74"/>
      <c r="I121" s="74"/>
      <c r="J121" s="15"/>
    </row>
    <row r="122">
      <c r="C122" s="15"/>
      <c r="D122" s="15"/>
      <c r="E122" s="74"/>
      <c r="F122" s="74"/>
      <c r="G122" s="74"/>
      <c r="H122" s="74"/>
      <c r="I122" s="74"/>
      <c r="J122" s="15"/>
    </row>
    <row r="123">
      <c r="A123" s="15"/>
      <c r="B123" s="15"/>
      <c r="C123" s="15"/>
      <c r="D123" s="15"/>
      <c r="E123" s="74"/>
      <c r="F123" s="74"/>
      <c r="G123" s="74"/>
      <c r="H123" s="74"/>
      <c r="I123" s="74"/>
      <c r="J123" s="15"/>
    </row>
    <row r="124">
      <c r="A124" s="15"/>
      <c r="B124" s="15"/>
      <c r="C124" s="15"/>
      <c r="D124" s="15"/>
      <c r="E124" s="74"/>
      <c r="F124" s="74"/>
      <c r="G124" s="74"/>
      <c r="H124" s="74"/>
      <c r="I124" s="74"/>
      <c r="J124" s="15"/>
    </row>
    <row r="125">
      <c r="A125" s="15"/>
      <c r="B125" s="15"/>
      <c r="C125" s="15"/>
      <c r="D125" s="15"/>
      <c r="E125" s="74"/>
      <c r="F125" s="74"/>
      <c r="G125" s="74"/>
      <c r="H125" s="74"/>
      <c r="I125" s="74"/>
      <c r="J125" s="15"/>
    </row>
    <row r="126">
      <c r="A126" s="15"/>
      <c r="B126" s="15"/>
      <c r="C126" s="15"/>
      <c r="D126" s="15"/>
      <c r="E126" s="74"/>
      <c r="F126" s="74"/>
      <c r="G126" s="74"/>
      <c r="H126" s="74"/>
      <c r="I126" s="74"/>
      <c r="J126" s="15"/>
    </row>
    <row r="127">
      <c r="A127" s="15"/>
      <c r="B127" s="15"/>
      <c r="C127" s="15"/>
      <c r="D127" s="15"/>
      <c r="E127" s="74"/>
      <c r="F127" s="74"/>
      <c r="G127" s="74"/>
      <c r="H127" s="74"/>
      <c r="I127" s="74"/>
      <c r="J127" s="15"/>
    </row>
    <row r="128">
      <c r="A128" s="15"/>
      <c r="B128" s="15"/>
      <c r="C128" s="15"/>
      <c r="D128" s="15"/>
      <c r="E128" s="74"/>
      <c r="F128" s="74"/>
      <c r="G128" s="74"/>
      <c r="H128" s="74"/>
      <c r="I128" s="74"/>
      <c r="J128" s="15"/>
    </row>
    <row r="129">
      <c r="A129" s="15"/>
      <c r="B129" s="15"/>
      <c r="C129" s="15"/>
      <c r="D129" s="15"/>
      <c r="E129" s="74"/>
      <c r="F129" s="74"/>
      <c r="G129" s="74"/>
      <c r="H129" s="74"/>
      <c r="I129" s="74"/>
      <c r="J129" s="15"/>
    </row>
    <row r="130">
      <c r="A130" s="15"/>
      <c r="B130" s="15"/>
      <c r="C130" s="15"/>
      <c r="D130" s="15"/>
      <c r="E130" s="74"/>
      <c r="F130" s="74"/>
      <c r="G130" s="74"/>
      <c r="H130" s="74"/>
      <c r="I130" s="74"/>
      <c r="J130" s="15"/>
    </row>
    <row r="131">
      <c r="A131" s="15"/>
      <c r="B131" s="15"/>
      <c r="C131" s="15"/>
      <c r="D131" s="15"/>
      <c r="E131" s="74"/>
      <c r="F131" s="74"/>
      <c r="G131" s="74"/>
      <c r="H131" s="74"/>
      <c r="I131" s="74"/>
      <c r="J131" s="15"/>
    </row>
    <row r="132">
      <c r="A132" s="15"/>
      <c r="B132" s="15"/>
      <c r="C132" s="15"/>
      <c r="D132" s="15"/>
      <c r="E132" s="74"/>
      <c r="F132" s="74"/>
      <c r="G132" s="74"/>
      <c r="H132" s="74"/>
      <c r="I132" s="74"/>
      <c r="J132" s="15"/>
    </row>
    <row r="133">
      <c r="A133" s="15"/>
      <c r="B133" s="15"/>
      <c r="C133" s="15"/>
      <c r="D133" s="15"/>
      <c r="E133" s="74"/>
      <c r="F133" s="74"/>
      <c r="G133" s="74"/>
      <c r="H133" s="74"/>
      <c r="I133" s="74"/>
      <c r="J133" s="15"/>
    </row>
    <row r="134">
      <c r="A134" s="15"/>
      <c r="B134" s="15"/>
      <c r="C134" s="15"/>
      <c r="D134" s="15"/>
      <c r="E134" s="74"/>
      <c r="F134" s="74"/>
      <c r="G134" s="74"/>
      <c r="H134" s="74"/>
      <c r="I134" s="74"/>
      <c r="J134" s="15"/>
    </row>
    <row r="135">
      <c r="A135" s="15"/>
      <c r="B135" s="15"/>
      <c r="C135" s="15"/>
      <c r="D135" s="15"/>
      <c r="E135" s="74"/>
      <c r="F135" s="74"/>
      <c r="G135" s="74"/>
      <c r="H135" s="74"/>
      <c r="I135" s="74"/>
      <c r="J135" s="15"/>
    </row>
    <row r="136">
      <c r="A136" s="15"/>
      <c r="B136" s="15"/>
      <c r="C136" s="15"/>
      <c r="D136" s="15"/>
      <c r="E136" s="74"/>
      <c r="F136" s="74"/>
      <c r="G136" s="74"/>
      <c r="H136" s="74"/>
      <c r="I136" s="74"/>
      <c r="J136" s="15"/>
    </row>
    <row r="137">
      <c r="A137" s="15"/>
      <c r="B137" s="15"/>
      <c r="C137" s="15"/>
      <c r="D137" s="15"/>
      <c r="E137" s="74"/>
      <c r="F137" s="74"/>
      <c r="G137" s="74"/>
      <c r="H137" s="74"/>
      <c r="I137" s="74"/>
      <c r="J137" s="15"/>
    </row>
    <row r="138">
      <c r="A138" s="15"/>
      <c r="B138" s="15"/>
      <c r="C138" s="15"/>
      <c r="D138" s="15"/>
      <c r="E138" s="74"/>
      <c r="F138" s="74"/>
      <c r="G138" s="74"/>
      <c r="H138" s="74"/>
      <c r="I138" s="74"/>
      <c r="J138" s="15"/>
    </row>
    <row r="139">
      <c r="A139" s="15"/>
      <c r="B139" s="15"/>
      <c r="C139" s="15"/>
      <c r="D139" s="15"/>
      <c r="E139" s="74"/>
      <c r="F139" s="74"/>
      <c r="G139" s="74"/>
      <c r="H139" s="74"/>
      <c r="I139" s="74"/>
      <c r="J139" s="15"/>
    </row>
    <row r="140">
      <c r="A140" s="15"/>
      <c r="B140" s="15"/>
      <c r="C140" s="15"/>
      <c r="D140" s="15"/>
      <c r="E140" s="74"/>
      <c r="F140" s="74"/>
      <c r="G140" s="74"/>
      <c r="H140" s="74"/>
      <c r="I140" s="74"/>
      <c r="J140" s="15"/>
    </row>
    <row r="141">
      <c r="A141" s="15"/>
      <c r="B141" s="15"/>
      <c r="C141" s="15"/>
      <c r="D141" s="15"/>
      <c r="E141" s="74"/>
      <c r="F141" s="74"/>
      <c r="G141" s="74"/>
      <c r="H141" s="74"/>
      <c r="I141" s="74"/>
      <c r="J141" s="15"/>
    </row>
    <row r="142">
      <c r="A142" s="15"/>
      <c r="B142" s="15"/>
      <c r="C142" s="15"/>
      <c r="D142" s="15"/>
      <c r="E142" s="74"/>
      <c r="F142" s="74"/>
      <c r="G142" s="74"/>
      <c r="H142" s="74"/>
      <c r="I142" s="74"/>
      <c r="J142" s="15"/>
    </row>
    <row r="143">
      <c r="A143" s="15"/>
      <c r="B143" s="15"/>
      <c r="C143" s="15"/>
      <c r="D143" s="15"/>
      <c r="E143" s="74"/>
      <c r="F143" s="74"/>
      <c r="G143" s="74"/>
      <c r="H143" s="74"/>
      <c r="I143" s="74"/>
      <c r="J143" s="15"/>
    </row>
    <row r="144">
      <c r="A144" s="15"/>
      <c r="B144" s="15"/>
      <c r="C144" s="15"/>
      <c r="D144" s="15"/>
      <c r="E144" s="74"/>
      <c r="F144" s="74"/>
      <c r="G144" s="74"/>
      <c r="H144" s="74"/>
      <c r="I144" s="74"/>
      <c r="J144" s="15"/>
    </row>
    <row r="145">
      <c r="A145" s="15"/>
      <c r="B145" s="15"/>
      <c r="C145" s="15"/>
      <c r="D145" s="15"/>
      <c r="E145" s="74"/>
      <c r="F145" s="74"/>
      <c r="G145" s="74"/>
      <c r="H145" s="74"/>
      <c r="I145" s="74"/>
      <c r="J145" s="15"/>
    </row>
    <row r="146">
      <c r="A146" s="15"/>
      <c r="B146" s="15"/>
      <c r="C146" s="15"/>
      <c r="D146" s="15"/>
      <c r="E146" s="74"/>
      <c r="F146" s="74"/>
      <c r="G146" s="74"/>
      <c r="H146" s="74"/>
      <c r="I146" s="74"/>
      <c r="J146" s="15"/>
    </row>
    <row r="147">
      <c r="A147" s="15"/>
      <c r="B147" s="15"/>
      <c r="C147" s="15"/>
      <c r="D147" s="15"/>
      <c r="E147" s="74"/>
      <c r="F147" s="74"/>
      <c r="G147" s="74"/>
      <c r="H147" s="74"/>
      <c r="I147" s="74"/>
      <c r="J147" s="15"/>
    </row>
    <row r="148">
      <c r="A148" s="15"/>
      <c r="B148" s="15"/>
      <c r="C148" s="15"/>
      <c r="D148" s="15"/>
      <c r="E148" s="74"/>
      <c r="F148" s="74"/>
      <c r="G148" s="74"/>
      <c r="H148" s="74"/>
      <c r="I148" s="74"/>
      <c r="J148" s="15"/>
    </row>
    <row r="149">
      <c r="A149" s="15"/>
      <c r="B149" s="15"/>
      <c r="C149" s="15"/>
      <c r="D149" s="15"/>
      <c r="E149" s="74"/>
      <c r="F149" s="74"/>
      <c r="G149" s="74"/>
      <c r="H149" s="74"/>
      <c r="I149" s="74"/>
      <c r="J149" s="15"/>
    </row>
    <row r="150">
      <c r="A150" s="15"/>
      <c r="B150" s="15"/>
      <c r="C150" s="15"/>
      <c r="D150" s="15"/>
      <c r="E150" s="74"/>
      <c r="F150" s="74"/>
      <c r="G150" s="74"/>
      <c r="H150" s="74"/>
      <c r="I150" s="74"/>
      <c r="J150" s="15"/>
    </row>
    <row r="151">
      <c r="A151" s="15"/>
      <c r="B151" s="15"/>
      <c r="C151" s="15"/>
      <c r="D151" s="15"/>
      <c r="E151" s="74"/>
      <c r="F151" s="74"/>
      <c r="G151" s="74"/>
      <c r="H151" s="74"/>
      <c r="I151" s="74"/>
      <c r="J151" s="15"/>
    </row>
    <row r="152">
      <c r="A152" s="15"/>
      <c r="B152" s="15"/>
      <c r="C152" s="15"/>
      <c r="D152" s="15"/>
      <c r="E152" s="74"/>
      <c r="F152" s="74"/>
      <c r="G152" s="74"/>
      <c r="H152" s="74"/>
      <c r="I152" s="74"/>
      <c r="J152" s="15"/>
    </row>
    <row r="153">
      <c r="A153" s="15"/>
      <c r="B153" s="15"/>
      <c r="C153" s="15"/>
      <c r="D153" s="15"/>
      <c r="E153" s="74"/>
      <c r="F153" s="74"/>
      <c r="G153" s="74"/>
      <c r="H153" s="74"/>
      <c r="I153" s="74"/>
      <c r="J153" s="15"/>
    </row>
    <row r="154">
      <c r="A154" s="15"/>
      <c r="B154" s="15"/>
      <c r="C154" s="15"/>
      <c r="D154" s="15"/>
      <c r="E154" s="74"/>
      <c r="F154" s="74"/>
      <c r="G154" s="74"/>
      <c r="H154" s="74"/>
      <c r="I154" s="74"/>
      <c r="J154" s="15"/>
    </row>
    <row r="155">
      <c r="A155" s="15"/>
      <c r="B155" s="15"/>
      <c r="C155" s="15"/>
      <c r="D155" s="15"/>
      <c r="E155" s="74"/>
      <c r="F155" s="74"/>
      <c r="G155" s="74"/>
      <c r="H155" s="74"/>
      <c r="I155" s="74"/>
      <c r="J155" s="15"/>
    </row>
    <row r="156">
      <c r="A156" s="15"/>
      <c r="B156" s="15"/>
      <c r="C156" s="15"/>
      <c r="D156" s="15"/>
      <c r="E156" s="74"/>
      <c r="F156" s="74"/>
      <c r="G156" s="74"/>
      <c r="H156" s="74"/>
      <c r="I156" s="74"/>
      <c r="J156" s="15"/>
    </row>
    <row r="157">
      <c r="A157" s="15"/>
      <c r="B157" s="15"/>
      <c r="C157" s="15"/>
      <c r="D157" s="15"/>
      <c r="E157" s="74"/>
      <c r="F157" s="74"/>
      <c r="G157" s="74"/>
      <c r="H157" s="74"/>
      <c r="I157" s="74"/>
      <c r="J157" s="15"/>
    </row>
    <row r="158">
      <c r="A158" s="15"/>
      <c r="B158" s="15"/>
      <c r="C158" s="15"/>
      <c r="D158" s="15"/>
      <c r="E158" s="74"/>
      <c r="F158" s="74"/>
      <c r="G158" s="74"/>
      <c r="H158" s="74"/>
      <c r="I158" s="74"/>
      <c r="J158" s="15"/>
    </row>
    <row r="159">
      <c r="A159" s="15"/>
      <c r="B159" s="15"/>
      <c r="C159" s="15"/>
      <c r="D159" s="15"/>
      <c r="E159" s="74"/>
      <c r="F159" s="74"/>
      <c r="G159" s="74"/>
      <c r="H159" s="74"/>
      <c r="I159" s="74"/>
      <c r="J159" s="15"/>
    </row>
    <row r="160">
      <c r="A160" s="15"/>
      <c r="B160" s="15"/>
      <c r="C160" s="15"/>
      <c r="D160" s="15"/>
      <c r="E160" s="74"/>
      <c r="F160" s="74"/>
      <c r="G160" s="74"/>
      <c r="H160" s="74"/>
      <c r="I160" s="74"/>
      <c r="J160" s="15"/>
    </row>
    <row r="161">
      <c r="A161" s="15"/>
      <c r="B161" s="15"/>
      <c r="C161" s="15"/>
      <c r="D161" s="15"/>
      <c r="E161" s="74"/>
      <c r="F161" s="74"/>
      <c r="G161" s="74"/>
      <c r="H161" s="74"/>
      <c r="I161" s="74"/>
      <c r="J161" s="15"/>
    </row>
    <row r="162">
      <c r="A162" s="15"/>
      <c r="B162" s="15"/>
      <c r="C162" s="15"/>
      <c r="D162" s="15"/>
      <c r="E162" s="74"/>
      <c r="F162" s="74"/>
      <c r="G162" s="74"/>
      <c r="H162" s="74"/>
      <c r="I162" s="74"/>
      <c r="J162" s="15"/>
    </row>
    <row r="163">
      <c r="A163" s="15"/>
      <c r="B163" s="15"/>
      <c r="C163" s="15"/>
      <c r="D163" s="15"/>
      <c r="E163" s="74"/>
      <c r="F163" s="74"/>
      <c r="G163" s="74"/>
      <c r="H163" s="74"/>
      <c r="I163" s="74"/>
      <c r="J163" s="15"/>
    </row>
    <row r="164">
      <c r="A164" s="15"/>
      <c r="B164" s="15"/>
      <c r="C164" s="15"/>
      <c r="D164" s="15"/>
      <c r="E164" s="74"/>
      <c r="F164" s="74"/>
      <c r="G164" s="74"/>
      <c r="H164" s="74"/>
      <c r="I164" s="74"/>
      <c r="J164" s="15"/>
    </row>
    <row r="165">
      <c r="A165" s="15"/>
      <c r="B165" s="15"/>
      <c r="C165" s="15"/>
      <c r="D165" s="15"/>
      <c r="E165" s="74"/>
      <c r="F165" s="74"/>
      <c r="G165" s="74"/>
      <c r="H165" s="74"/>
      <c r="I165" s="74"/>
      <c r="J165" s="15"/>
    </row>
    <row r="166">
      <c r="A166" s="15"/>
      <c r="B166" s="15"/>
      <c r="C166" s="15"/>
      <c r="D166" s="15"/>
      <c r="E166" s="74"/>
      <c r="F166" s="74"/>
      <c r="G166" s="74"/>
      <c r="H166" s="74"/>
      <c r="I166" s="74"/>
      <c r="J166" s="15"/>
    </row>
    <row r="167">
      <c r="A167" s="15"/>
      <c r="B167" s="15"/>
      <c r="C167" s="15"/>
      <c r="D167" s="15"/>
      <c r="E167" s="74"/>
      <c r="F167" s="74"/>
      <c r="G167" s="74"/>
      <c r="H167" s="74"/>
      <c r="I167" s="74"/>
      <c r="J167" s="15"/>
    </row>
    <row r="168">
      <c r="A168" s="15"/>
      <c r="B168" s="15"/>
      <c r="C168" s="15"/>
      <c r="D168" s="15"/>
      <c r="E168" s="74"/>
      <c r="F168" s="74"/>
      <c r="G168" s="74"/>
      <c r="H168" s="74"/>
      <c r="I168" s="74"/>
      <c r="J168" s="15"/>
    </row>
    <row r="169">
      <c r="A169" s="15"/>
      <c r="B169" s="15"/>
      <c r="C169" s="15"/>
      <c r="D169" s="15"/>
      <c r="E169" s="74"/>
      <c r="F169" s="74"/>
      <c r="G169" s="74"/>
      <c r="H169" s="74"/>
      <c r="I169" s="74"/>
      <c r="J169" s="15"/>
    </row>
    <row r="170">
      <c r="A170" s="15"/>
      <c r="B170" s="15"/>
      <c r="C170" s="15"/>
      <c r="D170" s="15"/>
      <c r="E170" s="74"/>
      <c r="F170" s="74"/>
      <c r="G170" s="74"/>
      <c r="H170" s="74"/>
      <c r="I170" s="74"/>
      <c r="J170" s="15"/>
    </row>
    <row r="171">
      <c r="A171" s="15"/>
      <c r="B171" s="15"/>
      <c r="C171" s="15"/>
      <c r="D171" s="15"/>
      <c r="E171" s="74"/>
      <c r="F171" s="74"/>
      <c r="G171" s="74"/>
      <c r="H171" s="74"/>
      <c r="I171" s="74"/>
      <c r="J171" s="15"/>
    </row>
    <row r="172">
      <c r="A172" s="15"/>
      <c r="B172" s="15"/>
      <c r="C172" s="15"/>
      <c r="D172" s="15"/>
      <c r="E172" s="74"/>
      <c r="F172" s="74"/>
      <c r="G172" s="74"/>
      <c r="H172" s="74"/>
      <c r="I172" s="74"/>
      <c r="J172" s="15"/>
    </row>
    <row r="173">
      <c r="A173" s="15"/>
      <c r="B173" s="15"/>
      <c r="C173" s="15"/>
      <c r="D173" s="15"/>
      <c r="E173" s="74"/>
      <c r="F173" s="74"/>
      <c r="G173" s="74"/>
      <c r="H173" s="74"/>
      <c r="I173" s="74"/>
      <c r="J173" s="15"/>
    </row>
    <row r="174">
      <c r="A174" s="15"/>
      <c r="B174" s="15"/>
      <c r="C174" s="15"/>
      <c r="D174" s="15"/>
      <c r="E174" s="74"/>
      <c r="F174" s="74"/>
      <c r="G174" s="74"/>
      <c r="H174" s="74"/>
      <c r="I174" s="74"/>
      <c r="J174" s="15"/>
    </row>
    <row r="175">
      <c r="A175" s="15"/>
      <c r="B175" s="15"/>
      <c r="C175" s="15"/>
      <c r="D175" s="15"/>
      <c r="E175" s="74"/>
      <c r="F175" s="74"/>
      <c r="G175" s="74"/>
      <c r="H175" s="74"/>
      <c r="I175" s="74"/>
      <c r="J175" s="15"/>
    </row>
    <row r="176">
      <c r="A176" s="15"/>
      <c r="B176" s="15"/>
      <c r="C176" s="15"/>
      <c r="D176" s="15"/>
      <c r="E176" s="74"/>
      <c r="F176" s="74"/>
      <c r="G176" s="74"/>
      <c r="H176" s="74"/>
      <c r="I176" s="74"/>
      <c r="J176" s="15"/>
    </row>
    <row r="177">
      <c r="A177" s="15"/>
      <c r="B177" s="15"/>
      <c r="C177" s="15"/>
      <c r="D177" s="15"/>
      <c r="E177" s="74"/>
      <c r="F177" s="74"/>
      <c r="G177" s="74"/>
      <c r="H177" s="74"/>
      <c r="I177" s="74"/>
      <c r="J177" s="15"/>
    </row>
    <row r="178">
      <c r="A178" s="15"/>
      <c r="B178" s="15"/>
      <c r="C178" s="15"/>
      <c r="D178" s="15"/>
      <c r="E178" s="74"/>
      <c r="F178" s="74"/>
      <c r="G178" s="74"/>
      <c r="H178" s="74"/>
      <c r="I178" s="74"/>
      <c r="J178" s="15"/>
    </row>
    <row r="179">
      <c r="A179" s="15"/>
      <c r="B179" s="15"/>
      <c r="C179" s="15"/>
      <c r="D179" s="15"/>
      <c r="E179" s="74"/>
      <c r="F179" s="74"/>
      <c r="G179" s="74"/>
      <c r="H179" s="74"/>
      <c r="I179" s="74"/>
      <c r="J179" s="15"/>
    </row>
    <row r="180">
      <c r="A180" s="15"/>
      <c r="B180" s="15"/>
      <c r="C180" s="15"/>
      <c r="D180" s="15"/>
      <c r="E180" s="74"/>
      <c r="F180" s="74"/>
      <c r="G180" s="74"/>
      <c r="H180" s="74"/>
      <c r="I180" s="74"/>
      <c r="J180" s="15"/>
    </row>
    <row r="181">
      <c r="A181" s="15"/>
      <c r="B181" s="15"/>
      <c r="C181" s="15"/>
      <c r="D181" s="15"/>
      <c r="E181" s="74"/>
      <c r="F181" s="74"/>
      <c r="G181" s="74"/>
      <c r="H181" s="74"/>
      <c r="I181" s="74"/>
      <c r="J181" s="15"/>
    </row>
    <row r="182">
      <c r="A182" s="15"/>
      <c r="B182" s="15"/>
      <c r="C182" s="15"/>
      <c r="D182" s="15"/>
      <c r="E182" s="74"/>
      <c r="F182" s="74"/>
      <c r="G182" s="74"/>
      <c r="H182" s="74"/>
      <c r="I182" s="74"/>
      <c r="J182" s="15"/>
    </row>
    <row r="183">
      <c r="A183" s="15"/>
      <c r="B183" s="15"/>
      <c r="C183" s="15"/>
      <c r="D183" s="15"/>
      <c r="E183" s="74"/>
      <c r="F183" s="74"/>
      <c r="G183" s="74"/>
      <c r="H183" s="74"/>
      <c r="I183" s="74"/>
      <c r="J183" s="15"/>
    </row>
    <row r="184">
      <c r="A184" s="15"/>
      <c r="B184" s="15"/>
      <c r="C184" s="15"/>
      <c r="D184" s="15"/>
      <c r="E184" s="74"/>
      <c r="F184" s="74"/>
      <c r="G184" s="74"/>
      <c r="H184" s="74"/>
      <c r="I184" s="74"/>
      <c r="J184" s="15"/>
    </row>
    <row r="185">
      <c r="A185" s="15"/>
      <c r="B185" s="15"/>
      <c r="C185" s="15"/>
      <c r="D185" s="15"/>
      <c r="E185" s="74"/>
      <c r="F185" s="74"/>
      <c r="G185" s="74"/>
      <c r="H185" s="74"/>
      <c r="I185" s="74"/>
      <c r="J185" s="15"/>
    </row>
    <row r="186">
      <c r="A186" s="15"/>
      <c r="B186" s="15"/>
      <c r="C186" s="15"/>
      <c r="D186" s="15"/>
      <c r="E186" s="74"/>
      <c r="F186" s="74"/>
      <c r="G186" s="74"/>
      <c r="H186" s="74"/>
      <c r="I186" s="74"/>
      <c r="J186" s="15"/>
    </row>
    <row r="187">
      <c r="A187" s="15"/>
      <c r="B187" s="15"/>
      <c r="C187" s="15"/>
      <c r="D187" s="15"/>
      <c r="E187" s="74"/>
      <c r="F187" s="74"/>
      <c r="G187" s="74"/>
      <c r="H187" s="74"/>
      <c r="I187" s="74"/>
      <c r="J187" s="15"/>
    </row>
    <row r="188">
      <c r="A188" s="15"/>
      <c r="B188" s="15"/>
      <c r="C188" s="15"/>
      <c r="D188" s="15"/>
      <c r="E188" s="74"/>
      <c r="F188" s="74"/>
      <c r="G188" s="74"/>
      <c r="H188" s="74"/>
      <c r="I188" s="74"/>
      <c r="J188" s="15"/>
    </row>
    <row r="189">
      <c r="A189" s="15"/>
      <c r="B189" s="15"/>
      <c r="C189" s="15"/>
      <c r="D189" s="15"/>
      <c r="E189" s="74"/>
      <c r="F189" s="74"/>
      <c r="G189" s="74"/>
      <c r="H189" s="74"/>
      <c r="I189" s="74"/>
      <c r="J189" s="15"/>
    </row>
    <row r="190">
      <c r="A190" s="15"/>
      <c r="B190" s="15"/>
      <c r="C190" s="15"/>
      <c r="D190" s="15"/>
      <c r="E190" s="74"/>
      <c r="F190" s="74"/>
      <c r="G190" s="74"/>
      <c r="H190" s="74"/>
      <c r="I190" s="74"/>
      <c r="J190" s="15"/>
    </row>
    <row r="191">
      <c r="A191" s="15"/>
      <c r="B191" s="15"/>
      <c r="C191" s="15"/>
      <c r="D191" s="15"/>
      <c r="E191" s="74"/>
      <c r="F191" s="74"/>
      <c r="G191" s="74"/>
      <c r="H191" s="74"/>
      <c r="I191" s="74"/>
      <c r="J191" s="15"/>
    </row>
    <row r="192">
      <c r="A192" s="15"/>
      <c r="B192" s="15"/>
      <c r="C192" s="15"/>
      <c r="D192" s="15"/>
      <c r="E192" s="74"/>
      <c r="F192" s="74"/>
      <c r="G192" s="74"/>
      <c r="H192" s="74"/>
      <c r="I192" s="74"/>
      <c r="J192" s="15"/>
    </row>
    <row r="193">
      <c r="A193" s="15"/>
      <c r="B193" s="15"/>
      <c r="C193" s="15"/>
      <c r="D193" s="15"/>
      <c r="E193" s="74"/>
      <c r="F193" s="74"/>
      <c r="G193" s="74"/>
      <c r="H193" s="74"/>
      <c r="I193" s="74"/>
      <c r="J193" s="15"/>
    </row>
    <row r="194">
      <c r="A194" s="15"/>
      <c r="B194" s="15"/>
      <c r="C194" s="15"/>
      <c r="D194" s="15"/>
      <c r="E194" s="74"/>
      <c r="F194" s="74"/>
      <c r="G194" s="74"/>
      <c r="H194" s="74"/>
      <c r="I194" s="74"/>
      <c r="J194" s="15"/>
    </row>
    <row r="195">
      <c r="A195" s="15"/>
      <c r="B195" s="15"/>
      <c r="C195" s="15"/>
      <c r="D195" s="15"/>
      <c r="E195" s="74"/>
      <c r="F195" s="74"/>
      <c r="G195" s="74"/>
      <c r="H195" s="74"/>
      <c r="I195" s="74"/>
      <c r="J195" s="15"/>
    </row>
    <row r="196">
      <c r="A196" s="15"/>
      <c r="B196" s="15"/>
      <c r="C196" s="15"/>
      <c r="D196" s="15"/>
      <c r="E196" s="74"/>
      <c r="F196" s="74"/>
      <c r="G196" s="74"/>
      <c r="H196" s="74"/>
      <c r="I196" s="74"/>
      <c r="J196" s="15"/>
    </row>
    <row r="197">
      <c r="A197" s="15"/>
      <c r="B197" s="15"/>
      <c r="C197" s="15"/>
      <c r="D197" s="15"/>
      <c r="E197" s="74"/>
      <c r="F197" s="74"/>
      <c r="G197" s="74"/>
      <c r="H197" s="74"/>
      <c r="I197" s="74"/>
      <c r="J197" s="15"/>
    </row>
    <row r="198">
      <c r="A198" s="15"/>
      <c r="B198" s="15"/>
      <c r="C198" s="15"/>
      <c r="D198" s="15"/>
      <c r="E198" s="74"/>
      <c r="F198" s="74"/>
      <c r="G198" s="74"/>
      <c r="H198" s="74"/>
      <c r="I198" s="74"/>
      <c r="J198" s="15"/>
    </row>
    <row r="199">
      <c r="A199" s="15"/>
      <c r="B199" s="15"/>
      <c r="C199" s="15"/>
      <c r="D199" s="15"/>
      <c r="E199" s="74"/>
      <c r="F199" s="74"/>
      <c r="G199" s="74"/>
      <c r="H199" s="74"/>
      <c r="I199" s="74"/>
      <c r="J199" s="15"/>
    </row>
    <row r="200">
      <c r="A200" s="15"/>
      <c r="B200" s="15"/>
      <c r="C200" s="15"/>
      <c r="D200" s="15"/>
      <c r="E200" s="74"/>
      <c r="F200" s="74"/>
      <c r="G200" s="74"/>
      <c r="H200" s="74"/>
      <c r="I200" s="74"/>
      <c r="J200" s="15"/>
    </row>
    <row r="201">
      <c r="A201" s="15"/>
      <c r="B201" s="15"/>
      <c r="C201" s="15"/>
      <c r="D201" s="15"/>
      <c r="E201" s="74"/>
      <c r="F201" s="74"/>
      <c r="G201" s="74"/>
      <c r="H201" s="74"/>
      <c r="I201" s="74"/>
      <c r="J201" s="15"/>
    </row>
    <row r="202">
      <c r="A202" s="15"/>
      <c r="B202" s="15"/>
      <c r="C202" s="15"/>
      <c r="D202" s="15"/>
      <c r="E202" s="74"/>
      <c r="F202" s="74"/>
      <c r="G202" s="74"/>
      <c r="H202" s="74"/>
      <c r="I202" s="74"/>
      <c r="J202" s="15"/>
    </row>
    <row r="203">
      <c r="A203" s="15"/>
      <c r="B203" s="15"/>
      <c r="C203" s="15"/>
      <c r="D203" s="15"/>
      <c r="E203" s="74"/>
      <c r="F203" s="74"/>
      <c r="G203" s="74"/>
      <c r="H203" s="74"/>
      <c r="I203" s="74"/>
      <c r="J203" s="15"/>
    </row>
    <row r="204">
      <c r="A204" s="15"/>
      <c r="B204" s="15"/>
      <c r="C204" s="15"/>
      <c r="D204" s="15"/>
      <c r="E204" s="74"/>
      <c r="F204" s="74"/>
      <c r="G204" s="74"/>
      <c r="H204" s="74"/>
      <c r="I204" s="74"/>
      <c r="J204" s="15"/>
    </row>
    <row r="205">
      <c r="A205" s="15"/>
      <c r="B205" s="15"/>
      <c r="C205" s="15"/>
      <c r="D205" s="15"/>
      <c r="E205" s="74"/>
      <c r="F205" s="74"/>
      <c r="G205" s="74"/>
      <c r="H205" s="74"/>
      <c r="I205" s="74"/>
      <c r="J205" s="15"/>
    </row>
    <row r="206">
      <c r="A206" s="15"/>
      <c r="B206" s="15"/>
      <c r="C206" s="15"/>
      <c r="D206" s="15"/>
      <c r="E206" s="74"/>
      <c r="F206" s="74"/>
      <c r="G206" s="74"/>
      <c r="H206" s="74"/>
      <c r="I206" s="74"/>
      <c r="J206" s="15"/>
    </row>
    <row r="207">
      <c r="A207" s="15"/>
      <c r="B207" s="15"/>
      <c r="C207" s="15"/>
      <c r="D207" s="15"/>
      <c r="E207" s="74"/>
      <c r="F207" s="74"/>
      <c r="G207" s="74"/>
      <c r="H207" s="74"/>
      <c r="I207" s="74"/>
      <c r="J207" s="15"/>
    </row>
    <row r="208">
      <c r="A208" s="15"/>
      <c r="B208" s="15"/>
      <c r="C208" s="15"/>
      <c r="D208" s="15"/>
      <c r="E208" s="74"/>
      <c r="F208" s="74"/>
      <c r="G208" s="74"/>
      <c r="H208" s="74"/>
      <c r="I208" s="74"/>
      <c r="J208" s="15"/>
    </row>
    <row r="209">
      <c r="A209" s="15"/>
      <c r="B209" s="15"/>
      <c r="C209" s="15"/>
      <c r="D209" s="15"/>
      <c r="E209" s="74"/>
      <c r="F209" s="74"/>
      <c r="G209" s="74"/>
      <c r="H209" s="74"/>
      <c r="I209" s="74"/>
      <c r="J209" s="15"/>
    </row>
    <row r="210">
      <c r="A210" s="15"/>
      <c r="B210" s="15"/>
      <c r="C210" s="15"/>
      <c r="D210" s="15"/>
      <c r="E210" s="74"/>
      <c r="F210" s="74"/>
      <c r="G210" s="74"/>
      <c r="H210" s="74"/>
      <c r="I210" s="74"/>
      <c r="J210" s="15"/>
    </row>
    <row r="211">
      <c r="A211" s="15"/>
      <c r="B211" s="15"/>
      <c r="C211" s="15"/>
      <c r="D211" s="15"/>
      <c r="E211" s="74"/>
      <c r="F211" s="74"/>
      <c r="G211" s="74"/>
      <c r="H211" s="74"/>
      <c r="I211" s="74"/>
      <c r="J211" s="15"/>
    </row>
    <row r="212">
      <c r="A212" s="15"/>
      <c r="B212" s="15"/>
      <c r="C212" s="15"/>
      <c r="D212" s="15"/>
      <c r="E212" s="74"/>
      <c r="F212" s="74"/>
      <c r="G212" s="74"/>
      <c r="H212" s="74"/>
      <c r="I212" s="74"/>
      <c r="J212" s="15"/>
    </row>
    <row r="213">
      <c r="A213" s="15"/>
      <c r="B213" s="15"/>
      <c r="C213" s="15"/>
      <c r="D213" s="15"/>
      <c r="E213" s="74"/>
      <c r="F213" s="74"/>
      <c r="G213" s="74"/>
      <c r="H213" s="74"/>
      <c r="I213" s="74"/>
      <c r="J213" s="15"/>
    </row>
    <row r="214">
      <c r="A214" s="15"/>
      <c r="B214" s="15"/>
      <c r="C214" s="15"/>
      <c r="D214" s="15"/>
      <c r="E214" s="74"/>
      <c r="F214" s="74"/>
      <c r="G214" s="74"/>
      <c r="H214" s="74"/>
      <c r="I214" s="74"/>
      <c r="J214" s="15"/>
    </row>
    <row r="215">
      <c r="A215" s="15"/>
      <c r="B215" s="15"/>
      <c r="C215" s="15"/>
      <c r="D215" s="15"/>
      <c r="E215" s="74"/>
      <c r="F215" s="74"/>
      <c r="G215" s="74"/>
      <c r="H215" s="74"/>
      <c r="I215" s="74"/>
      <c r="J215" s="15"/>
    </row>
    <row r="216">
      <c r="A216" s="15"/>
      <c r="B216" s="15"/>
      <c r="C216" s="15"/>
      <c r="D216" s="15"/>
      <c r="E216" s="74"/>
      <c r="F216" s="74"/>
      <c r="G216" s="74"/>
      <c r="H216" s="74"/>
      <c r="I216" s="74"/>
      <c r="J216" s="15"/>
    </row>
    <row r="217">
      <c r="A217" s="15"/>
      <c r="B217" s="15"/>
      <c r="C217" s="15"/>
      <c r="D217" s="15"/>
      <c r="E217" s="74"/>
      <c r="F217" s="74"/>
      <c r="G217" s="74"/>
      <c r="H217" s="74"/>
      <c r="I217" s="74"/>
      <c r="J217" s="15"/>
    </row>
    <row r="218">
      <c r="A218" s="15"/>
      <c r="B218" s="15"/>
      <c r="C218" s="15"/>
      <c r="D218" s="15"/>
      <c r="E218" s="74"/>
      <c r="F218" s="74"/>
      <c r="G218" s="74"/>
      <c r="H218" s="74"/>
      <c r="I218" s="74"/>
      <c r="J218" s="15"/>
    </row>
    <row r="219">
      <c r="A219" s="15"/>
      <c r="B219" s="15"/>
      <c r="C219" s="15"/>
      <c r="D219" s="15"/>
      <c r="E219" s="74"/>
      <c r="F219" s="74"/>
      <c r="G219" s="74"/>
      <c r="H219" s="74"/>
      <c r="I219" s="74"/>
      <c r="J219" s="15"/>
    </row>
    <row r="220">
      <c r="A220" s="15"/>
      <c r="B220" s="15"/>
      <c r="C220" s="15"/>
      <c r="D220" s="15"/>
      <c r="E220" s="74"/>
      <c r="F220" s="74"/>
      <c r="G220" s="74"/>
      <c r="H220" s="74"/>
      <c r="I220" s="74"/>
      <c r="J220" s="15"/>
    </row>
    <row r="221">
      <c r="A221" s="15"/>
      <c r="B221" s="15"/>
      <c r="C221" s="15"/>
      <c r="D221" s="15"/>
      <c r="E221" s="74"/>
      <c r="F221" s="74"/>
      <c r="G221" s="74"/>
      <c r="H221" s="74"/>
      <c r="I221" s="74"/>
      <c r="J221" s="15"/>
    </row>
    <row r="222">
      <c r="A222" s="15"/>
      <c r="B222" s="15"/>
      <c r="C222" s="15"/>
      <c r="D222" s="15"/>
      <c r="E222" s="74"/>
      <c r="F222" s="74"/>
      <c r="G222" s="74"/>
      <c r="H222" s="74"/>
      <c r="I222" s="74"/>
      <c r="J222" s="15"/>
    </row>
    <row r="223">
      <c r="A223" s="15"/>
      <c r="B223" s="15"/>
      <c r="C223" s="15"/>
      <c r="D223" s="15"/>
      <c r="E223" s="74"/>
      <c r="F223" s="74"/>
      <c r="G223" s="74"/>
      <c r="H223" s="74"/>
      <c r="I223" s="74"/>
      <c r="J223" s="15"/>
    </row>
    <row r="224">
      <c r="A224" s="15"/>
      <c r="B224" s="15"/>
      <c r="C224" s="15"/>
      <c r="D224" s="15"/>
      <c r="E224" s="74"/>
      <c r="F224" s="74"/>
      <c r="G224" s="74"/>
      <c r="H224" s="74"/>
      <c r="I224" s="74"/>
      <c r="J224" s="15"/>
    </row>
    <row r="225">
      <c r="A225" s="15"/>
      <c r="B225" s="15"/>
      <c r="C225" s="15"/>
      <c r="D225" s="15"/>
      <c r="E225" s="74"/>
      <c r="F225" s="74"/>
      <c r="G225" s="74"/>
      <c r="H225" s="74"/>
      <c r="I225" s="74"/>
      <c r="J225" s="15"/>
    </row>
    <row r="226">
      <c r="A226" s="15"/>
      <c r="B226" s="15"/>
      <c r="C226" s="15"/>
      <c r="D226" s="15"/>
      <c r="E226" s="74"/>
      <c r="F226" s="74"/>
      <c r="G226" s="74"/>
      <c r="H226" s="74"/>
      <c r="I226" s="74"/>
      <c r="J226" s="15"/>
    </row>
    <row r="227">
      <c r="A227" s="15"/>
      <c r="B227" s="15"/>
      <c r="C227" s="15"/>
      <c r="D227" s="15"/>
      <c r="E227" s="74"/>
      <c r="F227" s="74"/>
      <c r="G227" s="74"/>
      <c r="H227" s="74"/>
      <c r="I227" s="74"/>
      <c r="J227" s="15"/>
    </row>
    <row r="228">
      <c r="A228" s="15"/>
      <c r="B228" s="15"/>
      <c r="C228" s="15"/>
      <c r="D228" s="15"/>
      <c r="E228" s="74"/>
      <c r="F228" s="74"/>
      <c r="G228" s="74"/>
      <c r="H228" s="74"/>
      <c r="I228" s="74"/>
      <c r="J228" s="15"/>
    </row>
    <row r="229">
      <c r="A229" s="15"/>
      <c r="B229" s="15"/>
      <c r="C229" s="15"/>
      <c r="D229" s="15"/>
      <c r="E229" s="74"/>
      <c r="F229" s="74"/>
      <c r="G229" s="74"/>
      <c r="H229" s="74"/>
      <c r="I229" s="74"/>
      <c r="J229" s="15"/>
    </row>
    <row r="230">
      <c r="A230" s="15"/>
      <c r="B230" s="15"/>
      <c r="C230" s="15"/>
      <c r="D230" s="15"/>
      <c r="E230" s="74"/>
      <c r="F230" s="74"/>
      <c r="G230" s="74"/>
      <c r="H230" s="74"/>
      <c r="I230" s="74"/>
      <c r="J230" s="15"/>
    </row>
    <row r="231">
      <c r="A231" s="15"/>
      <c r="B231" s="15"/>
      <c r="C231" s="15"/>
      <c r="D231" s="15"/>
      <c r="E231" s="74"/>
      <c r="F231" s="74"/>
      <c r="G231" s="74"/>
      <c r="H231" s="74"/>
      <c r="I231" s="74"/>
      <c r="J231" s="15"/>
    </row>
    <row r="232">
      <c r="A232" s="15"/>
      <c r="B232" s="15"/>
      <c r="C232" s="15"/>
      <c r="D232" s="15"/>
      <c r="E232" s="74"/>
      <c r="F232" s="74"/>
      <c r="G232" s="74"/>
      <c r="H232" s="74"/>
      <c r="I232" s="74"/>
      <c r="J232" s="15"/>
    </row>
    <row r="233">
      <c r="A233" s="15"/>
      <c r="B233" s="15"/>
      <c r="C233" s="15"/>
      <c r="D233" s="15"/>
      <c r="E233" s="74"/>
      <c r="F233" s="74"/>
      <c r="G233" s="74"/>
      <c r="H233" s="74"/>
      <c r="I233" s="74"/>
      <c r="J233" s="15"/>
    </row>
    <row r="234">
      <c r="A234" s="15"/>
      <c r="B234" s="15"/>
      <c r="C234" s="15"/>
      <c r="D234" s="15"/>
      <c r="E234" s="74"/>
      <c r="F234" s="74"/>
      <c r="G234" s="74"/>
      <c r="H234" s="74"/>
      <c r="I234" s="74"/>
      <c r="J234" s="15"/>
    </row>
    <row r="235">
      <c r="A235" s="15"/>
      <c r="B235" s="15"/>
      <c r="C235" s="15"/>
      <c r="D235" s="15"/>
      <c r="E235" s="74"/>
      <c r="F235" s="74"/>
      <c r="G235" s="74"/>
      <c r="H235" s="74"/>
      <c r="I235" s="74"/>
      <c r="J235" s="15"/>
    </row>
    <row r="236">
      <c r="A236" s="15"/>
      <c r="B236" s="15"/>
      <c r="C236" s="15"/>
      <c r="D236" s="15"/>
      <c r="E236" s="74"/>
      <c r="F236" s="74"/>
      <c r="G236" s="74"/>
      <c r="H236" s="74"/>
      <c r="I236" s="74"/>
      <c r="J236" s="15"/>
    </row>
    <row r="237">
      <c r="A237" s="15"/>
      <c r="B237" s="15"/>
      <c r="C237" s="15"/>
      <c r="D237" s="15"/>
      <c r="E237" s="74"/>
      <c r="F237" s="74"/>
      <c r="G237" s="74"/>
      <c r="H237" s="74"/>
      <c r="I237" s="74"/>
      <c r="J237" s="15"/>
    </row>
    <row r="238">
      <c r="A238" s="15"/>
      <c r="B238" s="15"/>
      <c r="C238" s="15"/>
      <c r="D238" s="15"/>
      <c r="E238" s="74"/>
      <c r="F238" s="74"/>
      <c r="G238" s="74"/>
      <c r="H238" s="74"/>
      <c r="I238" s="74"/>
      <c r="J238" s="15"/>
    </row>
    <row r="239">
      <c r="A239" s="15"/>
      <c r="B239" s="15"/>
      <c r="C239" s="15"/>
      <c r="D239" s="15"/>
      <c r="E239" s="74"/>
      <c r="F239" s="74"/>
      <c r="G239" s="74"/>
      <c r="H239" s="74"/>
      <c r="I239" s="74"/>
      <c r="J239" s="15"/>
    </row>
    <row r="240">
      <c r="A240" s="15"/>
      <c r="B240" s="15"/>
      <c r="C240" s="15"/>
      <c r="D240" s="15"/>
      <c r="E240" s="74"/>
      <c r="F240" s="74"/>
      <c r="G240" s="74"/>
      <c r="H240" s="74"/>
      <c r="I240" s="74"/>
      <c r="J240" s="15"/>
    </row>
    <row r="241">
      <c r="A241" s="15"/>
      <c r="B241" s="15"/>
      <c r="C241" s="15"/>
      <c r="D241" s="15"/>
      <c r="E241" s="74"/>
      <c r="F241" s="74"/>
      <c r="G241" s="74"/>
      <c r="H241" s="74"/>
      <c r="I241" s="74"/>
      <c r="J241" s="15"/>
    </row>
    <row r="242">
      <c r="A242" s="15"/>
      <c r="B242" s="15"/>
      <c r="C242" s="15"/>
      <c r="D242" s="15"/>
      <c r="E242" s="74"/>
      <c r="F242" s="74"/>
      <c r="G242" s="74"/>
      <c r="H242" s="74"/>
      <c r="I242" s="74"/>
      <c r="J242" s="15"/>
    </row>
    <row r="243">
      <c r="A243" s="15"/>
      <c r="B243" s="15"/>
      <c r="C243" s="15"/>
      <c r="D243" s="15"/>
      <c r="E243" s="74"/>
      <c r="F243" s="74"/>
      <c r="G243" s="74"/>
      <c r="H243" s="74"/>
      <c r="I243" s="74"/>
      <c r="J243" s="15"/>
    </row>
    <row r="244">
      <c r="A244" s="15"/>
      <c r="B244" s="15"/>
      <c r="C244" s="15"/>
      <c r="D244" s="15"/>
      <c r="E244" s="74"/>
      <c r="F244" s="74"/>
      <c r="G244" s="74"/>
      <c r="H244" s="74"/>
      <c r="I244" s="74"/>
      <c r="J244" s="15"/>
    </row>
    <row r="245">
      <c r="A245" s="15"/>
      <c r="B245" s="15"/>
      <c r="C245" s="15"/>
      <c r="D245" s="15"/>
      <c r="E245" s="74"/>
      <c r="F245" s="74"/>
      <c r="G245" s="74"/>
      <c r="H245" s="74"/>
      <c r="I245" s="74"/>
      <c r="J245" s="15"/>
    </row>
    <row r="246">
      <c r="A246" s="15"/>
      <c r="B246" s="15"/>
      <c r="C246" s="15"/>
      <c r="D246" s="15"/>
      <c r="E246" s="74"/>
      <c r="F246" s="74"/>
      <c r="G246" s="74"/>
      <c r="H246" s="74"/>
      <c r="I246" s="74"/>
      <c r="J246" s="15"/>
    </row>
    <row r="247">
      <c r="A247" s="15"/>
      <c r="B247" s="15"/>
      <c r="C247" s="15"/>
      <c r="D247" s="15"/>
      <c r="E247" s="74"/>
      <c r="F247" s="74"/>
      <c r="G247" s="74"/>
      <c r="H247" s="74"/>
      <c r="I247" s="74"/>
      <c r="J247" s="15"/>
    </row>
    <row r="248">
      <c r="A248" s="15"/>
      <c r="B248" s="15"/>
      <c r="C248" s="15"/>
      <c r="D248" s="15"/>
      <c r="E248" s="74"/>
      <c r="F248" s="74"/>
      <c r="G248" s="74"/>
      <c r="H248" s="74"/>
      <c r="I248" s="74"/>
      <c r="J248" s="15"/>
    </row>
    <row r="249">
      <c r="A249" s="15"/>
      <c r="B249" s="15"/>
      <c r="C249" s="15"/>
      <c r="D249" s="15"/>
      <c r="E249" s="74"/>
      <c r="F249" s="74"/>
      <c r="G249" s="74"/>
      <c r="H249" s="74"/>
      <c r="I249" s="74"/>
      <c r="J249" s="15"/>
    </row>
    <row r="250">
      <c r="A250" s="15"/>
      <c r="B250" s="15"/>
      <c r="C250" s="15"/>
      <c r="D250" s="15"/>
      <c r="E250" s="74"/>
      <c r="F250" s="74"/>
      <c r="G250" s="74"/>
      <c r="H250" s="74"/>
      <c r="I250" s="74"/>
      <c r="J250" s="15"/>
    </row>
    <row r="251">
      <c r="A251" s="15"/>
      <c r="B251" s="15"/>
      <c r="C251" s="15"/>
      <c r="D251" s="15"/>
      <c r="E251" s="74"/>
      <c r="F251" s="74"/>
      <c r="G251" s="74"/>
      <c r="H251" s="74"/>
      <c r="I251" s="74"/>
      <c r="J251" s="15"/>
    </row>
    <row r="252">
      <c r="A252" s="15"/>
      <c r="B252" s="15"/>
      <c r="C252" s="15"/>
      <c r="D252" s="15"/>
      <c r="E252" s="74"/>
      <c r="F252" s="74"/>
      <c r="G252" s="74"/>
      <c r="H252" s="74"/>
      <c r="I252" s="74"/>
      <c r="J252" s="15"/>
    </row>
    <row r="253">
      <c r="A253" s="15"/>
      <c r="B253" s="15"/>
      <c r="C253" s="15"/>
      <c r="D253" s="15"/>
      <c r="E253" s="74"/>
      <c r="F253" s="74"/>
      <c r="G253" s="74"/>
      <c r="H253" s="74"/>
      <c r="I253" s="74"/>
      <c r="J253" s="15"/>
    </row>
    <row r="254">
      <c r="A254" s="15"/>
      <c r="B254" s="15"/>
      <c r="C254" s="15"/>
      <c r="D254" s="15"/>
      <c r="E254" s="74"/>
      <c r="F254" s="74"/>
      <c r="G254" s="74"/>
      <c r="H254" s="74"/>
      <c r="I254" s="74"/>
      <c r="J254" s="15"/>
    </row>
    <row r="255">
      <c r="A255" s="15"/>
      <c r="B255" s="15"/>
      <c r="C255" s="15"/>
      <c r="D255" s="15"/>
      <c r="E255" s="74"/>
      <c r="F255" s="74"/>
      <c r="G255" s="74"/>
      <c r="H255" s="74"/>
      <c r="I255" s="74"/>
      <c r="J255" s="15"/>
    </row>
    <row r="256">
      <c r="A256" s="15"/>
      <c r="B256" s="15"/>
      <c r="C256" s="15"/>
      <c r="D256" s="15"/>
      <c r="E256" s="74"/>
      <c r="F256" s="74"/>
      <c r="G256" s="74"/>
      <c r="H256" s="74"/>
      <c r="I256" s="74"/>
      <c r="J256" s="15"/>
    </row>
    <row r="257">
      <c r="A257" s="15"/>
      <c r="B257" s="15"/>
      <c r="C257" s="15"/>
      <c r="D257" s="15"/>
      <c r="E257" s="74"/>
      <c r="F257" s="74"/>
      <c r="G257" s="74"/>
      <c r="H257" s="74"/>
      <c r="I257" s="74"/>
      <c r="J257" s="15"/>
    </row>
    <row r="258">
      <c r="A258" s="15"/>
      <c r="B258" s="15"/>
      <c r="C258" s="15"/>
      <c r="D258" s="15"/>
      <c r="E258" s="74"/>
      <c r="F258" s="74"/>
      <c r="G258" s="74"/>
      <c r="H258" s="74"/>
      <c r="I258" s="74"/>
      <c r="J258" s="15"/>
    </row>
    <row r="259">
      <c r="A259" s="15"/>
      <c r="B259" s="15"/>
      <c r="C259" s="15"/>
      <c r="D259" s="15"/>
      <c r="E259" s="74"/>
      <c r="F259" s="74"/>
      <c r="G259" s="74"/>
      <c r="H259" s="74"/>
      <c r="I259" s="74"/>
      <c r="J259" s="15"/>
    </row>
    <row r="260">
      <c r="A260" s="15"/>
      <c r="B260" s="15"/>
      <c r="C260" s="15"/>
      <c r="D260" s="15"/>
      <c r="E260" s="74"/>
      <c r="F260" s="74"/>
      <c r="G260" s="74"/>
      <c r="H260" s="74"/>
      <c r="I260" s="74"/>
      <c r="J260" s="15"/>
    </row>
    <row r="261">
      <c r="A261" s="15"/>
      <c r="B261" s="15"/>
      <c r="C261" s="15"/>
      <c r="D261" s="15"/>
      <c r="E261" s="74"/>
      <c r="F261" s="74"/>
      <c r="G261" s="74"/>
      <c r="H261" s="74"/>
      <c r="I261" s="74"/>
      <c r="J261" s="15"/>
    </row>
    <row r="262">
      <c r="A262" s="15"/>
      <c r="B262" s="15"/>
      <c r="C262" s="15"/>
      <c r="D262" s="15"/>
      <c r="E262" s="74"/>
      <c r="F262" s="74"/>
      <c r="G262" s="74"/>
      <c r="H262" s="74"/>
      <c r="I262" s="74"/>
      <c r="J262" s="15"/>
    </row>
    <row r="263">
      <c r="A263" s="15"/>
      <c r="B263" s="15"/>
      <c r="C263" s="15"/>
      <c r="D263" s="15"/>
      <c r="E263" s="74"/>
      <c r="F263" s="74"/>
      <c r="G263" s="74"/>
      <c r="H263" s="74"/>
      <c r="I263" s="74"/>
      <c r="J263" s="15"/>
    </row>
    <row r="264">
      <c r="A264" s="15"/>
      <c r="B264" s="15"/>
      <c r="C264" s="15"/>
      <c r="D264" s="15"/>
      <c r="E264" s="74"/>
      <c r="F264" s="74"/>
      <c r="G264" s="74"/>
      <c r="H264" s="74"/>
      <c r="I264" s="74"/>
      <c r="J264" s="15"/>
    </row>
    <row r="265">
      <c r="A265" s="15"/>
      <c r="B265" s="15"/>
      <c r="C265" s="15"/>
      <c r="D265" s="15"/>
      <c r="E265" s="74"/>
      <c r="F265" s="74"/>
      <c r="G265" s="74"/>
      <c r="H265" s="74"/>
      <c r="I265" s="74"/>
      <c r="J265" s="15"/>
    </row>
    <row r="266">
      <c r="A266" s="15"/>
      <c r="B266" s="15"/>
      <c r="C266" s="15"/>
      <c r="D266" s="15"/>
      <c r="E266" s="74"/>
      <c r="F266" s="74"/>
      <c r="G266" s="74"/>
      <c r="H266" s="74"/>
      <c r="I266" s="74"/>
      <c r="J266" s="15"/>
    </row>
    <row r="267">
      <c r="A267" s="15"/>
      <c r="B267" s="15"/>
      <c r="C267" s="15"/>
      <c r="D267" s="15"/>
      <c r="E267" s="74"/>
      <c r="F267" s="74"/>
      <c r="G267" s="74"/>
      <c r="H267" s="74"/>
      <c r="I267" s="74"/>
      <c r="J267" s="15"/>
    </row>
    <row r="268">
      <c r="A268" s="15"/>
      <c r="B268" s="15"/>
      <c r="C268" s="15"/>
      <c r="D268" s="15"/>
      <c r="E268" s="74"/>
      <c r="F268" s="74"/>
      <c r="G268" s="74"/>
      <c r="H268" s="74"/>
      <c r="I268" s="74"/>
      <c r="J268" s="15"/>
    </row>
    <row r="269">
      <c r="A269" s="15"/>
      <c r="B269" s="15"/>
      <c r="C269" s="15"/>
      <c r="D269" s="15"/>
      <c r="E269" s="74"/>
      <c r="F269" s="74"/>
      <c r="G269" s="74"/>
      <c r="H269" s="74"/>
      <c r="I269" s="74"/>
      <c r="J269" s="15"/>
    </row>
    <row r="270">
      <c r="A270" s="15"/>
      <c r="B270" s="15"/>
      <c r="C270" s="15"/>
      <c r="D270" s="15"/>
      <c r="E270" s="74"/>
      <c r="F270" s="74"/>
      <c r="G270" s="74"/>
      <c r="H270" s="74"/>
      <c r="I270" s="74"/>
      <c r="J270" s="15"/>
    </row>
    <row r="271">
      <c r="A271" s="15"/>
      <c r="B271" s="15"/>
      <c r="C271" s="15"/>
      <c r="D271" s="15"/>
      <c r="E271" s="74"/>
      <c r="F271" s="74"/>
      <c r="G271" s="74"/>
      <c r="H271" s="74"/>
      <c r="I271" s="74"/>
      <c r="J271" s="15"/>
    </row>
    <row r="272">
      <c r="A272" s="15"/>
      <c r="B272" s="15"/>
      <c r="C272" s="15"/>
      <c r="D272" s="15"/>
      <c r="E272" s="74"/>
      <c r="F272" s="74"/>
      <c r="G272" s="74"/>
      <c r="H272" s="74"/>
      <c r="I272" s="74"/>
      <c r="J272" s="15"/>
    </row>
    <row r="273">
      <c r="A273" s="15"/>
      <c r="B273" s="15"/>
      <c r="C273" s="15"/>
      <c r="D273" s="15"/>
      <c r="E273" s="74"/>
      <c r="F273" s="74"/>
      <c r="G273" s="74"/>
      <c r="H273" s="74"/>
      <c r="I273" s="74"/>
      <c r="J273" s="15"/>
    </row>
    <row r="274">
      <c r="A274" s="15"/>
      <c r="B274" s="15"/>
      <c r="C274" s="15"/>
      <c r="D274" s="15"/>
      <c r="E274" s="74"/>
      <c r="F274" s="74"/>
      <c r="G274" s="74"/>
      <c r="H274" s="74"/>
      <c r="I274" s="74"/>
      <c r="J274" s="15"/>
    </row>
    <row r="275">
      <c r="A275" s="15"/>
      <c r="B275" s="15"/>
      <c r="C275" s="15"/>
      <c r="D275" s="15"/>
      <c r="E275" s="74"/>
      <c r="F275" s="74"/>
      <c r="G275" s="74"/>
      <c r="H275" s="74"/>
      <c r="I275" s="74"/>
      <c r="J275" s="15"/>
    </row>
    <row r="276">
      <c r="A276" s="15"/>
      <c r="B276" s="15"/>
      <c r="C276" s="15"/>
      <c r="D276" s="15"/>
      <c r="E276" s="74"/>
      <c r="F276" s="74"/>
      <c r="G276" s="74"/>
      <c r="H276" s="74"/>
      <c r="I276" s="74"/>
      <c r="J276" s="15"/>
    </row>
    <row r="277">
      <c r="A277" s="15"/>
      <c r="B277" s="15"/>
      <c r="C277" s="15"/>
      <c r="D277" s="15"/>
      <c r="E277" s="74"/>
      <c r="F277" s="74"/>
      <c r="G277" s="74"/>
      <c r="H277" s="74"/>
      <c r="I277" s="74"/>
      <c r="J277" s="15"/>
    </row>
    <row r="278">
      <c r="A278" s="15"/>
      <c r="B278" s="15"/>
      <c r="C278" s="15"/>
      <c r="D278" s="15"/>
      <c r="E278" s="74"/>
      <c r="F278" s="74"/>
      <c r="G278" s="74"/>
      <c r="H278" s="74"/>
      <c r="I278" s="74"/>
      <c r="J278" s="15"/>
    </row>
    <row r="279">
      <c r="A279" s="15"/>
      <c r="B279" s="15"/>
      <c r="C279" s="15"/>
      <c r="D279" s="15"/>
      <c r="E279" s="74"/>
      <c r="F279" s="74"/>
      <c r="G279" s="74"/>
      <c r="H279" s="74"/>
      <c r="I279" s="74"/>
      <c r="J279" s="15"/>
    </row>
    <row r="280">
      <c r="A280" s="15"/>
      <c r="B280" s="15"/>
      <c r="C280" s="15"/>
      <c r="D280" s="15"/>
      <c r="E280" s="74"/>
      <c r="F280" s="74"/>
      <c r="G280" s="74"/>
      <c r="H280" s="74"/>
      <c r="I280" s="74"/>
      <c r="J280" s="15"/>
    </row>
    <row r="281">
      <c r="A281" s="15"/>
      <c r="B281" s="15"/>
      <c r="C281" s="15"/>
      <c r="D281" s="15"/>
      <c r="E281" s="74"/>
      <c r="F281" s="74"/>
      <c r="G281" s="74"/>
      <c r="H281" s="74"/>
      <c r="I281" s="74"/>
      <c r="J281" s="15"/>
    </row>
    <row r="282">
      <c r="A282" s="15"/>
      <c r="B282" s="15"/>
      <c r="C282" s="15"/>
      <c r="D282" s="15"/>
      <c r="E282" s="74"/>
      <c r="F282" s="74"/>
      <c r="G282" s="74"/>
      <c r="H282" s="74"/>
      <c r="I282" s="74"/>
      <c r="J282" s="15"/>
    </row>
    <row r="283">
      <c r="A283" s="15"/>
      <c r="B283" s="15"/>
      <c r="C283" s="15"/>
      <c r="D283" s="15"/>
      <c r="E283" s="74"/>
      <c r="F283" s="74"/>
      <c r="G283" s="74"/>
      <c r="H283" s="74"/>
      <c r="I283" s="74"/>
      <c r="J283" s="15"/>
    </row>
    <row r="284">
      <c r="A284" s="15"/>
      <c r="B284" s="15"/>
      <c r="C284" s="15"/>
      <c r="D284" s="15"/>
      <c r="E284" s="74"/>
      <c r="F284" s="74"/>
      <c r="G284" s="74"/>
      <c r="H284" s="74"/>
      <c r="I284" s="74"/>
      <c r="J284" s="15"/>
    </row>
    <row r="285">
      <c r="A285" s="15"/>
      <c r="B285" s="15"/>
      <c r="C285" s="15"/>
      <c r="D285" s="15"/>
      <c r="E285" s="74"/>
      <c r="F285" s="74"/>
      <c r="G285" s="74"/>
      <c r="H285" s="74"/>
      <c r="I285" s="74"/>
      <c r="J285" s="15"/>
    </row>
    <row r="286">
      <c r="A286" s="15"/>
      <c r="B286" s="15"/>
      <c r="C286" s="15"/>
      <c r="D286" s="15"/>
      <c r="E286" s="74"/>
      <c r="F286" s="74"/>
      <c r="G286" s="74"/>
      <c r="H286" s="74"/>
      <c r="I286" s="74"/>
      <c r="J286" s="15"/>
    </row>
    <row r="287">
      <c r="A287" s="15"/>
      <c r="B287" s="15"/>
      <c r="C287" s="15"/>
      <c r="D287" s="15"/>
      <c r="E287" s="74"/>
      <c r="F287" s="74"/>
      <c r="G287" s="74"/>
      <c r="H287" s="74"/>
      <c r="I287" s="74"/>
      <c r="J287" s="15"/>
    </row>
    <row r="288">
      <c r="A288" s="15"/>
      <c r="B288" s="15"/>
      <c r="C288" s="15"/>
      <c r="D288" s="15"/>
      <c r="E288" s="74"/>
      <c r="F288" s="74"/>
      <c r="G288" s="74"/>
      <c r="H288" s="74"/>
      <c r="I288" s="74"/>
      <c r="J288" s="15"/>
    </row>
    <row r="289">
      <c r="A289" s="15"/>
      <c r="B289" s="15"/>
      <c r="C289" s="15"/>
      <c r="D289" s="15"/>
      <c r="E289" s="74"/>
      <c r="F289" s="74"/>
      <c r="G289" s="74"/>
      <c r="H289" s="74"/>
      <c r="I289" s="74"/>
      <c r="J289" s="15"/>
    </row>
    <row r="290">
      <c r="A290" s="15"/>
      <c r="B290" s="15"/>
      <c r="C290" s="15"/>
      <c r="D290" s="15"/>
      <c r="E290" s="74"/>
      <c r="F290" s="74"/>
      <c r="G290" s="74"/>
      <c r="H290" s="74"/>
      <c r="I290" s="74"/>
      <c r="J290" s="15"/>
    </row>
    <row r="291">
      <c r="A291" s="15"/>
      <c r="B291" s="15"/>
      <c r="C291" s="15"/>
      <c r="D291" s="15"/>
      <c r="E291" s="74"/>
      <c r="F291" s="74"/>
      <c r="G291" s="74"/>
      <c r="H291" s="74"/>
      <c r="I291" s="74"/>
      <c r="J291" s="15"/>
    </row>
    <row r="292">
      <c r="A292" s="15"/>
      <c r="B292" s="15"/>
      <c r="C292" s="15"/>
      <c r="D292" s="15"/>
      <c r="E292" s="74"/>
      <c r="F292" s="74"/>
      <c r="G292" s="74"/>
      <c r="H292" s="74"/>
      <c r="I292" s="74"/>
      <c r="J292" s="15"/>
    </row>
    <row r="293">
      <c r="A293" s="15"/>
      <c r="B293" s="15"/>
      <c r="C293" s="15"/>
      <c r="D293" s="15"/>
      <c r="E293" s="74"/>
      <c r="F293" s="74"/>
      <c r="G293" s="74"/>
      <c r="H293" s="74"/>
      <c r="I293" s="74"/>
      <c r="J293" s="15"/>
    </row>
    <row r="294">
      <c r="A294" s="15"/>
      <c r="B294" s="15"/>
      <c r="C294" s="15"/>
      <c r="D294" s="15"/>
      <c r="E294" s="74"/>
      <c r="F294" s="74"/>
      <c r="G294" s="74"/>
      <c r="H294" s="74"/>
      <c r="I294" s="74"/>
      <c r="J294" s="15"/>
    </row>
    <row r="295">
      <c r="A295" s="15"/>
      <c r="B295" s="15"/>
      <c r="C295" s="15"/>
      <c r="D295" s="15"/>
      <c r="E295" s="74"/>
      <c r="F295" s="74"/>
      <c r="G295" s="74"/>
      <c r="H295" s="74"/>
      <c r="I295" s="74"/>
      <c r="J295" s="15"/>
    </row>
    <row r="296">
      <c r="A296" s="15"/>
      <c r="B296" s="15"/>
      <c r="C296" s="15"/>
      <c r="D296" s="15"/>
      <c r="E296" s="74"/>
      <c r="F296" s="74"/>
      <c r="G296" s="74"/>
      <c r="H296" s="74"/>
      <c r="I296" s="74"/>
      <c r="J296" s="15"/>
    </row>
    <row r="297">
      <c r="A297" s="15"/>
      <c r="B297" s="15"/>
      <c r="C297" s="15"/>
      <c r="D297" s="15"/>
      <c r="E297" s="74"/>
      <c r="F297" s="74"/>
      <c r="G297" s="74"/>
      <c r="H297" s="74"/>
      <c r="I297" s="74"/>
      <c r="J297" s="15"/>
    </row>
    <row r="298">
      <c r="A298" s="15"/>
      <c r="B298" s="15"/>
      <c r="C298" s="15"/>
      <c r="D298" s="15"/>
      <c r="E298" s="74"/>
      <c r="F298" s="74"/>
      <c r="G298" s="74"/>
      <c r="H298" s="74"/>
      <c r="I298" s="74"/>
      <c r="J298" s="15"/>
    </row>
    <row r="299">
      <c r="A299" s="15"/>
      <c r="B299" s="15"/>
      <c r="C299" s="15"/>
      <c r="D299" s="15"/>
      <c r="E299" s="74"/>
      <c r="F299" s="74"/>
      <c r="G299" s="74"/>
      <c r="H299" s="74"/>
      <c r="I299" s="74"/>
      <c r="J299" s="15"/>
    </row>
    <row r="300">
      <c r="A300" s="15"/>
      <c r="B300" s="15"/>
      <c r="C300" s="15"/>
      <c r="D300" s="15"/>
      <c r="E300" s="74"/>
      <c r="F300" s="74"/>
      <c r="G300" s="74"/>
      <c r="H300" s="74"/>
      <c r="I300" s="74"/>
      <c r="J300" s="15"/>
    </row>
    <row r="301">
      <c r="A301" s="15"/>
      <c r="B301" s="15"/>
      <c r="C301" s="15"/>
      <c r="D301" s="15"/>
      <c r="E301" s="74"/>
      <c r="F301" s="74"/>
      <c r="G301" s="74"/>
      <c r="H301" s="74"/>
      <c r="I301" s="74"/>
      <c r="J301" s="15"/>
    </row>
    <row r="302">
      <c r="A302" s="15"/>
      <c r="B302" s="15"/>
      <c r="C302" s="15"/>
      <c r="D302" s="15"/>
      <c r="E302" s="74"/>
      <c r="F302" s="74"/>
      <c r="G302" s="74"/>
      <c r="H302" s="74"/>
      <c r="I302" s="74"/>
      <c r="J302" s="15"/>
    </row>
    <row r="303">
      <c r="A303" s="15"/>
      <c r="B303" s="15"/>
      <c r="C303" s="15"/>
      <c r="D303" s="15"/>
      <c r="E303" s="74"/>
      <c r="F303" s="74"/>
      <c r="G303" s="74"/>
      <c r="H303" s="74"/>
      <c r="I303" s="74"/>
      <c r="J303" s="15"/>
    </row>
    <row r="304">
      <c r="A304" s="15"/>
      <c r="B304" s="15"/>
      <c r="C304" s="15"/>
      <c r="D304" s="15"/>
      <c r="E304" s="74"/>
      <c r="F304" s="74"/>
      <c r="G304" s="74"/>
      <c r="H304" s="74"/>
      <c r="I304" s="74"/>
      <c r="J304" s="15"/>
    </row>
    <row r="305">
      <c r="A305" s="15"/>
      <c r="B305" s="15"/>
      <c r="C305" s="15"/>
      <c r="D305" s="15"/>
      <c r="E305" s="74"/>
      <c r="F305" s="74"/>
      <c r="G305" s="74"/>
      <c r="H305" s="74"/>
      <c r="I305" s="74"/>
      <c r="J305" s="15"/>
    </row>
    <row r="306">
      <c r="A306" s="15"/>
      <c r="B306" s="15"/>
      <c r="C306" s="15"/>
      <c r="D306" s="15"/>
      <c r="E306" s="74"/>
      <c r="F306" s="74"/>
      <c r="G306" s="74"/>
      <c r="H306" s="74"/>
      <c r="I306" s="74"/>
      <c r="J306" s="15"/>
    </row>
    <row r="307">
      <c r="A307" s="15"/>
      <c r="B307" s="15"/>
      <c r="C307" s="15"/>
      <c r="D307" s="15"/>
      <c r="E307" s="74"/>
      <c r="F307" s="74"/>
      <c r="G307" s="74"/>
      <c r="H307" s="74"/>
      <c r="I307" s="74"/>
      <c r="J307" s="15"/>
    </row>
    <row r="308">
      <c r="A308" s="15"/>
      <c r="B308" s="15"/>
      <c r="C308" s="15"/>
      <c r="D308" s="15"/>
      <c r="E308" s="74"/>
      <c r="F308" s="74"/>
      <c r="G308" s="74"/>
      <c r="H308" s="74"/>
      <c r="I308" s="74"/>
      <c r="J308" s="15"/>
    </row>
    <row r="309">
      <c r="A309" s="15"/>
      <c r="B309" s="15"/>
      <c r="C309" s="15"/>
      <c r="D309" s="15"/>
      <c r="E309" s="74"/>
      <c r="F309" s="74"/>
      <c r="G309" s="74"/>
      <c r="H309" s="74"/>
      <c r="I309" s="74"/>
      <c r="J309" s="15"/>
    </row>
    <row r="310">
      <c r="A310" s="15"/>
      <c r="B310" s="15"/>
      <c r="C310" s="15"/>
      <c r="D310" s="15"/>
      <c r="E310" s="74"/>
      <c r="F310" s="74"/>
      <c r="G310" s="74"/>
      <c r="H310" s="74"/>
      <c r="I310" s="74"/>
      <c r="J310" s="15"/>
    </row>
    <row r="311">
      <c r="A311" s="15"/>
      <c r="B311" s="15"/>
      <c r="C311" s="15"/>
      <c r="D311" s="15"/>
      <c r="E311" s="74"/>
      <c r="F311" s="74"/>
      <c r="G311" s="74"/>
      <c r="H311" s="74"/>
      <c r="I311" s="74"/>
      <c r="J311" s="15"/>
    </row>
    <row r="312">
      <c r="A312" s="15"/>
      <c r="B312" s="15"/>
      <c r="C312" s="15"/>
      <c r="D312" s="15"/>
      <c r="E312" s="74"/>
      <c r="F312" s="74"/>
      <c r="G312" s="74"/>
      <c r="H312" s="74"/>
      <c r="I312" s="74"/>
      <c r="J312" s="15"/>
    </row>
    <row r="313">
      <c r="A313" s="15"/>
      <c r="B313" s="15"/>
      <c r="C313" s="15"/>
      <c r="D313" s="15"/>
      <c r="E313" s="74"/>
      <c r="F313" s="74"/>
      <c r="G313" s="74"/>
      <c r="H313" s="74"/>
      <c r="I313" s="74"/>
      <c r="J313" s="15"/>
    </row>
    <row r="314">
      <c r="A314" s="15"/>
      <c r="B314" s="15"/>
      <c r="C314" s="15"/>
      <c r="D314" s="15"/>
      <c r="E314" s="74"/>
      <c r="F314" s="74"/>
      <c r="G314" s="74"/>
      <c r="H314" s="74"/>
      <c r="I314" s="74"/>
      <c r="J314" s="15"/>
    </row>
    <row r="315">
      <c r="A315" s="15"/>
      <c r="B315" s="15"/>
      <c r="C315" s="15"/>
      <c r="D315" s="15"/>
      <c r="E315" s="74"/>
      <c r="F315" s="74"/>
      <c r="G315" s="74"/>
      <c r="H315" s="74"/>
      <c r="I315" s="74"/>
      <c r="J315" s="15"/>
    </row>
    <row r="316">
      <c r="A316" s="15"/>
      <c r="B316" s="15"/>
      <c r="C316" s="15"/>
      <c r="D316" s="15"/>
      <c r="E316" s="74"/>
      <c r="F316" s="74"/>
      <c r="G316" s="74"/>
      <c r="H316" s="74"/>
      <c r="I316" s="74"/>
      <c r="J316" s="15"/>
    </row>
    <row r="317">
      <c r="A317" s="15"/>
      <c r="B317" s="15"/>
      <c r="C317" s="15"/>
      <c r="D317" s="15"/>
      <c r="E317" s="74"/>
      <c r="F317" s="74"/>
      <c r="G317" s="74"/>
      <c r="H317" s="74"/>
      <c r="I317" s="74"/>
      <c r="J317" s="15"/>
    </row>
    <row r="318">
      <c r="A318" s="15"/>
      <c r="B318" s="15"/>
      <c r="C318" s="15"/>
      <c r="D318" s="15"/>
      <c r="E318" s="74"/>
      <c r="F318" s="74"/>
      <c r="G318" s="74"/>
      <c r="H318" s="74"/>
      <c r="I318" s="74"/>
      <c r="J318" s="15"/>
    </row>
    <row r="319">
      <c r="A319" s="15"/>
      <c r="B319" s="15"/>
      <c r="C319" s="15"/>
      <c r="D319" s="15"/>
      <c r="E319" s="74"/>
      <c r="F319" s="74"/>
      <c r="G319" s="74"/>
      <c r="H319" s="74"/>
      <c r="I319" s="74"/>
      <c r="J319" s="15"/>
    </row>
    <row r="320">
      <c r="A320" s="15"/>
      <c r="B320" s="15"/>
      <c r="C320" s="15"/>
      <c r="D320" s="15"/>
      <c r="E320" s="74"/>
      <c r="F320" s="74"/>
      <c r="G320" s="74"/>
      <c r="H320" s="74"/>
      <c r="I320" s="74"/>
      <c r="J320" s="15"/>
    </row>
    <row r="321">
      <c r="A321" s="15"/>
      <c r="B321" s="15"/>
      <c r="C321" s="15"/>
      <c r="D321" s="15"/>
      <c r="E321" s="74"/>
      <c r="F321" s="74"/>
      <c r="G321" s="74"/>
      <c r="H321" s="74"/>
      <c r="I321" s="74"/>
      <c r="J321" s="15"/>
    </row>
    <row r="322">
      <c r="A322" s="15"/>
      <c r="B322" s="15"/>
      <c r="C322" s="15"/>
      <c r="D322" s="15"/>
      <c r="E322" s="74"/>
      <c r="F322" s="74"/>
      <c r="G322" s="74"/>
      <c r="H322" s="74"/>
      <c r="I322" s="74"/>
      <c r="J322" s="15"/>
    </row>
    <row r="323">
      <c r="A323" s="15"/>
      <c r="B323" s="15"/>
      <c r="C323" s="15"/>
      <c r="D323" s="15"/>
      <c r="E323" s="74"/>
      <c r="F323" s="74"/>
      <c r="G323" s="74"/>
      <c r="H323" s="74"/>
      <c r="I323" s="74"/>
      <c r="J323" s="15"/>
    </row>
    <row r="324">
      <c r="A324" s="15"/>
      <c r="B324" s="15"/>
      <c r="C324" s="15"/>
      <c r="D324" s="15"/>
      <c r="E324" s="74"/>
      <c r="F324" s="74"/>
      <c r="G324" s="74"/>
      <c r="H324" s="74"/>
      <c r="I324" s="74"/>
      <c r="J324" s="15"/>
    </row>
    <row r="325">
      <c r="A325" s="15"/>
      <c r="B325" s="15"/>
      <c r="C325" s="15"/>
      <c r="D325" s="15"/>
      <c r="E325" s="74"/>
      <c r="F325" s="74"/>
      <c r="G325" s="74"/>
      <c r="H325" s="74"/>
      <c r="I325" s="74"/>
      <c r="J325" s="15"/>
    </row>
    <row r="326">
      <c r="A326" s="15"/>
      <c r="B326" s="15"/>
      <c r="C326" s="15"/>
      <c r="D326" s="15"/>
      <c r="E326" s="74"/>
      <c r="F326" s="74"/>
      <c r="G326" s="74"/>
      <c r="H326" s="74"/>
      <c r="I326" s="74"/>
      <c r="J326" s="15"/>
    </row>
    <row r="327">
      <c r="A327" s="15"/>
      <c r="B327" s="15"/>
      <c r="C327" s="15"/>
      <c r="D327" s="15"/>
      <c r="E327" s="74"/>
      <c r="F327" s="74"/>
      <c r="G327" s="74"/>
      <c r="H327" s="74"/>
      <c r="I327" s="74"/>
      <c r="J327" s="15"/>
    </row>
    <row r="328">
      <c r="A328" s="15"/>
      <c r="B328" s="15"/>
      <c r="C328" s="15"/>
      <c r="D328" s="15"/>
      <c r="E328" s="74"/>
      <c r="F328" s="74"/>
      <c r="G328" s="74"/>
      <c r="H328" s="74"/>
      <c r="I328" s="74"/>
      <c r="J328" s="15"/>
    </row>
    <row r="329">
      <c r="A329" s="15"/>
      <c r="B329" s="15"/>
      <c r="C329" s="15"/>
      <c r="D329" s="15"/>
      <c r="E329" s="74"/>
      <c r="F329" s="74"/>
      <c r="G329" s="74"/>
      <c r="H329" s="74"/>
      <c r="I329" s="74"/>
      <c r="J329" s="15"/>
    </row>
    <row r="330">
      <c r="A330" s="15"/>
      <c r="B330" s="15"/>
      <c r="C330" s="15"/>
      <c r="D330" s="15"/>
      <c r="E330" s="74"/>
      <c r="F330" s="74"/>
      <c r="G330" s="74"/>
      <c r="H330" s="74"/>
      <c r="I330" s="74"/>
      <c r="J330" s="15"/>
    </row>
    <row r="331">
      <c r="A331" s="15"/>
      <c r="B331" s="15"/>
      <c r="C331" s="15"/>
      <c r="D331" s="15"/>
      <c r="E331" s="74"/>
      <c r="F331" s="74"/>
      <c r="G331" s="74"/>
      <c r="H331" s="74"/>
      <c r="I331" s="74"/>
      <c r="J331" s="15"/>
    </row>
    <row r="332">
      <c r="A332" s="15"/>
      <c r="B332" s="15"/>
      <c r="C332" s="15"/>
      <c r="D332" s="15"/>
      <c r="E332" s="74"/>
      <c r="F332" s="74"/>
      <c r="G332" s="74"/>
      <c r="H332" s="74"/>
      <c r="I332" s="74"/>
      <c r="J332" s="15"/>
    </row>
    <row r="333">
      <c r="A333" s="15"/>
      <c r="B333" s="15"/>
      <c r="C333" s="15"/>
      <c r="D333" s="15"/>
      <c r="E333" s="74"/>
      <c r="F333" s="74"/>
      <c r="G333" s="74"/>
      <c r="H333" s="74"/>
      <c r="I333" s="74"/>
      <c r="J333" s="15"/>
    </row>
    <row r="334">
      <c r="A334" s="15"/>
      <c r="B334" s="15"/>
      <c r="C334" s="15"/>
      <c r="D334" s="15"/>
      <c r="E334" s="74"/>
      <c r="F334" s="74"/>
      <c r="G334" s="74"/>
      <c r="H334" s="74"/>
      <c r="I334" s="74"/>
      <c r="J334" s="15"/>
    </row>
    <row r="335">
      <c r="A335" s="15"/>
      <c r="B335" s="15"/>
      <c r="C335" s="15"/>
      <c r="D335" s="15"/>
      <c r="E335" s="74"/>
      <c r="F335" s="74"/>
      <c r="G335" s="74"/>
      <c r="H335" s="74"/>
      <c r="I335" s="74"/>
      <c r="J335" s="15"/>
    </row>
    <row r="336">
      <c r="A336" s="15"/>
      <c r="B336" s="15"/>
      <c r="C336" s="15"/>
      <c r="D336" s="15"/>
      <c r="E336" s="74"/>
      <c r="F336" s="74"/>
      <c r="G336" s="74"/>
      <c r="H336" s="74"/>
      <c r="I336" s="74"/>
      <c r="J336" s="15"/>
    </row>
    <row r="337">
      <c r="A337" s="15"/>
      <c r="B337" s="15"/>
      <c r="C337" s="15"/>
      <c r="D337" s="15"/>
      <c r="E337" s="74"/>
      <c r="F337" s="74"/>
      <c r="G337" s="74"/>
      <c r="H337" s="74"/>
      <c r="I337" s="74"/>
      <c r="J337" s="15"/>
    </row>
    <row r="338">
      <c r="A338" s="15"/>
      <c r="B338" s="15"/>
      <c r="C338" s="15"/>
      <c r="D338" s="15"/>
      <c r="E338" s="74"/>
      <c r="F338" s="74"/>
      <c r="G338" s="74"/>
      <c r="H338" s="74"/>
      <c r="I338" s="74"/>
      <c r="J338" s="15"/>
    </row>
    <row r="339">
      <c r="A339" s="15"/>
      <c r="B339" s="15"/>
      <c r="C339" s="15"/>
      <c r="D339" s="15"/>
      <c r="E339" s="74"/>
      <c r="F339" s="74"/>
      <c r="G339" s="74"/>
      <c r="H339" s="74"/>
      <c r="I339" s="74"/>
      <c r="J339" s="15"/>
    </row>
    <row r="340">
      <c r="A340" s="15"/>
      <c r="B340" s="15"/>
      <c r="C340" s="15"/>
      <c r="D340" s="15"/>
      <c r="E340" s="74"/>
      <c r="F340" s="74"/>
      <c r="G340" s="74"/>
      <c r="H340" s="74"/>
      <c r="I340" s="74"/>
      <c r="J340" s="15"/>
    </row>
    <row r="341">
      <c r="A341" s="15"/>
      <c r="B341" s="15"/>
      <c r="C341" s="15"/>
      <c r="D341" s="15"/>
      <c r="E341" s="74"/>
      <c r="F341" s="74"/>
      <c r="G341" s="74"/>
      <c r="H341" s="74"/>
      <c r="I341" s="74"/>
      <c r="J341" s="15"/>
    </row>
    <row r="342">
      <c r="A342" s="15"/>
      <c r="B342" s="15"/>
      <c r="C342" s="15"/>
      <c r="D342" s="15"/>
      <c r="E342" s="74"/>
      <c r="F342" s="74"/>
      <c r="G342" s="74"/>
      <c r="H342" s="74"/>
      <c r="I342" s="74"/>
      <c r="J342" s="15"/>
    </row>
    <row r="343">
      <c r="A343" s="15"/>
      <c r="B343" s="15"/>
      <c r="C343" s="15"/>
      <c r="D343" s="15"/>
      <c r="E343" s="74"/>
      <c r="F343" s="74"/>
      <c r="G343" s="74"/>
      <c r="H343" s="74"/>
      <c r="I343" s="74"/>
      <c r="J343" s="15"/>
    </row>
    <row r="344">
      <c r="A344" s="15"/>
      <c r="B344" s="15"/>
      <c r="C344" s="15"/>
      <c r="D344" s="15"/>
      <c r="E344" s="74"/>
      <c r="F344" s="74"/>
      <c r="G344" s="74"/>
      <c r="H344" s="74"/>
      <c r="I344" s="74"/>
      <c r="J344" s="15"/>
    </row>
    <row r="345">
      <c r="A345" s="15"/>
      <c r="B345" s="15"/>
      <c r="C345" s="15"/>
      <c r="D345" s="15"/>
      <c r="E345" s="74"/>
      <c r="F345" s="74"/>
      <c r="G345" s="74"/>
      <c r="H345" s="74"/>
      <c r="I345" s="74"/>
      <c r="J345" s="15"/>
    </row>
    <row r="346">
      <c r="A346" s="15"/>
      <c r="B346" s="15"/>
      <c r="C346" s="15"/>
      <c r="D346" s="15"/>
      <c r="E346" s="74"/>
      <c r="F346" s="74"/>
      <c r="G346" s="74"/>
      <c r="H346" s="74"/>
      <c r="I346" s="74"/>
      <c r="J346" s="15"/>
    </row>
    <row r="347">
      <c r="A347" s="15"/>
      <c r="B347" s="15"/>
      <c r="C347" s="15"/>
      <c r="D347" s="15"/>
      <c r="E347" s="74"/>
      <c r="F347" s="74"/>
      <c r="G347" s="74"/>
      <c r="H347" s="74"/>
      <c r="I347" s="74"/>
      <c r="J347" s="15"/>
    </row>
    <row r="348">
      <c r="A348" s="15"/>
      <c r="B348" s="15"/>
      <c r="C348" s="15"/>
      <c r="D348" s="15"/>
      <c r="E348" s="74"/>
      <c r="F348" s="74"/>
      <c r="G348" s="74"/>
      <c r="H348" s="74"/>
      <c r="I348" s="74"/>
      <c r="J348" s="15"/>
    </row>
    <row r="349">
      <c r="A349" s="15"/>
      <c r="B349" s="15"/>
      <c r="C349" s="15"/>
      <c r="D349" s="15"/>
      <c r="E349" s="74"/>
      <c r="F349" s="74"/>
      <c r="G349" s="74"/>
      <c r="H349" s="74"/>
      <c r="I349" s="74"/>
      <c r="J349" s="15"/>
    </row>
    <row r="350">
      <c r="A350" s="15"/>
      <c r="B350" s="15"/>
      <c r="C350" s="15"/>
      <c r="D350" s="15"/>
      <c r="E350" s="74"/>
      <c r="F350" s="74"/>
      <c r="G350" s="74"/>
      <c r="H350" s="74"/>
      <c r="I350" s="74"/>
      <c r="J350" s="15"/>
    </row>
    <row r="351">
      <c r="A351" s="15"/>
      <c r="B351" s="15"/>
      <c r="C351" s="15"/>
      <c r="D351" s="15"/>
      <c r="E351" s="74"/>
      <c r="F351" s="74"/>
      <c r="G351" s="74"/>
      <c r="H351" s="74"/>
      <c r="I351" s="74"/>
      <c r="J351" s="15"/>
    </row>
    <row r="352">
      <c r="A352" s="15"/>
      <c r="B352" s="15"/>
      <c r="C352" s="15"/>
      <c r="D352" s="15"/>
      <c r="E352" s="74"/>
      <c r="F352" s="74"/>
      <c r="G352" s="74"/>
      <c r="H352" s="74"/>
      <c r="I352" s="74"/>
      <c r="J352" s="15"/>
    </row>
    <row r="353">
      <c r="A353" s="15"/>
      <c r="B353" s="15"/>
      <c r="C353" s="15"/>
      <c r="D353" s="15"/>
      <c r="E353" s="74"/>
      <c r="F353" s="74"/>
      <c r="G353" s="74"/>
      <c r="H353" s="74"/>
      <c r="I353" s="74"/>
      <c r="J353" s="15"/>
    </row>
    <row r="354">
      <c r="A354" s="15"/>
      <c r="B354" s="15"/>
      <c r="C354" s="15"/>
      <c r="D354" s="15"/>
      <c r="E354" s="74"/>
      <c r="F354" s="74"/>
      <c r="G354" s="74"/>
      <c r="H354" s="74"/>
      <c r="I354" s="74"/>
      <c r="J354" s="15"/>
    </row>
    <row r="355">
      <c r="A355" s="15"/>
      <c r="B355" s="15"/>
      <c r="C355" s="15"/>
      <c r="D355" s="15"/>
      <c r="E355" s="74"/>
      <c r="F355" s="74"/>
      <c r="G355" s="74"/>
      <c r="H355" s="74"/>
      <c r="I355" s="74"/>
      <c r="J355" s="15"/>
    </row>
    <row r="356">
      <c r="A356" s="15"/>
      <c r="B356" s="15"/>
      <c r="C356" s="15"/>
      <c r="D356" s="15"/>
      <c r="E356" s="74"/>
      <c r="F356" s="74"/>
      <c r="G356" s="74"/>
      <c r="H356" s="74"/>
      <c r="I356" s="74"/>
      <c r="J356" s="15"/>
    </row>
    <row r="357">
      <c r="A357" s="15"/>
      <c r="B357" s="15"/>
      <c r="C357" s="15"/>
      <c r="D357" s="15"/>
      <c r="E357" s="74"/>
      <c r="F357" s="74"/>
      <c r="G357" s="74"/>
      <c r="H357" s="74"/>
      <c r="I357" s="74"/>
      <c r="J357" s="15"/>
    </row>
    <row r="358">
      <c r="A358" s="15"/>
      <c r="B358" s="15"/>
      <c r="C358" s="15"/>
      <c r="D358" s="15"/>
      <c r="E358" s="74"/>
      <c r="F358" s="74"/>
      <c r="G358" s="74"/>
      <c r="H358" s="74"/>
      <c r="I358" s="74"/>
      <c r="J358" s="15"/>
    </row>
    <row r="359">
      <c r="A359" s="15"/>
      <c r="B359" s="15"/>
      <c r="C359" s="15"/>
      <c r="D359" s="15"/>
      <c r="E359" s="74"/>
      <c r="F359" s="74"/>
      <c r="G359" s="74"/>
      <c r="H359" s="74"/>
      <c r="I359" s="74"/>
      <c r="J359" s="15"/>
    </row>
    <row r="360">
      <c r="A360" s="15"/>
      <c r="B360" s="15"/>
      <c r="C360" s="15"/>
      <c r="D360" s="15"/>
      <c r="E360" s="74"/>
      <c r="F360" s="74"/>
      <c r="G360" s="74"/>
      <c r="H360" s="74"/>
      <c r="I360" s="74"/>
      <c r="J360" s="15"/>
    </row>
    <row r="361">
      <c r="A361" s="15"/>
      <c r="B361" s="15"/>
      <c r="C361" s="15"/>
      <c r="D361" s="15"/>
      <c r="E361" s="74"/>
      <c r="F361" s="74"/>
      <c r="G361" s="74"/>
      <c r="H361" s="74"/>
      <c r="I361" s="74"/>
      <c r="J361" s="15"/>
    </row>
    <row r="362">
      <c r="A362" s="15"/>
      <c r="B362" s="15"/>
      <c r="C362" s="15"/>
      <c r="D362" s="15"/>
      <c r="E362" s="74"/>
      <c r="F362" s="74"/>
      <c r="G362" s="74"/>
      <c r="H362" s="74"/>
      <c r="I362" s="74"/>
      <c r="J362" s="15"/>
    </row>
    <row r="363">
      <c r="A363" s="15"/>
      <c r="B363" s="15"/>
      <c r="C363" s="15"/>
      <c r="D363" s="15"/>
      <c r="E363" s="74"/>
      <c r="F363" s="74"/>
      <c r="G363" s="74"/>
      <c r="H363" s="74"/>
      <c r="I363" s="74"/>
      <c r="J363" s="15"/>
    </row>
    <row r="364">
      <c r="A364" s="15"/>
      <c r="B364" s="15"/>
      <c r="C364" s="15"/>
      <c r="D364" s="15"/>
      <c r="E364" s="74"/>
      <c r="F364" s="74"/>
      <c r="G364" s="74"/>
      <c r="H364" s="74"/>
      <c r="I364" s="74"/>
      <c r="J364" s="15"/>
    </row>
    <row r="365">
      <c r="A365" s="15"/>
      <c r="B365" s="15"/>
      <c r="C365" s="15"/>
      <c r="D365" s="15"/>
      <c r="E365" s="74"/>
      <c r="F365" s="74"/>
      <c r="G365" s="74"/>
      <c r="H365" s="74"/>
      <c r="I365" s="74"/>
      <c r="J365" s="15"/>
    </row>
    <row r="366">
      <c r="A366" s="15"/>
      <c r="B366" s="15"/>
      <c r="C366" s="15"/>
      <c r="D366" s="15"/>
      <c r="E366" s="74"/>
      <c r="F366" s="74"/>
      <c r="G366" s="74"/>
      <c r="H366" s="74"/>
      <c r="I366" s="74"/>
      <c r="J366" s="15"/>
    </row>
    <row r="367">
      <c r="A367" s="15"/>
      <c r="B367" s="15"/>
      <c r="C367" s="15"/>
      <c r="D367" s="15"/>
      <c r="E367" s="74"/>
      <c r="F367" s="74"/>
      <c r="G367" s="74"/>
      <c r="H367" s="74"/>
      <c r="I367" s="74"/>
      <c r="J367" s="15"/>
    </row>
    <row r="368">
      <c r="A368" s="15"/>
      <c r="B368" s="15"/>
      <c r="C368" s="15"/>
      <c r="D368" s="15"/>
      <c r="E368" s="74"/>
      <c r="F368" s="74"/>
      <c r="G368" s="74"/>
      <c r="H368" s="74"/>
      <c r="I368" s="74"/>
      <c r="J368" s="15"/>
    </row>
    <row r="369">
      <c r="A369" s="15"/>
      <c r="B369" s="15"/>
      <c r="C369" s="15"/>
      <c r="D369" s="15"/>
      <c r="E369" s="74"/>
      <c r="F369" s="74"/>
      <c r="G369" s="74"/>
      <c r="H369" s="74"/>
      <c r="I369" s="74"/>
      <c r="J369" s="15"/>
    </row>
    <row r="370">
      <c r="A370" s="15"/>
      <c r="B370" s="15"/>
      <c r="C370" s="15"/>
      <c r="D370" s="15"/>
      <c r="E370" s="74"/>
      <c r="F370" s="74"/>
      <c r="G370" s="74"/>
      <c r="H370" s="74"/>
      <c r="I370" s="74"/>
      <c r="J370" s="15"/>
    </row>
    <row r="371">
      <c r="A371" s="15"/>
      <c r="B371" s="15"/>
      <c r="C371" s="15"/>
      <c r="D371" s="15"/>
      <c r="E371" s="74"/>
      <c r="F371" s="74"/>
      <c r="G371" s="74"/>
      <c r="H371" s="74"/>
      <c r="I371" s="74"/>
      <c r="J371" s="15"/>
    </row>
    <row r="372">
      <c r="A372" s="15"/>
      <c r="B372" s="15"/>
      <c r="C372" s="15"/>
      <c r="D372" s="15"/>
      <c r="E372" s="74"/>
      <c r="F372" s="74"/>
      <c r="G372" s="74"/>
      <c r="H372" s="74"/>
      <c r="I372" s="74"/>
      <c r="J372" s="15"/>
    </row>
    <row r="373">
      <c r="A373" s="15"/>
      <c r="B373" s="15"/>
      <c r="C373" s="15"/>
      <c r="D373" s="15"/>
      <c r="E373" s="74"/>
      <c r="F373" s="74"/>
      <c r="G373" s="74"/>
      <c r="H373" s="74"/>
      <c r="I373" s="74"/>
      <c r="J373" s="15"/>
    </row>
    <row r="374">
      <c r="A374" s="15"/>
      <c r="B374" s="15"/>
      <c r="C374" s="15"/>
      <c r="D374" s="15"/>
      <c r="E374" s="74"/>
      <c r="F374" s="74"/>
      <c r="G374" s="74"/>
      <c r="H374" s="74"/>
      <c r="I374" s="74"/>
      <c r="J374" s="15"/>
    </row>
    <row r="375">
      <c r="A375" s="15"/>
      <c r="B375" s="15"/>
      <c r="C375" s="15"/>
      <c r="D375" s="15"/>
      <c r="E375" s="74"/>
      <c r="F375" s="74"/>
      <c r="G375" s="74"/>
      <c r="H375" s="74"/>
      <c r="I375" s="74"/>
      <c r="J375" s="15"/>
    </row>
    <row r="376">
      <c r="A376" s="15"/>
      <c r="B376" s="15"/>
      <c r="C376" s="15"/>
      <c r="D376" s="15"/>
      <c r="E376" s="74"/>
      <c r="F376" s="74"/>
      <c r="G376" s="74"/>
      <c r="H376" s="74"/>
      <c r="I376" s="74"/>
      <c r="J376" s="15"/>
    </row>
    <row r="377">
      <c r="A377" s="15"/>
      <c r="B377" s="15"/>
      <c r="C377" s="15"/>
      <c r="D377" s="15"/>
      <c r="E377" s="74"/>
      <c r="F377" s="74"/>
      <c r="G377" s="74"/>
      <c r="H377" s="74"/>
      <c r="I377" s="74"/>
      <c r="J377" s="15"/>
    </row>
    <row r="378">
      <c r="A378" s="15"/>
      <c r="B378" s="15"/>
      <c r="C378" s="15"/>
      <c r="D378" s="15"/>
      <c r="E378" s="74"/>
      <c r="F378" s="74"/>
      <c r="G378" s="74"/>
      <c r="H378" s="74"/>
      <c r="I378" s="74"/>
      <c r="J378" s="15"/>
    </row>
    <row r="379">
      <c r="A379" s="15"/>
      <c r="B379" s="15"/>
      <c r="C379" s="15"/>
      <c r="D379" s="15"/>
      <c r="E379" s="74"/>
      <c r="F379" s="74"/>
      <c r="G379" s="74"/>
      <c r="H379" s="74"/>
      <c r="I379" s="74"/>
      <c r="J379" s="15"/>
    </row>
    <row r="380">
      <c r="A380" s="15"/>
      <c r="B380" s="15"/>
      <c r="C380" s="15"/>
      <c r="D380" s="15"/>
      <c r="E380" s="74"/>
      <c r="F380" s="74"/>
      <c r="G380" s="74"/>
      <c r="H380" s="74"/>
      <c r="I380" s="74"/>
      <c r="J380" s="15"/>
    </row>
    <row r="381">
      <c r="A381" s="15"/>
      <c r="B381" s="15"/>
      <c r="C381" s="15"/>
      <c r="D381" s="15"/>
      <c r="E381" s="74"/>
      <c r="F381" s="74"/>
      <c r="G381" s="74"/>
      <c r="H381" s="74"/>
      <c r="I381" s="74"/>
      <c r="J381" s="15"/>
    </row>
    <row r="382">
      <c r="A382" s="15"/>
      <c r="B382" s="15"/>
      <c r="C382" s="15"/>
      <c r="D382" s="15"/>
      <c r="E382" s="74"/>
      <c r="F382" s="74"/>
      <c r="G382" s="74"/>
      <c r="H382" s="74"/>
      <c r="I382" s="74"/>
      <c r="J382" s="15"/>
    </row>
    <row r="383">
      <c r="A383" s="15"/>
      <c r="B383" s="15"/>
      <c r="C383" s="15"/>
      <c r="D383" s="15"/>
      <c r="E383" s="74"/>
      <c r="F383" s="74"/>
      <c r="G383" s="74"/>
      <c r="H383" s="74"/>
      <c r="I383" s="74"/>
      <c r="J383" s="15"/>
    </row>
    <row r="384">
      <c r="A384" s="15"/>
      <c r="B384" s="15"/>
      <c r="C384" s="15"/>
      <c r="D384" s="15"/>
      <c r="E384" s="74"/>
      <c r="F384" s="74"/>
      <c r="G384" s="74"/>
      <c r="H384" s="74"/>
      <c r="I384" s="74"/>
      <c r="J384" s="15"/>
    </row>
    <row r="385">
      <c r="A385" s="15"/>
      <c r="B385" s="15"/>
      <c r="C385" s="15"/>
      <c r="D385" s="15"/>
      <c r="E385" s="74"/>
      <c r="F385" s="74"/>
      <c r="G385" s="74"/>
      <c r="H385" s="74"/>
      <c r="I385" s="74"/>
      <c r="J385" s="15"/>
    </row>
    <row r="386">
      <c r="A386" s="15"/>
      <c r="B386" s="15"/>
      <c r="C386" s="15"/>
      <c r="D386" s="15"/>
      <c r="E386" s="74"/>
      <c r="F386" s="74"/>
      <c r="G386" s="74"/>
      <c r="H386" s="74"/>
      <c r="I386" s="74"/>
      <c r="J386" s="15"/>
    </row>
    <row r="387">
      <c r="A387" s="15"/>
      <c r="B387" s="15"/>
      <c r="C387" s="15"/>
      <c r="D387" s="15"/>
      <c r="E387" s="74"/>
      <c r="F387" s="74"/>
      <c r="G387" s="74"/>
      <c r="H387" s="74"/>
      <c r="I387" s="74"/>
      <c r="J387" s="15"/>
    </row>
    <row r="388">
      <c r="A388" s="15"/>
      <c r="B388" s="15"/>
      <c r="C388" s="15"/>
      <c r="D388" s="15"/>
      <c r="E388" s="74"/>
      <c r="F388" s="74"/>
      <c r="G388" s="74"/>
      <c r="H388" s="74"/>
      <c r="I388" s="74"/>
      <c r="J388" s="15"/>
    </row>
    <row r="389">
      <c r="A389" s="15"/>
      <c r="B389" s="15"/>
      <c r="C389" s="15"/>
      <c r="D389" s="15"/>
      <c r="E389" s="74"/>
      <c r="F389" s="74"/>
      <c r="G389" s="74"/>
      <c r="H389" s="74"/>
      <c r="I389" s="74"/>
      <c r="J389" s="15"/>
    </row>
    <row r="390">
      <c r="A390" s="15"/>
      <c r="B390" s="15"/>
      <c r="C390" s="15"/>
      <c r="D390" s="15"/>
      <c r="E390" s="74"/>
      <c r="F390" s="74"/>
      <c r="G390" s="74"/>
      <c r="H390" s="74"/>
      <c r="I390" s="74"/>
      <c r="J390" s="15"/>
    </row>
    <row r="391">
      <c r="A391" s="15"/>
      <c r="B391" s="15"/>
      <c r="C391" s="15"/>
      <c r="D391" s="15"/>
      <c r="E391" s="74"/>
      <c r="F391" s="74"/>
      <c r="G391" s="74"/>
      <c r="H391" s="74"/>
      <c r="I391" s="74"/>
      <c r="J391" s="15"/>
    </row>
    <row r="392">
      <c r="A392" s="15"/>
      <c r="B392" s="15"/>
      <c r="C392" s="15"/>
      <c r="D392" s="15"/>
      <c r="E392" s="74"/>
      <c r="F392" s="74"/>
      <c r="G392" s="74"/>
      <c r="H392" s="74"/>
      <c r="I392" s="74"/>
      <c r="J392" s="15"/>
    </row>
    <row r="393">
      <c r="A393" s="15"/>
      <c r="B393" s="15"/>
      <c r="C393" s="15"/>
      <c r="D393" s="15"/>
      <c r="E393" s="74"/>
      <c r="F393" s="74"/>
      <c r="G393" s="74"/>
      <c r="H393" s="74"/>
      <c r="I393" s="74"/>
      <c r="J393" s="15"/>
    </row>
    <row r="394">
      <c r="A394" s="15"/>
      <c r="B394" s="15"/>
      <c r="C394" s="15"/>
      <c r="D394" s="15"/>
      <c r="E394" s="74"/>
      <c r="F394" s="74"/>
      <c r="G394" s="74"/>
      <c r="H394" s="74"/>
      <c r="I394" s="74"/>
      <c r="J394" s="15"/>
    </row>
    <row r="395">
      <c r="A395" s="15"/>
      <c r="B395" s="15"/>
      <c r="C395" s="15"/>
      <c r="D395" s="15"/>
      <c r="E395" s="74"/>
      <c r="F395" s="74"/>
      <c r="G395" s="74"/>
      <c r="H395" s="74"/>
      <c r="I395" s="74"/>
      <c r="J395" s="15"/>
    </row>
    <row r="396">
      <c r="A396" s="15"/>
      <c r="B396" s="15"/>
      <c r="C396" s="15"/>
      <c r="D396" s="15"/>
      <c r="E396" s="74"/>
      <c r="F396" s="74"/>
      <c r="G396" s="74"/>
      <c r="H396" s="74"/>
      <c r="I396" s="74"/>
      <c r="J396" s="15"/>
    </row>
    <row r="397">
      <c r="A397" s="15"/>
      <c r="B397" s="15"/>
      <c r="C397" s="15"/>
      <c r="D397" s="15"/>
      <c r="E397" s="74"/>
      <c r="F397" s="74"/>
      <c r="G397" s="74"/>
      <c r="H397" s="74"/>
      <c r="I397" s="74"/>
      <c r="J397" s="15"/>
    </row>
    <row r="398">
      <c r="A398" s="15"/>
      <c r="B398" s="15"/>
      <c r="C398" s="15"/>
      <c r="D398" s="15"/>
      <c r="E398" s="74"/>
      <c r="F398" s="74"/>
      <c r="G398" s="74"/>
      <c r="H398" s="74"/>
      <c r="I398" s="74"/>
      <c r="J398" s="15"/>
    </row>
    <row r="399">
      <c r="A399" s="15"/>
      <c r="B399" s="15"/>
      <c r="C399" s="15"/>
      <c r="D399" s="15"/>
      <c r="E399" s="74"/>
      <c r="F399" s="74"/>
      <c r="G399" s="74"/>
      <c r="H399" s="74"/>
      <c r="I399" s="74"/>
      <c r="J399" s="15"/>
    </row>
    <row r="400">
      <c r="A400" s="15"/>
      <c r="B400" s="15"/>
      <c r="C400" s="15"/>
      <c r="D400" s="15"/>
      <c r="E400" s="74"/>
      <c r="F400" s="74"/>
      <c r="G400" s="74"/>
      <c r="H400" s="74"/>
      <c r="I400" s="74"/>
      <c r="J400" s="15"/>
    </row>
    <row r="401">
      <c r="A401" s="15"/>
      <c r="B401" s="15"/>
      <c r="C401" s="15"/>
      <c r="D401" s="15"/>
      <c r="E401" s="74"/>
      <c r="F401" s="74"/>
      <c r="G401" s="74"/>
      <c r="H401" s="74"/>
      <c r="I401" s="74"/>
      <c r="J401" s="15"/>
    </row>
    <row r="402">
      <c r="A402" s="15"/>
      <c r="B402" s="15"/>
      <c r="C402" s="15"/>
      <c r="D402" s="15"/>
      <c r="E402" s="74"/>
      <c r="F402" s="74"/>
      <c r="G402" s="74"/>
      <c r="H402" s="74"/>
      <c r="I402" s="74"/>
      <c r="J402" s="15"/>
    </row>
    <row r="403">
      <c r="A403" s="15"/>
      <c r="B403" s="15"/>
      <c r="C403" s="15"/>
      <c r="D403" s="15"/>
      <c r="E403" s="74"/>
      <c r="F403" s="74"/>
      <c r="G403" s="74"/>
      <c r="H403" s="74"/>
      <c r="I403" s="74"/>
      <c r="J403" s="15"/>
    </row>
    <row r="404">
      <c r="A404" s="15"/>
      <c r="B404" s="15"/>
      <c r="C404" s="15"/>
      <c r="D404" s="15"/>
      <c r="E404" s="74"/>
      <c r="F404" s="74"/>
      <c r="G404" s="74"/>
      <c r="H404" s="74"/>
      <c r="I404" s="74"/>
      <c r="J404" s="15"/>
    </row>
    <row r="405">
      <c r="A405" s="15"/>
      <c r="B405" s="15"/>
      <c r="C405" s="15"/>
      <c r="D405" s="15"/>
      <c r="E405" s="74"/>
      <c r="F405" s="74"/>
      <c r="G405" s="74"/>
      <c r="H405" s="74"/>
      <c r="I405" s="74"/>
      <c r="J405" s="15"/>
    </row>
    <row r="406">
      <c r="A406" s="15"/>
      <c r="B406" s="15"/>
      <c r="C406" s="15"/>
      <c r="D406" s="15"/>
      <c r="E406" s="74"/>
      <c r="F406" s="74"/>
      <c r="G406" s="74"/>
      <c r="H406" s="74"/>
      <c r="I406" s="74"/>
      <c r="J406" s="15"/>
    </row>
    <row r="407">
      <c r="A407" s="15"/>
      <c r="B407" s="15"/>
      <c r="C407" s="15"/>
      <c r="D407" s="15"/>
      <c r="E407" s="74"/>
      <c r="F407" s="74"/>
      <c r="G407" s="74"/>
      <c r="H407" s="74"/>
      <c r="I407" s="74"/>
      <c r="J407" s="15"/>
    </row>
    <row r="408">
      <c r="A408" s="15"/>
      <c r="B408" s="15"/>
      <c r="C408" s="15"/>
      <c r="D408" s="15"/>
      <c r="E408" s="74"/>
      <c r="F408" s="74"/>
      <c r="G408" s="74"/>
      <c r="H408" s="74"/>
      <c r="I408" s="74"/>
      <c r="J408" s="15"/>
    </row>
    <row r="409">
      <c r="A409" s="15"/>
      <c r="B409" s="15"/>
      <c r="C409" s="15"/>
      <c r="D409" s="15"/>
      <c r="E409" s="74"/>
      <c r="F409" s="74"/>
      <c r="G409" s="74"/>
      <c r="H409" s="74"/>
      <c r="I409" s="74"/>
      <c r="J409" s="15"/>
    </row>
    <row r="410">
      <c r="A410" s="15"/>
      <c r="B410" s="15"/>
      <c r="C410" s="15"/>
      <c r="D410" s="15"/>
      <c r="E410" s="74"/>
      <c r="F410" s="74"/>
      <c r="G410" s="74"/>
      <c r="H410" s="74"/>
      <c r="I410" s="74"/>
      <c r="J410" s="15"/>
    </row>
    <row r="411">
      <c r="A411" s="15"/>
      <c r="B411" s="15"/>
      <c r="C411" s="15"/>
      <c r="D411" s="15"/>
      <c r="E411" s="74"/>
      <c r="F411" s="74"/>
      <c r="G411" s="74"/>
      <c r="H411" s="74"/>
      <c r="I411" s="74"/>
      <c r="J411" s="15"/>
    </row>
    <row r="412">
      <c r="A412" s="15"/>
      <c r="B412" s="15"/>
      <c r="C412" s="15"/>
      <c r="D412" s="15"/>
      <c r="E412" s="74"/>
      <c r="F412" s="74"/>
      <c r="G412" s="74"/>
      <c r="H412" s="74"/>
      <c r="I412" s="74"/>
      <c r="J412" s="15"/>
    </row>
    <row r="413">
      <c r="A413" s="15"/>
      <c r="B413" s="15"/>
      <c r="C413" s="15"/>
      <c r="D413" s="15"/>
      <c r="E413" s="74"/>
      <c r="F413" s="74"/>
      <c r="G413" s="74"/>
      <c r="H413" s="74"/>
      <c r="I413" s="74"/>
      <c r="J413" s="15"/>
    </row>
    <row r="414">
      <c r="A414" s="15"/>
      <c r="B414" s="15"/>
      <c r="C414" s="15"/>
      <c r="D414" s="15"/>
      <c r="E414" s="74"/>
      <c r="F414" s="74"/>
      <c r="G414" s="74"/>
      <c r="H414" s="74"/>
      <c r="I414" s="74"/>
      <c r="J414" s="15"/>
    </row>
    <row r="415">
      <c r="A415" s="15"/>
      <c r="B415" s="15"/>
      <c r="C415" s="15"/>
      <c r="D415" s="15"/>
      <c r="E415" s="74"/>
      <c r="F415" s="74"/>
      <c r="G415" s="74"/>
      <c r="H415" s="74"/>
      <c r="I415" s="74"/>
      <c r="J415" s="15"/>
    </row>
    <row r="416">
      <c r="A416" s="15"/>
      <c r="B416" s="15"/>
      <c r="C416" s="15"/>
      <c r="D416" s="15"/>
      <c r="E416" s="74"/>
      <c r="F416" s="74"/>
      <c r="G416" s="74"/>
      <c r="H416" s="74"/>
      <c r="I416" s="74"/>
      <c r="J416" s="15"/>
    </row>
    <row r="417">
      <c r="A417" s="15"/>
      <c r="B417" s="15"/>
      <c r="C417" s="15"/>
      <c r="D417" s="15"/>
      <c r="E417" s="74"/>
      <c r="F417" s="74"/>
      <c r="G417" s="74"/>
      <c r="H417" s="74"/>
      <c r="I417" s="74"/>
      <c r="J417" s="15"/>
    </row>
    <row r="418">
      <c r="A418" s="15"/>
      <c r="B418" s="15"/>
      <c r="C418" s="15"/>
      <c r="D418" s="15"/>
      <c r="E418" s="74"/>
      <c r="F418" s="74"/>
      <c r="G418" s="74"/>
      <c r="H418" s="74"/>
      <c r="I418" s="74"/>
      <c r="J418" s="15"/>
    </row>
    <row r="419">
      <c r="A419" s="15"/>
      <c r="B419" s="15"/>
      <c r="C419" s="15"/>
      <c r="D419" s="15"/>
      <c r="E419" s="74"/>
      <c r="F419" s="74"/>
      <c r="G419" s="74"/>
      <c r="H419" s="74"/>
      <c r="I419" s="74"/>
      <c r="J419" s="15"/>
    </row>
    <row r="420">
      <c r="A420" s="15"/>
      <c r="B420" s="15"/>
      <c r="C420" s="15"/>
      <c r="D420" s="15"/>
      <c r="E420" s="74"/>
      <c r="F420" s="74"/>
      <c r="G420" s="74"/>
      <c r="H420" s="74"/>
      <c r="I420" s="74"/>
      <c r="J420" s="15"/>
    </row>
    <row r="421">
      <c r="A421" s="15"/>
      <c r="B421" s="15"/>
      <c r="C421" s="15"/>
      <c r="D421" s="15"/>
      <c r="E421" s="74"/>
      <c r="F421" s="74"/>
      <c r="G421" s="74"/>
      <c r="H421" s="74"/>
      <c r="I421" s="74"/>
      <c r="J421" s="15"/>
    </row>
    <row r="422">
      <c r="A422" s="15"/>
      <c r="B422" s="15"/>
      <c r="C422" s="15"/>
      <c r="D422" s="15"/>
      <c r="E422" s="74"/>
      <c r="F422" s="74"/>
      <c r="G422" s="74"/>
      <c r="H422" s="74"/>
      <c r="I422" s="74"/>
      <c r="J422" s="15"/>
    </row>
    <row r="423">
      <c r="A423" s="15"/>
      <c r="B423" s="15"/>
      <c r="C423" s="15"/>
      <c r="D423" s="15"/>
      <c r="E423" s="74"/>
      <c r="F423" s="74"/>
      <c r="G423" s="74"/>
      <c r="H423" s="74"/>
      <c r="I423" s="74"/>
      <c r="J423" s="15"/>
    </row>
    <row r="424">
      <c r="A424" s="15"/>
      <c r="B424" s="15"/>
      <c r="C424" s="15"/>
      <c r="D424" s="15"/>
      <c r="E424" s="74"/>
      <c r="F424" s="74"/>
      <c r="G424" s="74"/>
      <c r="H424" s="74"/>
      <c r="I424" s="74"/>
      <c r="J424" s="15"/>
    </row>
    <row r="425">
      <c r="A425" s="15"/>
      <c r="B425" s="15"/>
      <c r="C425" s="15"/>
      <c r="D425" s="15"/>
      <c r="E425" s="74"/>
      <c r="F425" s="74"/>
      <c r="G425" s="74"/>
      <c r="H425" s="74"/>
      <c r="I425" s="74"/>
      <c r="J425" s="15"/>
    </row>
    <row r="426">
      <c r="A426" s="15"/>
      <c r="B426" s="15"/>
      <c r="C426" s="15"/>
      <c r="D426" s="15"/>
      <c r="E426" s="74"/>
      <c r="F426" s="74"/>
      <c r="G426" s="74"/>
      <c r="H426" s="74"/>
      <c r="I426" s="74"/>
      <c r="J426" s="15"/>
    </row>
    <row r="427">
      <c r="A427" s="15"/>
      <c r="B427" s="15"/>
      <c r="C427" s="15"/>
      <c r="D427" s="15"/>
      <c r="E427" s="74"/>
      <c r="F427" s="74"/>
      <c r="G427" s="74"/>
      <c r="H427" s="74"/>
      <c r="I427" s="74"/>
      <c r="J427" s="15"/>
    </row>
    <row r="428">
      <c r="A428" s="15"/>
      <c r="B428" s="15"/>
      <c r="C428" s="15"/>
      <c r="D428" s="15"/>
      <c r="E428" s="74"/>
      <c r="F428" s="74"/>
      <c r="G428" s="74"/>
      <c r="H428" s="74"/>
      <c r="I428" s="74"/>
      <c r="J428" s="15"/>
    </row>
    <row r="429">
      <c r="A429" s="15"/>
      <c r="B429" s="15"/>
      <c r="C429" s="15"/>
      <c r="D429" s="15"/>
      <c r="E429" s="74"/>
      <c r="F429" s="74"/>
      <c r="G429" s="74"/>
      <c r="H429" s="74"/>
      <c r="I429" s="74"/>
      <c r="J429" s="15"/>
    </row>
    <row r="430">
      <c r="A430" s="15"/>
      <c r="B430" s="15"/>
      <c r="C430" s="15"/>
      <c r="D430" s="15"/>
      <c r="E430" s="74"/>
      <c r="F430" s="74"/>
      <c r="G430" s="74"/>
      <c r="H430" s="74"/>
      <c r="I430" s="74"/>
      <c r="J430" s="15"/>
    </row>
    <row r="431">
      <c r="A431" s="15"/>
      <c r="B431" s="15"/>
      <c r="C431" s="15"/>
      <c r="D431" s="15"/>
      <c r="E431" s="74"/>
      <c r="F431" s="74"/>
      <c r="G431" s="74"/>
      <c r="H431" s="74"/>
      <c r="I431" s="74"/>
      <c r="J431" s="15"/>
    </row>
    <row r="432">
      <c r="A432" s="15"/>
      <c r="B432" s="15"/>
      <c r="C432" s="15"/>
      <c r="D432" s="15"/>
      <c r="E432" s="74"/>
      <c r="F432" s="74"/>
      <c r="G432" s="74"/>
      <c r="H432" s="74"/>
      <c r="I432" s="74"/>
      <c r="J432" s="15"/>
    </row>
    <row r="433">
      <c r="A433" s="15"/>
      <c r="B433" s="15"/>
      <c r="C433" s="15"/>
      <c r="D433" s="15"/>
      <c r="E433" s="74"/>
      <c r="F433" s="74"/>
      <c r="G433" s="74"/>
      <c r="H433" s="74"/>
      <c r="I433" s="74"/>
      <c r="J433" s="15"/>
    </row>
    <row r="434">
      <c r="A434" s="15"/>
      <c r="B434" s="15"/>
      <c r="C434" s="15"/>
      <c r="D434" s="15"/>
      <c r="E434" s="74"/>
      <c r="F434" s="74"/>
      <c r="G434" s="74"/>
      <c r="H434" s="74"/>
      <c r="I434" s="74"/>
      <c r="J434" s="15"/>
    </row>
    <row r="435">
      <c r="A435" s="15"/>
      <c r="B435" s="15"/>
      <c r="C435" s="15"/>
      <c r="D435" s="15"/>
      <c r="E435" s="74"/>
      <c r="F435" s="74"/>
      <c r="G435" s="74"/>
      <c r="H435" s="74"/>
      <c r="I435" s="74"/>
      <c r="J435" s="15"/>
    </row>
    <row r="436">
      <c r="A436" s="15"/>
      <c r="B436" s="15"/>
      <c r="C436" s="15"/>
      <c r="D436" s="15"/>
      <c r="E436" s="74"/>
      <c r="F436" s="74"/>
      <c r="G436" s="74"/>
      <c r="H436" s="74"/>
      <c r="I436" s="74"/>
      <c r="J436" s="15"/>
    </row>
    <row r="437">
      <c r="A437" s="15"/>
      <c r="B437" s="15"/>
      <c r="C437" s="15"/>
      <c r="D437" s="15"/>
      <c r="E437" s="74"/>
      <c r="F437" s="74"/>
      <c r="G437" s="74"/>
      <c r="H437" s="74"/>
      <c r="I437" s="74"/>
      <c r="J437" s="15"/>
    </row>
    <row r="438">
      <c r="A438" s="15"/>
      <c r="B438" s="15"/>
      <c r="C438" s="15"/>
      <c r="D438" s="15"/>
      <c r="E438" s="74"/>
      <c r="F438" s="74"/>
      <c r="G438" s="74"/>
      <c r="H438" s="74"/>
      <c r="I438" s="74"/>
      <c r="J438" s="15"/>
    </row>
    <row r="439">
      <c r="A439" s="15"/>
      <c r="B439" s="15"/>
      <c r="C439" s="15"/>
      <c r="D439" s="15"/>
      <c r="E439" s="74"/>
      <c r="F439" s="74"/>
      <c r="G439" s="74"/>
      <c r="H439" s="74"/>
      <c r="I439" s="74"/>
      <c r="J439" s="15"/>
    </row>
    <row r="440">
      <c r="A440" s="15"/>
      <c r="B440" s="15"/>
      <c r="C440" s="15"/>
      <c r="D440" s="15"/>
      <c r="E440" s="74"/>
      <c r="F440" s="74"/>
      <c r="G440" s="74"/>
      <c r="H440" s="74"/>
      <c r="I440" s="74"/>
      <c r="J440" s="15"/>
    </row>
    <row r="441">
      <c r="A441" s="15"/>
      <c r="B441" s="15"/>
      <c r="C441" s="15"/>
      <c r="D441" s="15"/>
      <c r="E441" s="74"/>
      <c r="F441" s="74"/>
      <c r="G441" s="74"/>
      <c r="H441" s="74"/>
      <c r="I441" s="74"/>
      <c r="J441" s="15"/>
    </row>
    <row r="442">
      <c r="A442" s="15"/>
      <c r="B442" s="15"/>
      <c r="C442" s="15"/>
      <c r="D442" s="15"/>
      <c r="E442" s="74"/>
      <c r="F442" s="74"/>
      <c r="G442" s="74"/>
      <c r="H442" s="74"/>
      <c r="I442" s="74"/>
      <c r="J442" s="15"/>
    </row>
    <row r="443">
      <c r="A443" s="15"/>
      <c r="B443" s="15"/>
      <c r="C443" s="15"/>
      <c r="D443" s="15"/>
      <c r="E443" s="74"/>
      <c r="F443" s="74"/>
      <c r="G443" s="74"/>
      <c r="H443" s="74"/>
      <c r="I443" s="74"/>
      <c r="J443" s="15"/>
    </row>
    <row r="444">
      <c r="A444" s="15"/>
      <c r="B444" s="15"/>
      <c r="C444" s="15"/>
      <c r="D444" s="15"/>
      <c r="E444" s="74"/>
      <c r="F444" s="74"/>
      <c r="G444" s="74"/>
      <c r="H444" s="74"/>
      <c r="I444" s="74"/>
      <c r="J444" s="15"/>
    </row>
    <row r="445">
      <c r="A445" s="15"/>
      <c r="B445" s="15"/>
      <c r="C445" s="15"/>
      <c r="D445" s="15"/>
      <c r="E445" s="74"/>
      <c r="F445" s="74"/>
      <c r="G445" s="74"/>
      <c r="H445" s="74"/>
      <c r="I445" s="74"/>
      <c r="J445" s="15"/>
    </row>
    <row r="446">
      <c r="A446" s="15"/>
      <c r="B446" s="15"/>
      <c r="C446" s="15"/>
      <c r="D446" s="15"/>
      <c r="E446" s="74"/>
      <c r="F446" s="74"/>
      <c r="G446" s="74"/>
      <c r="H446" s="74"/>
      <c r="I446" s="74"/>
      <c r="J446" s="15"/>
    </row>
    <row r="447">
      <c r="A447" s="15"/>
      <c r="B447" s="15"/>
      <c r="C447" s="15"/>
      <c r="D447" s="15"/>
      <c r="E447" s="74"/>
      <c r="F447" s="74"/>
      <c r="G447" s="74"/>
      <c r="H447" s="74"/>
      <c r="I447" s="74"/>
      <c r="J447" s="15"/>
    </row>
    <row r="448">
      <c r="A448" s="15"/>
      <c r="B448" s="15"/>
      <c r="C448" s="15"/>
      <c r="D448" s="15"/>
      <c r="E448" s="74"/>
      <c r="F448" s="74"/>
      <c r="G448" s="74"/>
      <c r="H448" s="74"/>
      <c r="I448" s="74"/>
      <c r="J448" s="15"/>
    </row>
    <row r="449">
      <c r="A449" s="15"/>
      <c r="B449" s="15"/>
      <c r="C449" s="15"/>
      <c r="D449" s="15"/>
      <c r="E449" s="74"/>
      <c r="F449" s="74"/>
      <c r="G449" s="74"/>
      <c r="H449" s="74"/>
      <c r="I449" s="74"/>
      <c r="J449" s="15"/>
    </row>
    <row r="450">
      <c r="A450" s="15"/>
      <c r="B450" s="15"/>
      <c r="C450" s="15"/>
      <c r="D450" s="15"/>
      <c r="E450" s="74"/>
      <c r="F450" s="74"/>
      <c r="G450" s="74"/>
      <c r="H450" s="74"/>
      <c r="I450" s="74"/>
      <c r="J450" s="15"/>
    </row>
    <row r="451">
      <c r="A451" s="15"/>
      <c r="B451" s="15"/>
      <c r="C451" s="15"/>
      <c r="D451" s="15"/>
      <c r="E451" s="74"/>
      <c r="F451" s="74"/>
      <c r="G451" s="74"/>
      <c r="H451" s="74"/>
      <c r="I451" s="74"/>
      <c r="J451" s="15"/>
    </row>
    <row r="452">
      <c r="A452" s="15"/>
      <c r="B452" s="15"/>
      <c r="C452" s="15"/>
      <c r="D452" s="15"/>
      <c r="E452" s="74"/>
      <c r="F452" s="74"/>
      <c r="G452" s="74"/>
      <c r="H452" s="74"/>
      <c r="I452" s="74"/>
      <c r="J452" s="15"/>
    </row>
    <row r="453">
      <c r="A453" s="15"/>
      <c r="B453" s="15"/>
      <c r="C453" s="15"/>
      <c r="D453" s="15"/>
      <c r="E453" s="74"/>
      <c r="F453" s="74"/>
      <c r="G453" s="74"/>
      <c r="H453" s="74"/>
      <c r="I453" s="74"/>
      <c r="J453" s="15"/>
    </row>
    <row r="454">
      <c r="A454" s="15"/>
      <c r="B454" s="15"/>
      <c r="C454" s="15"/>
      <c r="D454" s="15"/>
      <c r="E454" s="74"/>
      <c r="F454" s="74"/>
      <c r="G454" s="74"/>
      <c r="H454" s="74"/>
      <c r="I454" s="74"/>
      <c r="J454" s="15"/>
    </row>
    <row r="455">
      <c r="A455" s="15"/>
      <c r="B455" s="15"/>
      <c r="C455" s="15"/>
      <c r="D455" s="15"/>
      <c r="E455" s="74"/>
      <c r="F455" s="74"/>
      <c r="G455" s="74"/>
      <c r="H455" s="74"/>
      <c r="I455" s="74"/>
      <c r="J455" s="15"/>
    </row>
    <row r="456">
      <c r="A456" s="15"/>
      <c r="B456" s="15"/>
      <c r="C456" s="15"/>
      <c r="D456" s="15"/>
      <c r="E456" s="74"/>
      <c r="F456" s="74"/>
      <c r="G456" s="74"/>
      <c r="H456" s="74"/>
      <c r="I456" s="74"/>
      <c r="J456" s="15"/>
    </row>
    <row r="457">
      <c r="A457" s="15"/>
      <c r="B457" s="15"/>
      <c r="C457" s="15"/>
      <c r="D457" s="15"/>
      <c r="E457" s="74"/>
      <c r="F457" s="74"/>
      <c r="G457" s="74"/>
      <c r="H457" s="74"/>
      <c r="I457" s="74"/>
      <c r="J457" s="15"/>
    </row>
    <row r="458">
      <c r="A458" s="15"/>
      <c r="B458" s="15"/>
      <c r="C458" s="15"/>
      <c r="D458" s="15"/>
      <c r="E458" s="74"/>
      <c r="F458" s="74"/>
      <c r="G458" s="74"/>
      <c r="H458" s="74"/>
      <c r="I458" s="74"/>
      <c r="J458" s="15"/>
    </row>
    <row r="459">
      <c r="A459" s="15"/>
      <c r="B459" s="15"/>
      <c r="C459" s="15"/>
      <c r="D459" s="15"/>
      <c r="E459" s="74"/>
      <c r="F459" s="74"/>
      <c r="G459" s="74"/>
      <c r="H459" s="74"/>
      <c r="I459" s="74"/>
      <c r="J459" s="15"/>
    </row>
    <row r="460">
      <c r="A460" s="15"/>
      <c r="B460" s="15"/>
      <c r="C460" s="15"/>
      <c r="D460" s="15"/>
      <c r="E460" s="74"/>
      <c r="F460" s="74"/>
      <c r="G460" s="74"/>
      <c r="H460" s="74"/>
      <c r="I460" s="74"/>
      <c r="J460" s="15"/>
    </row>
    <row r="461">
      <c r="A461" s="15"/>
      <c r="B461" s="15"/>
      <c r="C461" s="15"/>
      <c r="D461" s="15"/>
      <c r="E461" s="74"/>
      <c r="F461" s="74"/>
      <c r="G461" s="74"/>
      <c r="H461" s="74"/>
      <c r="I461" s="74"/>
      <c r="J461" s="15"/>
    </row>
    <row r="462">
      <c r="A462" s="15"/>
      <c r="B462" s="15"/>
      <c r="C462" s="15"/>
      <c r="D462" s="15"/>
      <c r="E462" s="74"/>
      <c r="F462" s="74"/>
      <c r="G462" s="74"/>
      <c r="H462" s="74"/>
      <c r="I462" s="74"/>
      <c r="J462" s="15"/>
    </row>
    <row r="463">
      <c r="A463" s="15"/>
      <c r="B463" s="15"/>
      <c r="C463" s="15"/>
      <c r="D463" s="15"/>
      <c r="E463" s="74"/>
      <c r="F463" s="74"/>
      <c r="G463" s="74"/>
      <c r="H463" s="74"/>
      <c r="I463" s="74"/>
      <c r="J463" s="15"/>
    </row>
    <row r="464">
      <c r="A464" s="15"/>
      <c r="B464" s="15"/>
      <c r="C464" s="15"/>
      <c r="D464" s="15"/>
      <c r="E464" s="74"/>
      <c r="F464" s="74"/>
      <c r="G464" s="74"/>
      <c r="H464" s="74"/>
      <c r="I464" s="74"/>
      <c r="J464" s="15"/>
    </row>
    <row r="465">
      <c r="A465" s="15"/>
      <c r="B465" s="15"/>
      <c r="C465" s="15"/>
      <c r="D465" s="15"/>
      <c r="E465" s="74"/>
      <c r="F465" s="74"/>
      <c r="G465" s="74"/>
      <c r="H465" s="74"/>
      <c r="I465" s="74"/>
      <c r="J465" s="15"/>
    </row>
    <row r="466">
      <c r="A466" s="15"/>
      <c r="B466" s="15"/>
      <c r="C466" s="15"/>
      <c r="D466" s="15"/>
      <c r="E466" s="74"/>
      <c r="F466" s="74"/>
      <c r="G466" s="74"/>
      <c r="H466" s="74"/>
      <c r="I466" s="74"/>
      <c r="J466" s="15"/>
    </row>
    <row r="467">
      <c r="A467" s="15"/>
      <c r="B467" s="15"/>
      <c r="C467" s="15"/>
      <c r="D467" s="15"/>
      <c r="E467" s="74"/>
      <c r="F467" s="74"/>
      <c r="G467" s="74"/>
      <c r="H467" s="74"/>
      <c r="I467" s="74"/>
      <c r="J467" s="15"/>
    </row>
    <row r="468">
      <c r="A468" s="15"/>
      <c r="B468" s="15"/>
      <c r="C468" s="15"/>
      <c r="D468" s="15"/>
      <c r="E468" s="74"/>
      <c r="F468" s="74"/>
      <c r="G468" s="74"/>
      <c r="H468" s="74"/>
      <c r="I468" s="74"/>
      <c r="J468" s="15"/>
    </row>
    <row r="469">
      <c r="A469" s="15"/>
      <c r="B469" s="15"/>
      <c r="C469" s="15"/>
      <c r="D469" s="15"/>
      <c r="E469" s="74"/>
      <c r="F469" s="74"/>
      <c r="G469" s="74"/>
      <c r="H469" s="74"/>
      <c r="I469" s="74"/>
      <c r="J469" s="15"/>
    </row>
    <row r="470">
      <c r="A470" s="15"/>
      <c r="B470" s="15"/>
      <c r="C470" s="15"/>
      <c r="D470" s="15"/>
      <c r="E470" s="74"/>
      <c r="F470" s="74"/>
      <c r="G470" s="74"/>
      <c r="H470" s="74"/>
      <c r="I470" s="74"/>
      <c r="J470" s="15"/>
    </row>
    <row r="471">
      <c r="A471" s="15"/>
      <c r="B471" s="15"/>
      <c r="C471" s="15"/>
      <c r="D471" s="15"/>
      <c r="E471" s="74"/>
      <c r="F471" s="74"/>
      <c r="G471" s="74"/>
      <c r="H471" s="74"/>
      <c r="I471" s="74"/>
      <c r="J471" s="15"/>
    </row>
    <row r="472">
      <c r="A472" s="15"/>
      <c r="B472" s="15"/>
      <c r="C472" s="15"/>
      <c r="D472" s="15"/>
      <c r="E472" s="74"/>
      <c r="F472" s="74"/>
      <c r="G472" s="74"/>
      <c r="H472" s="74"/>
      <c r="I472" s="74"/>
      <c r="J472" s="15"/>
    </row>
    <row r="473">
      <c r="A473" s="15"/>
      <c r="B473" s="15"/>
      <c r="C473" s="15"/>
      <c r="D473" s="15"/>
      <c r="E473" s="74"/>
      <c r="F473" s="74"/>
      <c r="G473" s="74"/>
      <c r="H473" s="74"/>
      <c r="I473" s="74"/>
      <c r="J473" s="15"/>
    </row>
    <row r="474">
      <c r="A474" s="15"/>
      <c r="B474" s="15"/>
      <c r="C474" s="15"/>
      <c r="D474" s="15"/>
      <c r="E474" s="74"/>
      <c r="F474" s="74"/>
      <c r="G474" s="74"/>
      <c r="H474" s="74"/>
      <c r="I474" s="74"/>
      <c r="J474" s="15"/>
    </row>
    <row r="475">
      <c r="A475" s="15"/>
      <c r="B475" s="15"/>
      <c r="C475" s="15"/>
      <c r="D475" s="15"/>
      <c r="E475" s="74"/>
      <c r="F475" s="74"/>
      <c r="G475" s="74"/>
      <c r="H475" s="74"/>
      <c r="I475" s="74"/>
      <c r="J475" s="15"/>
    </row>
    <row r="476">
      <c r="A476" s="15"/>
      <c r="B476" s="15"/>
      <c r="C476" s="15"/>
      <c r="D476" s="15"/>
      <c r="E476" s="74"/>
      <c r="F476" s="74"/>
      <c r="G476" s="74"/>
      <c r="H476" s="74"/>
      <c r="I476" s="74"/>
      <c r="J476" s="15"/>
    </row>
    <row r="477">
      <c r="A477" s="15"/>
      <c r="B477" s="15"/>
      <c r="C477" s="15"/>
      <c r="D477" s="15"/>
      <c r="E477" s="74"/>
      <c r="F477" s="74"/>
      <c r="G477" s="74"/>
      <c r="H477" s="74"/>
      <c r="I477" s="74"/>
      <c r="J477" s="15"/>
    </row>
    <row r="478">
      <c r="A478" s="15"/>
      <c r="B478" s="15"/>
      <c r="C478" s="15"/>
      <c r="D478" s="15"/>
      <c r="E478" s="74"/>
      <c r="F478" s="74"/>
      <c r="G478" s="74"/>
      <c r="H478" s="74"/>
      <c r="I478" s="74"/>
      <c r="J478" s="15"/>
    </row>
    <row r="479">
      <c r="A479" s="15"/>
      <c r="B479" s="15"/>
      <c r="C479" s="15"/>
      <c r="D479" s="15"/>
      <c r="E479" s="74"/>
      <c r="F479" s="74"/>
      <c r="G479" s="74"/>
      <c r="H479" s="74"/>
      <c r="I479" s="74"/>
      <c r="J479" s="15"/>
    </row>
    <row r="480">
      <c r="A480" s="15"/>
      <c r="B480" s="15"/>
      <c r="C480" s="15"/>
      <c r="D480" s="15"/>
      <c r="E480" s="74"/>
      <c r="F480" s="74"/>
      <c r="G480" s="74"/>
      <c r="H480" s="74"/>
      <c r="I480" s="74"/>
      <c r="J480" s="15"/>
    </row>
    <row r="481">
      <c r="A481" s="15"/>
      <c r="B481" s="15"/>
      <c r="C481" s="15"/>
      <c r="D481" s="15"/>
      <c r="E481" s="74"/>
      <c r="F481" s="74"/>
      <c r="G481" s="74"/>
      <c r="H481" s="74"/>
      <c r="I481" s="74"/>
      <c r="J481" s="15"/>
    </row>
    <row r="482">
      <c r="A482" s="15"/>
      <c r="B482" s="15"/>
      <c r="C482" s="15"/>
      <c r="D482" s="15"/>
      <c r="E482" s="74"/>
      <c r="F482" s="74"/>
      <c r="G482" s="74"/>
      <c r="H482" s="74"/>
      <c r="I482" s="74"/>
      <c r="J482" s="15"/>
    </row>
    <row r="483">
      <c r="A483" s="15"/>
      <c r="B483" s="15"/>
      <c r="C483" s="15"/>
      <c r="D483" s="15"/>
      <c r="E483" s="74"/>
      <c r="F483" s="74"/>
      <c r="G483" s="74"/>
      <c r="H483" s="74"/>
      <c r="I483" s="74"/>
      <c r="J483" s="15"/>
    </row>
    <row r="484">
      <c r="A484" s="15"/>
      <c r="B484" s="15"/>
      <c r="C484" s="15"/>
      <c r="D484" s="15"/>
      <c r="E484" s="74"/>
      <c r="F484" s="74"/>
      <c r="G484" s="74"/>
      <c r="H484" s="74"/>
      <c r="I484" s="74"/>
      <c r="J484" s="15"/>
    </row>
    <row r="485">
      <c r="A485" s="15"/>
      <c r="B485" s="15"/>
      <c r="C485" s="15"/>
      <c r="D485" s="15"/>
      <c r="E485" s="74"/>
      <c r="F485" s="74"/>
      <c r="G485" s="74"/>
      <c r="H485" s="74"/>
      <c r="I485" s="74"/>
      <c r="J485" s="15"/>
    </row>
    <row r="486">
      <c r="A486" s="15"/>
      <c r="B486" s="15"/>
      <c r="C486" s="15"/>
      <c r="D486" s="15"/>
      <c r="E486" s="74"/>
      <c r="F486" s="74"/>
      <c r="G486" s="74"/>
      <c r="H486" s="74"/>
      <c r="I486" s="74"/>
      <c r="J486" s="15"/>
    </row>
    <row r="487">
      <c r="A487" s="15"/>
      <c r="B487" s="15"/>
      <c r="C487" s="15"/>
      <c r="D487" s="15"/>
      <c r="E487" s="74"/>
      <c r="F487" s="74"/>
      <c r="G487" s="74"/>
      <c r="H487" s="74"/>
      <c r="I487" s="74"/>
      <c r="J487" s="15"/>
    </row>
    <row r="488">
      <c r="A488" s="15"/>
      <c r="B488" s="15"/>
      <c r="C488" s="15"/>
      <c r="D488" s="15"/>
      <c r="E488" s="74"/>
      <c r="F488" s="74"/>
      <c r="G488" s="74"/>
      <c r="H488" s="74"/>
      <c r="I488" s="74"/>
      <c r="J488" s="15"/>
    </row>
    <row r="489">
      <c r="A489" s="15"/>
      <c r="B489" s="15"/>
      <c r="C489" s="15"/>
      <c r="D489" s="15"/>
      <c r="E489" s="74"/>
      <c r="F489" s="74"/>
      <c r="G489" s="74"/>
      <c r="H489" s="74"/>
      <c r="I489" s="74"/>
      <c r="J489" s="15"/>
    </row>
    <row r="490">
      <c r="A490" s="15"/>
      <c r="B490" s="15"/>
      <c r="C490" s="15"/>
      <c r="D490" s="15"/>
      <c r="E490" s="74"/>
      <c r="F490" s="74"/>
      <c r="G490" s="74"/>
      <c r="H490" s="74"/>
      <c r="I490" s="74"/>
      <c r="J490" s="15"/>
    </row>
    <row r="491">
      <c r="A491" s="15"/>
      <c r="B491" s="15"/>
      <c r="C491" s="15"/>
      <c r="D491" s="15"/>
      <c r="E491" s="74"/>
      <c r="F491" s="74"/>
      <c r="G491" s="74"/>
      <c r="H491" s="74"/>
      <c r="I491" s="74"/>
      <c r="J491" s="15"/>
    </row>
    <row r="492">
      <c r="A492" s="15"/>
      <c r="B492" s="15"/>
      <c r="C492" s="15"/>
      <c r="D492" s="15"/>
      <c r="E492" s="74"/>
      <c r="F492" s="74"/>
      <c r="G492" s="74"/>
      <c r="H492" s="74"/>
      <c r="I492" s="74"/>
      <c r="J492" s="15"/>
    </row>
    <row r="493">
      <c r="A493" s="15"/>
      <c r="B493" s="15"/>
      <c r="C493" s="15"/>
      <c r="D493" s="15"/>
      <c r="E493" s="74"/>
      <c r="F493" s="74"/>
      <c r="G493" s="74"/>
      <c r="H493" s="74"/>
      <c r="I493" s="74"/>
      <c r="J493" s="15"/>
    </row>
    <row r="494">
      <c r="A494" s="15"/>
      <c r="B494" s="15"/>
      <c r="C494" s="15"/>
      <c r="D494" s="15"/>
      <c r="E494" s="74"/>
      <c r="F494" s="74"/>
      <c r="G494" s="74"/>
      <c r="H494" s="74"/>
      <c r="I494" s="74"/>
      <c r="J494" s="15"/>
    </row>
    <row r="495">
      <c r="A495" s="15"/>
      <c r="B495" s="15"/>
      <c r="C495" s="15"/>
      <c r="D495" s="15"/>
      <c r="E495" s="74"/>
      <c r="F495" s="74"/>
      <c r="G495" s="74"/>
      <c r="H495" s="74"/>
      <c r="I495" s="74"/>
      <c r="J495" s="15"/>
    </row>
    <row r="496">
      <c r="A496" s="15"/>
      <c r="B496" s="15"/>
      <c r="C496" s="15"/>
      <c r="D496" s="15"/>
      <c r="E496" s="74"/>
      <c r="F496" s="74"/>
      <c r="G496" s="74"/>
      <c r="H496" s="74"/>
      <c r="I496" s="74"/>
      <c r="J496" s="15"/>
    </row>
    <row r="497">
      <c r="A497" s="15"/>
      <c r="B497" s="15"/>
      <c r="C497" s="15"/>
      <c r="D497" s="15"/>
      <c r="E497" s="74"/>
      <c r="F497" s="74"/>
      <c r="G497" s="74"/>
      <c r="H497" s="74"/>
      <c r="I497" s="74"/>
      <c r="J497" s="15"/>
    </row>
    <row r="498">
      <c r="A498" s="15"/>
      <c r="B498" s="15"/>
      <c r="C498" s="15"/>
      <c r="D498" s="15"/>
      <c r="E498" s="74"/>
      <c r="F498" s="74"/>
      <c r="G498" s="74"/>
      <c r="H498" s="74"/>
      <c r="I498" s="74"/>
      <c r="J498" s="15"/>
    </row>
    <row r="499">
      <c r="A499" s="15"/>
      <c r="B499" s="15"/>
      <c r="C499" s="15"/>
      <c r="D499" s="15"/>
      <c r="E499" s="74"/>
      <c r="F499" s="74"/>
      <c r="G499" s="74"/>
      <c r="H499" s="74"/>
      <c r="I499" s="74"/>
      <c r="J499" s="15"/>
    </row>
    <row r="500">
      <c r="A500" s="15"/>
      <c r="B500" s="15"/>
      <c r="C500" s="15"/>
      <c r="D500" s="15"/>
      <c r="E500" s="74"/>
      <c r="F500" s="74"/>
      <c r="G500" s="74"/>
      <c r="H500" s="74"/>
      <c r="I500" s="74"/>
      <c r="J500" s="15"/>
    </row>
    <row r="501">
      <c r="A501" s="15"/>
      <c r="B501" s="15"/>
      <c r="C501" s="15"/>
      <c r="D501" s="15"/>
      <c r="E501" s="74"/>
      <c r="F501" s="74"/>
      <c r="G501" s="74"/>
      <c r="H501" s="74"/>
      <c r="I501" s="74"/>
      <c r="J501" s="15"/>
    </row>
    <row r="502">
      <c r="A502" s="15"/>
      <c r="B502" s="15"/>
      <c r="C502" s="15"/>
      <c r="D502" s="15"/>
      <c r="E502" s="74"/>
      <c r="F502" s="74"/>
      <c r="G502" s="74"/>
      <c r="H502" s="74"/>
      <c r="I502" s="74"/>
      <c r="J502" s="15"/>
    </row>
    <row r="503">
      <c r="A503" s="15"/>
      <c r="B503" s="15"/>
      <c r="C503" s="15"/>
      <c r="D503" s="15"/>
      <c r="E503" s="74"/>
      <c r="F503" s="74"/>
      <c r="G503" s="74"/>
      <c r="H503" s="74"/>
      <c r="I503" s="74"/>
      <c r="J503" s="15"/>
    </row>
    <row r="504">
      <c r="A504" s="15"/>
      <c r="B504" s="15"/>
      <c r="C504" s="15"/>
      <c r="D504" s="15"/>
      <c r="E504" s="74"/>
      <c r="F504" s="74"/>
      <c r="G504" s="74"/>
      <c r="H504" s="74"/>
      <c r="I504" s="74"/>
      <c r="J504" s="15"/>
    </row>
    <row r="505">
      <c r="A505" s="15"/>
      <c r="B505" s="15"/>
      <c r="C505" s="15"/>
      <c r="D505" s="15"/>
      <c r="E505" s="74"/>
      <c r="F505" s="74"/>
      <c r="G505" s="74"/>
      <c r="H505" s="74"/>
      <c r="I505" s="74"/>
      <c r="J505" s="15"/>
    </row>
    <row r="506">
      <c r="A506" s="15"/>
      <c r="B506" s="15"/>
      <c r="C506" s="15"/>
      <c r="D506" s="15"/>
      <c r="E506" s="74"/>
      <c r="F506" s="74"/>
      <c r="G506" s="74"/>
      <c r="H506" s="74"/>
      <c r="I506" s="74"/>
      <c r="J506" s="15"/>
    </row>
    <row r="507">
      <c r="A507" s="15"/>
      <c r="B507" s="15"/>
      <c r="C507" s="15"/>
      <c r="D507" s="15"/>
      <c r="E507" s="74"/>
      <c r="F507" s="74"/>
      <c r="G507" s="74"/>
      <c r="H507" s="74"/>
      <c r="I507" s="74"/>
      <c r="J507" s="15"/>
    </row>
    <row r="508">
      <c r="A508" s="15"/>
      <c r="B508" s="15"/>
      <c r="C508" s="15"/>
      <c r="D508" s="15"/>
      <c r="E508" s="74"/>
      <c r="F508" s="74"/>
      <c r="G508" s="74"/>
      <c r="H508" s="74"/>
      <c r="I508" s="74"/>
      <c r="J508" s="15"/>
    </row>
    <row r="509">
      <c r="A509" s="15"/>
      <c r="B509" s="15"/>
      <c r="C509" s="15"/>
      <c r="D509" s="15"/>
      <c r="E509" s="74"/>
      <c r="F509" s="74"/>
      <c r="G509" s="74"/>
      <c r="H509" s="74"/>
      <c r="I509" s="74"/>
      <c r="J509" s="15"/>
    </row>
    <row r="510">
      <c r="A510" s="15"/>
      <c r="B510" s="15"/>
      <c r="C510" s="15"/>
      <c r="D510" s="15"/>
      <c r="E510" s="74"/>
      <c r="F510" s="74"/>
      <c r="G510" s="74"/>
      <c r="H510" s="74"/>
      <c r="I510" s="74"/>
      <c r="J510" s="15"/>
    </row>
    <row r="511">
      <c r="A511" s="15"/>
      <c r="B511" s="15"/>
      <c r="C511" s="15"/>
      <c r="D511" s="15"/>
      <c r="E511" s="74"/>
      <c r="F511" s="74"/>
      <c r="G511" s="74"/>
      <c r="H511" s="74"/>
      <c r="I511" s="74"/>
      <c r="J511" s="15"/>
    </row>
    <row r="512">
      <c r="A512" s="15"/>
      <c r="B512" s="15"/>
      <c r="C512" s="15"/>
      <c r="D512" s="15"/>
      <c r="E512" s="74"/>
      <c r="F512" s="74"/>
      <c r="G512" s="74"/>
      <c r="H512" s="74"/>
      <c r="I512" s="74"/>
      <c r="J512" s="15"/>
    </row>
    <row r="513">
      <c r="A513" s="15"/>
      <c r="B513" s="15"/>
      <c r="C513" s="15"/>
      <c r="D513" s="15"/>
      <c r="E513" s="74"/>
      <c r="F513" s="74"/>
      <c r="G513" s="74"/>
      <c r="H513" s="74"/>
      <c r="I513" s="74"/>
      <c r="J513" s="15"/>
    </row>
    <row r="514">
      <c r="A514" s="15"/>
      <c r="B514" s="15"/>
      <c r="C514" s="15"/>
      <c r="D514" s="15"/>
      <c r="E514" s="74"/>
      <c r="F514" s="74"/>
      <c r="G514" s="74"/>
      <c r="H514" s="74"/>
      <c r="I514" s="74"/>
      <c r="J514" s="15"/>
    </row>
    <row r="515">
      <c r="A515" s="15"/>
      <c r="B515" s="15"/>
      <c r="C515" s="15"/>
      <c r="D515" s="15"/>
      <c r="E515" s="74"/>
      <c r="F515" s="74"/>
      <c r="G515" s="74"/>
      <c r="H515" s="74"/>
      <c r="I515" s="74"/>
      <c r="J515" s="15"/>
    </row>
    <row r="516">
      <c r="A516" s="15"/>
      <c r="B516" s="15"/>
      <c r="C516" s="15"/>
      <c r="D516" s="15"/>
      <c r="E516" s="74"/>
      <c r="F516" s="74"/>
      <c r="G516" s="74"/>
      <c r="H516" s="74"/>
      <c r="I516" s="74"/>
      <c r="J516" s="15"/>
    </row>
    <row r="517">
      <c r="A517" s="15"/>
      <c r="B517" s="15"/>
      <c r="C517" s="15"/>
      <c r="D517" s="15"/>
      <c r="E517" s="74"/>
      <c r="F517" s="74"/>
      <c r="G517" s="74"/>
      <c r="H517" s="74"/>
      <c r="I517" s="74"/>
      <c r="J517" s="15"/>
    </row>
    <row r="518">
      <c r="A518" s="15"/>
      <c r="B518" s="15"/>
      <c r="C518" s="15"/>
      <c r="D518" s="15"/>
      <c r="E518" s="74"/>
      <c r="F518" s="74"/>
      <c r="G518" s="74"/>
      <c r="H518" s="74"/>
      <c r="I518" s="74"/>
      <c r="J518" s="15"/>
    </row>
    <row r="519">
      <c r="A519" s="15"/>
      <c r="B519" s="15"/>
      <c r="C519" s="15"/>
      <c r="D519" s="15"/>
      <c r="E519" s="74"/>
      <c r="F519" s="74"/>
      <c r="G519" s="74"/>
      <c r="H519" s="74"/>
      <c r="I519" s="74"/>
      <c r="J519" s="15"/>
    </row>
    <row r="520">
      <c r="A520" s="15"/>
      <c r="B520" s="15"/>
      <c r="C520" s="15"/>
      <c r="D520" s="15"/>
      <c r="E520" s="74"/>
      <c r="F520" s="74"/>
      <c r="G520" s="74"/>
      <c r="H520" s="74"/>
      <c r="I520" s="74"/>
      <c r="J520" s="15"/>
    </row>
    <row r="521">
      <c r="A521" s="15"/>
      <c r="B521" s="15"/>
      <c r="C521" s="15"/>
      <c r="D521" s="15"/>
      <c r="E521" s="74"/>
      <c r="F521" s="74"/>
      <c r="G521" s="74"/>
      <c r="H521" s="74"/>
      <c r="I521" s="74"/>
      <c r="J521" s="15"/>
    </row>
    <row r="522">
      <c r="A522" s="15"/>
      <c r="B522" s="15"/>
      <c r="C522" s="15"/>
      <c r="D522" s="15"/>
      <c r="E522" s="74"/>
      <c r="F522" s="74"/>
      <c r="G522" s="74"/>
      <c r="H522" s="74"/>
      <c r="I522" s="74"/>
      <c r="J522" s="15"/>
    </row>
    <row r="523">
      <c r="A523" s="15"/>
      <c r="B523" s="15"/>
      <c r="C523" s="15"/>
      <c r="D523" s="15"/>
      <c r="E523" s="74"/>
      <c r="F523" s="74"/>
      <c r="G523" s="74"/>
      <c r="H523" s="74"/>
      <c r="I523" s="74"/>
      <c r="J523" s="15"/>
    </row>
    <row r="524">
      <c r="A524" s="15"/>
      <c r="B524" s="15"/>
      <c r="C524" s="15"/>
      <c r="D524" s="15"/>
      <c r="E524" s="74"/>
      <c r="F524" s="74"/>
      <c r="G524" s="74"/>
      <c r="H524" s="74"/>
      <c r="I524" s="74"/>
      <c r="J524" s="15"/>
    </row>
    <row r="525">
      <c r="A525" s="15"/>
      <c r="B525" s="15"/>
      <c r="C525" s="15"/>
      <c r="D525" s="15"/>
      <c r="E525" s="74"/>
      <c r="F525" s="74"/>
      <c r="G525" s="74"/>
      <c r="H525" s="74"/>
      <c r="I525" s="74"/>
      <c r="J525" s="15"/>
    </row>
    <row r="526">
      <c r="A526" s="15"/>
      <c r="B526" s="15"/>
      <c r="C526" s="15"/>
      <c r="D526" s="15"/>
      <c r="E526" s="74"/>
      <c r="F526" s="74"/>
      <c r="G526" s="74"/>
      <c r="H526" s="74"/>
      <c r="I526" s="74"/>
      <c r="J526" s="15"/>
    </row>
    <row r="527">
      <c r="A527" s="15"/>
      <c r="B527" s="15"/>
      <c r="C527" s="15"/>
      <c r="D527" s="15"/>
      <c r="E527" s="74"/>
      <c r="F527" s="74"/>
      <c r="G527" s="74"/>
      <c r="H527" s="74"/>
      <c r="I527" s="74"/>
      <c r="J527" s="15"/>
    </row>
    <row r="528">
      <c r="A528" s="15"/>
      <c r="B528" s="15"/>
      <c r="C528" s="15"/>
      <c r="D528" s="15"/>
      <c r="E528" s="74"/>
      <c r="F528" s="74"/>
      <c r="G528" s="74"/>
      <c r="H528" s="74"/>
      <c r="I528" s="74"/>
      <c r="J528" s="15"/>
    </row>
    <row r="529">
      <c r="A529" s="15"/>
      <c r="B529" s="15"/>
      <c r="C529" s="15"/>
      <c r="D529" s="15"/>
      <c r="E529" s="74"/>
      <c r="F529" s="74"/>
      <c r="G529" s="74"/>
      <c r="H529" s="74"/>
      <c r="I529" s="74"/>
      <c r="J529" s="15"/>
    </row>
    <row r="530">
      <c r="A530" s="15"/>
      <c r="B530" s="15"/>
      <c r="C530" s="15"/>
      <c r="D530" s="15"/>
      <c r="E530" s="74"/>
      <c r="F530" s="74"/>
      <c r="G530" s="74"/>
      <c r="H530" s="74"/>
      <c r="I530" s="74"/>
      <c r="J530" s="15"/>
    </row>
    <row r="531">
      <c r="A531" s="15"/>
      <c r="B531" s="15"/>
      <c r="C531" s="15"/>
      <c r="D531" s="15"/>
      <c r="E531" s="74"/>
      <c r="F531" s="74"/>
      <c r="G531" s="74"/>
      <c r="H531" s="74"/>
      <c r="I531" s="74"/>
      <c r="J531" s="15"/>
    </row>
    <row r="532">
      <c r="A532" s="15"/>
      <c r="B532" s="15"/>
      <c r="C532" s="15"/>
      <c r="D532" s="15"/>
      <c r="E532" s="74"/>
      <c r="F532" s="74"/>
      <c r="G532" s="74"/>
      <c r="H532" s="74"/>
      <c r="I532" s="74"/>
      <c r="J532" s="15"/>
    </row>
    <row r="533">
      <c r="A533" s="15"/>
      <c r="B533" s="15"/>
      <c r="C533" s="15"/>
      <c r="D533" s="15"/>
      <c r="E533" s="74"/>
      <c r="F533" s="74"/>
      <c r="G533" s="74"/>
      <c r="H533" s="74"/>
      <c r="I533" s="74"/>
      <c r="J533" s="15"/>
    </row>
    <row r="534">
      <c r="A534" s="15"/>
      <c r="B534" s="15"/>
      <c r="C534" s="15"/>
      <c r="D534" s="15"/>
      <c r="E534" s="74"/>
      <c r="F534" s="74"/>
      <c r="G534" s="74"/>
      <c r="H534" s="74"/>
      <c r="I534" s="74"/>
      <c r="J534" s="15"/>
    </row>
    <row r="535">
      <c r="A535" s="15"/>
      <c r="B535" s="15"/>
      <c r="C535" s="15"/>
      <c r="D535" s="15"/>
      <c r="E535" s="74"/>
      <c r="F535" s="74"/>
      <c r="G535" s="74"/>
      <c r="H535" s="74"/>
      <c r="I535" s="74"/>
      <c r="J535" s="15"/>
    </row>
    <row r="536">
      <c r="A536" s="15"/>
      <c r="B536" s="15"/>
      <c r="C536" s="15"/>
      <c r="D536" s="15"/>
      <c r="E536" s="74"/>
      <c r="F536" s="74"/>
      <c r="G536" s="74"/>
      <c r="H536" s="74"/>
      <c r="I536" s="74"/>
      <c r="J536" s="15"/>
    </row>
    <row r="537">
      <c r="A537" s="15"/>
      <c r="B537" s="15"/>
      <c r="C537" s="15"/>
      <c r="D537" s="15"/>
      <c r="E537" s="74"/>
      <c r="F537" s="74"/>
      <c r="G537" s="74"/>
      <c r="H537" s="74"/>
      <c r="I537" s="74"/>
      <c r="J537" s="15"/>
    </row>
    <row r="538">
      <c r="A538" s="15"/>
      <c r="B538" s="15"/>
      <c r="C538" s="15"/>
      <c r="D538" s="15"/>
      <c r="E538" s="74"/>
      <c r="F538" s="74"/>
      <c r="G538" s="74"/>
      <c r="H538" s="74"/>
      <c r="I538" s="74"/>
      <c r="J538" s="15"/>
    </row>
    <row r="539">
      <c r="A539" s="15"/>
      <c r="B539" s="15"/>
      <c r="C539" s="15"/>
      <c r="D539" s="15"/>
      <c r="E539" s="74"/>
      <c r="F539" s="74"/>
      <c r="G539" s="74"/>
      <c r="H539" s="74"/>
      <c r="I539" s="74"/>
      <c r="J539" s="15"/>
    </row>
    <row r="540">
      <c r="A540" s="15"/>
      <c r="B540" s="15"/>
      <c r="C540" s="15"/>
      <c r="D540" s="15"/>
      <c r="E540" s="74"/>
      <c r="F540" s="74"/>
      <c r="G540" s="74"/>
      <c r="H540" s="74"/>
      <c r="I540" s="74"/>
      <c r="J540" s="15"/>
    </row>
    <row r="541">
      <c r="A541" s="15"/>
      <c r="B541" s="15"/>
      <c r="C541" s="15"/>
      <c r="D541" s="15"/>
      <c r="E541" s="74"/>
      <c r="F541" s="74"/>
      <c r="G541" s="74"/>
      <c r="H541" s="74"/>
      <c r="I541" s="74"/>
      <c r="J541" s="15"/>
    </row>
    <row r="542">
      <c r="A542" s="15"/>
      <c r="B542" s="15"/>
      <c r="C542" s="15"/>
      <c r="D542" s="15"/>
      <c r="E542" s="74"/>
      <c r="F542" s="74"/>
      <c r="G542" s="74"/>
      <c r="H542" s="74"/>
      <c r="I542" s="74"/>
      <c r="J542" s="15"/>
    </row>
    <row r="543">
      <c r="A543" s="15"/>
      <c r="B543" s="15"/>
      <c r="C543" s="15"/>
      <c r="D543" s="15"/>
      <c r="E543" s="74"/>
      <c r="F543" s="74"/>
      <c r="G543" s="74"/>
      <c r="H543" s="74"/>
      <c r="I543" s="74"/>
      <c r="J543" s="15"/>
    </row>
    <row r="544">
      <c r="A544" s="15"/>
      <c r="B544" s="15"/>
      <c r="C544" s="15"/>
      <c r="D544" s="15"/>
      <c r="E544" s="74"/>
      <c r="F544" s="74"/>
      <c r="G544" s="74"/>
      <c r="H544" s="74"/>
      <c r="I544" s="74"/>
      <c r="J544" s="15"/>
    </row>
    <row r="545">
      <c r="A545" s="15"/>
      <c r="B545" s="15"/>
      <c r="C545" s="15"/>
      <c r="D545" s="15"/>
      <c r="E545" s="74"/>
      <c r="F545" s="74"/>
      <c r="G545" s="74"/>
      <c r="H545" s="74"/>
      <c r="I545" s="74"/>
      <c r="J545" s="15"/>
    </row>
    <row r="546">
      <c r="A546" s="15"/>
      <c r="B546" s="15"/>
      <c r="C546" s="15"/>
      <c r="D546" s="15"/>
      <c r="E546" s="74"/>
      <c r="F546" s="74"/>
      <c r="G546" s="74"/>
      <c r="H546" s="74"/>
      <c r="I546" s="74"/>
      <c r="J546" s="15"/>
    </row>
    <row r="547">
      <c r="A547" s="15"/>
      <c r="B547" s="15"/>
      <c r="C547" s="15"/>
      <c r="D547" s="15"/>
      <c r="E547" s="74"/>
      <c r="F547" s="74"/>
      <c r="G547" s="74"/>
      <c r="H547" s="74"/>
      <c r="I547" s="74"/>
      <c r="J547" s="15"/>
    </row>
    <row r="548">
      <c r="A548" s="15"/>
      <c r="B548" s="15"/>
      <c r="C548" s="15"/>
      <c r="D548" s="15"/>
      <c r="E548" s="74"/>
      <c r="F548" s="74"/>
      <c r="G548" s="74"/>
      <c r="H548" s="74"/>
      <c r="I548" s="74"/>
      <c r="J548" s="15"/>
    </row>
    <row r="549">
      <c r="A549" s="15"/>
      <c r="B549" s="15"/>
      <c r="C549" s="15"/>
      <c r="D549" s="15"/>
      <c r="E549" s="74"/>
      <c r="F549" s="74"/>
      <c r="G549" s="74"/>
      <c r="H549" s="74"/>
      <c r="I549" s="74"/>
      <c r="J549" s="15"/>
    </row>
    <row r="550">
      <c r="A550" s="15"/>
      <c r="B550" s="15"/>
      <c r="C550" s="15"/>
      <c r="D550" s="15"/>
      <c r="E550" s="74"/>
      <c r="F550" s="74"/>
      <c r="G550" s="74"/>
      <c r="H550" s="74"/>
      <c r="I550" s="74"/>
      <c r="J550" s="15"/>
    </row>
    <row r="551">
      <c r="A551" s="15"/>
      <c r="B551" s="15"/>
      <c r="C551" s="15"/>
      <c r="D551" s="15"/>
      <c r="E551" s="74"/>
      <c r="F551" s="74"/>
      <c r="G551" s="74"/>
      <c r="H551" s="74"/>
      <c r="I551" s="74"/>
      <c r="J551" s="15"/>
    </row>
    <row r="552">
      <c r="A552" s="15"/>
      <c r="B552" s="15"/>
      <c r="C552" s="15"/>
      <c r="D552" s="15"/>
      <c r="E552" s="74"/>
      <c r="F552" s="74"/>
      <c r="G552" s="74"/>
      <c r="H552" s="74"/>
      <c r="I552" s="74"/>
      <c r="J552" s="15"/>
    </row>
    <row r="553">
      <c r="A553" s="15"/>
      <c r="B553" s="15"/>
      <c r="C553" s="15"/>
      <c r="D553" s="15"/>
      <c r="E553" s="74"/>
      <c r="F553" s="74"/>
      <c r="G553" s="74"/>
      <c r="H553" s="74"/>
      <c r="I553" s="74"/>
      <c r="J553" s="15"/>
    </row>
    <row r="554">
      <c r="A554" s="15"/>
      <c r="B554" s="15"/>
      <c r="C554" s="15"/>
      <c r="D554" s="15"/>
      <c r="E554" s="74"/>
      <c r="F554" s="74"/>
      <c r="G554" s="74"/>
      <c r="H554" s="74"/>
      <c r="I554" s="74"/>
      <c r="J554" s="15"/>
    </row>
    <row r="555">
      <c r="A555" s="15"/>
      <c r="B555" s="15"/>
      <c r="C555" s="15"/>
      <c r="D555" s="15"/>
      <c r="E555" s="74"/>
      <c r="F555" s="74"/>
      <c r="G555" s="74"/>
      <c r="H555" s="74"/>
      <c r="I555" s="74"/>
      <c r="J555" s="15"/>
    </row>
    <row r="556">
      <c r="A556" s="15"/>
      <c r="B556" s="15"/>
      <c r="C556" s="15"/>
      <c r="D556" s="15"/>
      <c r="E556" s="74"/>
      <c r="F556" s="74"/>
      <c r="G556" s="74"/>
      <c r="H556" s="74"/>
      <c r="I556" s="74"/>
      <c r="J556" s="15"/>
    </row>
    <row r="557">
      <c r="A557" s="15"/>
      <c r="B557" s="15"/>
      <c r="C557" s="15"/>
      <c r="D557" s="15"/>
      <c r="E557" s="74"/>
      <c r="F557" s="74"/>
      <c r="G557" s="74"/>
      <c r="H557" s="74"/>
      <c r="I557" s="74"/>
      <c r="J557" s="15"/>
    </row>
    <row r="558">
      <c r="A558" s="15"/>
      <c r="B558" s="15"/>
      <c r="C558" s="15"/>
      <c r="D558" s="15"/>
      <c r="E558" s="74"/>
      <c r="F558" s="74"/>
      <c r="G558" s="74"/>
      <c r="H558" s="74"/>
      <c r="I558" s="74"/>
      <c r="J558" s="15"/>
    </row>
    <row r="559">
      <c r="A559" s="15"/>
      <c r="B559" s="15"/>
      <c r="C559" s="15"/>
      <c r="D559" s="15"/>
      <c r="E559" s="74"/>
      <c r="F559" s="74"/>
      <c r="G559" s="74"/>
      <c r="H559" s="74"/>
      <c r="I559" s="74"/>
      <c r="J559" s="15"/>
    </row>
    <row r="560">
      <c r="A560" s="15"/>
      <c r="B560" s="15"/>
      <c r="C560" s="15"/>
      <c r="D560" s="15"/>
      <c r="E560" s="74"/>
      <c r="F560" s="74"/>
      <c r="G560" s="74"/>
      <c r="H560" s="74"/>
      <c r="I560" s="74"/>
      <c r="J560" s="15"/>
    </row>
    <row r="561">
      <c r="A561" s="15"/>
      <c r="B561" s="15"/>
      <c r="C561" s="15"/>
      <c r="D561" s="15"/>
      <c r="E561" s="74"/>
      <c r="F561" s="74"/>
      <c r="G561" s="74"/>
      <c r="H561" s="74"/>
      <c r="I561" s="74"/>
      <c r="J561" s="15"/>
    </row>
    <row r="562">
      <c r="A562" s="15"/>
      <c r="B562" s="15"/>
      <c r="C562" s="15"/>
      <c r="D562" s="15"/>
      <c r="E562" s="74"/>
      <c r="F562" s="74"/>
      <c r="G562" s="74"/>
      <c r="H562" s="74"/>
      <c r="I562" s="74"/>
      <c r="J562" s="15"/>
    </row>
    <row r="563">
      <c r="A563" s="15"/>
      <c r="B563" s="15"/>
      <c r="C563" s="15"/>
      <c r="D563" s="15"/>
      <c r="E563" s="74"/>
      <c r="F563" s="74"/>
      <c r="G563" s="74"/>
      <c r="H563" s="74"/>
      <c r="I563" s="74"/>
      <c r="J563" s="15"/>
    </row>
    <row r="564">
      <c r="A564" s="15"/>
      <c r="B564" s="15"/>
      <c r="C564" s="15"/>
      <c r="D564" s="15"/>
      <c r="E564" s="74"/>
      <c r="F564" s="74"/>
      <c r="G564" s="74"/>
      <c r="H564" s="74"/>
      <c r="I564" s="74"/>
      <c r="J564" s="15"/>
    </row>
    <row r="565">
      <c r="A565" s="15"/>
      <c r="B565" s="15"/>
      <c r="C565" s="15"/>
      <c r="D565" s="15"/>
      <c r="E565" s="74"/>
      <c r="F565" s="74"/>
      <c r="G565" s="74"/>
      <c r="H565" s="74"/>
      <c r="I565" s="74"/>
      <c r="J565" s="15"/>
    </row>
    <row r="566">
      <c r="A566" s="15"/>
      <c r="B566" s="15"/>
      <c r="C566" s="15"/>
      <c r="D566" s="15"/>
      <c r="E566" s="74"/>
      <c r="F566" s="74"/>
      <c r="G566" s="74"/>
      <c r="H566" s="74"/>
      <c r="I566" s="74"/>
      <c r="J566" s="15"/>
    </row>
    <row r="567">
      <c r="A567" s="15"/>
      <c r="B567" s="15"/>
      <c r="C567" s="15"/>
      <c r="D567" s="15"/>
      <c r="E567" s="74"/>
      <c r="F567" s="74"/>
      <c r="G567" s="74"/>
      <c r="H567" s="74"/>
      <c r="I567" s="74"/>
      <c r="J567" s="15"/>
    </row>
    <row r="568">
      <c r="A568" s="15"/>
      <c r="B568" s="15"/>
      <c r="C568" s="15"/>
      <c r="D568" s="15"/>
      <c r="E568" s="74"/>
      <c r="F568" s="74"/>
      <c r="G568" s="74"/>
      <c r="H568" s="74"/>
      <c r="I568" s="74"/>
      <c r="J568" s="15"/>
    </row>
    <row r="569">
      <c r="A569" s="15"/>
      <c r="B569" s="15"/>
      <c r="C569" s="15"/>
      <c r="D569" s="15"/>
      <c r="E569" s="74"/>
      <c r="F569" s="74"/>
      <c r="G569" s="74"/>
      <c r="H569" s="74"/>
      <c r="I569" s="74"/>
      <c r="J569" s="15"/>
    </row>
    <row r="570">
      <c r="A570" s="15"/>
      <c r="B570" s="15"/>
      <c r="C570" s="15"/>
      <c r="D570" s="15"/>
      <c r="E570" s="74"/>
      <c r="F570" s="74"/>
      <c r="G570" s="74"/>
      <c r="H570" s="74"/>
      <c r="I570" s="74"/>
      <c r="J570" s="15"/>
    </row>
    <row r="571">
      <c r="A571" s="15"/>
      <c r="B571" s="15"/>
      <c r="C571" s="15"/>
      <c r="D571" s="15"/>
      <c r="E571" s="74"/>
      <c r="F571" s="74"/>
      <c r="G571" s="74"/>
      <c r="H571" s="74"/>
      <c r="I571" s="74"/>
      <c r="J571" s="15"/>
    </row>
    <row r="572">
      <c r="A572" s="15"/>
      <c r="B572" s="15"/>
      <c r="C572" s="15"/>
      <c r="D572" s="15"/>
      <c r="E572" s="74"/>
      <c r="F572" s="74"/>
      <c r="G572" s="74"/>
      <c r="H572" s="74"/>
      <c r="I572" s="74"/>
      <c r="J572" s="15"/>
    </row>
    <row r="573">
      <c r="A573" s="15"/>
      <c r="B573" s="15"/>
      <c r="C573" s="15"/>
      <c r="D573" s="15"/>
      <c r="E573" s="74"/>
      <c r="F573" s="74"/>
      <c r="G573" s="74"/>
      <c r="H573" s="74"/>
      <c r="I573" s="74"/>
      <c r="J573" s="15"/>
    </row>
    <row r="574">
      <c r="A574" s="15"/>
      <c r="B574" s="15"/>
      <c r="C574" s="15"/>
      <c r="D574" s="15"/>
      <c r="E574" s="74"/>
      <c r="F574" s="74"/>
      <c r="G574" s="74"/>
      <c r="H574" s="74"/>
      <c r="I574" s="74"/>
      <c r="J574" s="15"/>
    </row>
    <row r="575">
      <c r="A575" s="15"/>
      <c r="B575" s="15"/>
      <c r="C575" s="15"/>
      <c r="D575" s="15"/>
      <c r="E575" s="74"/>
      <c r="F575" s="74"/>
      <c r="G575" s="74"/>
      <c r="H575" s="74"/>
      <c r="I575" s="74"/>
      <c r="J575" s="15"/>
    </row>
    <row r="576">
      <c r="A576" s="15"/>
      <c r="B576" s="15"/>
      <c r="C576" s="15"/>
      <c r="D576" s="15"/>
      <c r="E576" s="74"/>
      <c r="F576" s="74"/>
      <c r="G576" s="74"/>
      <c r="H576" s="74"/>
      <c r="I576" s="74"/>
      <c r="J576" s="15"/>
    </row>
    <row r="577">
      <c r="A577" s="15"/>
      <c r="B577" s="15"/>
      <c r="C577" s="15"/>
      <c r="D577" s="15"/>
      <c r="E577" s="74"/>
      <c r="F577" s="74"/>
      <c r="G577" s="74"/>
      <c r="H577" s="74"/>
      <c r="I577" s="74"/>
      <c r="J577" s="15"/>
    </row>
    <row r="578">
      <c r="A578" s="15"/>
      <c r="B578" s="15"/>
      <c r="C578" s="15"/>
      <c r="D578" s="15"/>
      <c r="E578" s="74"/>
      <c r="F578" s="74"/>
      <c r="G578" s="74"/>
      <c r="H578" s="74"/>
      <c r="I578" s="74"/>
      <c r="J578" s="15"/>
    </row>
    <row r="579">
      <c r="A579" s="15"/>
      <c r="B579" s="15"/>
      <c r="C579" s="15"/>
      <c r="D579" s="15"/>
      <c r="E579" s="74"/>
      <c r="F579" s="74"/>
      <c r="G579" s="74"/>
      <c r="H579" s="74"/>
      <c r="I579" s="74"/>
      <c r="J579" s="15"/>
    </row>
    <row r="580">
      <c r="A580" s="15"/>
      <c r="B580" s="15"/>
      <c r="C580" s="15"/>
      <c r="D580" s="15"/>
      <c r="E580" s="74"/>
      <c r="F580" s="74"/>
      <c r="G580" s="74"/>
      <c r="H580" s="74"/>
      <c r="I580" s="74"/>
      <c r="J580" s="15"/>
    </row>
    <row r="581">
      <c r="A581" s="15"/>
      <c r="B581" s="15"/>
      <c r="C581" s="15"/>
      <c r="D581" s="15"/>
      <c r="E581" s="74"/>
      <c r="F581" s="74"/>
      <c r="G581" s="74"/>
      <c r="H581" s="74"/>
      <c r="I581" s="74"/>
      <c r="J581" s="15"/>
    </row>
    <row r="582">
      <c r="A582" s="15"/>
      <c r="B582" s="15"/>
      <c r="C582" s="15"/>
      <c r="D582" s="15"/>
      <c r="E582" s="74"/>
      <c r="F582" s="74"/>
      <c r="G582" s="74"/>
      <c r="H582" s="74"/>
      <c r="I582" s="74"/>
      <c r="J582" s="15"/>
    </row>
    <row r="583">
      <c r="A583" s="15"/>
      <c r="B583" s="15"/>
      <c r="C583" s="15"/>
      <c r="D583" s="15"/>
      <c r="E583" s="74"/>
      <c r="F583" s="74"/>
      <c r="G583" s="74"/>
      <c r="H583" s="74"/>
      <c r="I583" s="74"/>
      <c r="J583" s="15"/>
    </row>
    <row r="584">
      <c r="A584" s="15"/>
      <c r="B584" s="15"/>
      <c r="C584" s="15"/>
      <c r="D584" s="15"/>
      <c r="E584" s="74"/>
      <c r="F584" s="74"/>
      <c r="G584" s="74"/>
      <c r="H584" s="74"/>
      <c r="I584" s="74"/>
      <c r="J584" s="15"/>
    </row>
    <row r="585">
      <c r="A585" s="15"/>
      <c r="B585" s="15"/>
      <c r="C585" s="15"/>
      <c r="D585" s="15"/>
      <c r="E585" s="74"/>
      <c r="F585" s="74"/>
      <c r="G585" s="74"/>
      <c r="H585" s="74"/>
      <c r="I585" s="74"/>
      <c r="J585" s="15"/>
    </row>
    <row r="586">
      <c r="A586" s="15"/>
      <c r="B586" s="15"/>
      <c r="C586" s="15"/>
      <c r="D586" s="15"/>
      <c r="E586" s="74"/>
      <c r="F586" s="74"/>
      <c r="G586" s="74"/>
      <c r="H586" s="74"/>
      <c r="I586" s="74"/>
      <c r="J586" s="15"/>
    </row>
    <row r="587">
      <c r="A587" s="15"/>
      <c r="B587" s="15"/>
      <c r="C587" s="15"/>
      <c r="D587" s="15"/>
      <c r="E587" s="74"/>
      <c r="F587" s="74"/>
      <c r="G587" s="74"/>
      <c r="H587" s="74"/>
      <c r="I587" s="74"/>
      <c r="J587" s="15"/>
    </row>
    <row r="588">
      <c r="A588" s="15"/>
      <c r="B588" s="15"/>
      <c r="C588" s="15"/>
      <c r="D588" s="15"/>
      <c r="E588" s="74"/>
      <c r="F588" s="74"/>
      <c r="G588" s="74"/>
      <c r="H588" s="74"/>
      <c r="I588" s="74"/>
      <c r="J588" s="15"/>
    </row>
    <row r="589">
      <c r="A589" s="15"/>
      <c r="B589" s="15"/>
      <c r="C589" s="15"/>
      <c r="D589" s="15"/>
      <c r="E589" s="74"/>
      <c r="F589" s="74"/>
      <c r="G589" s="74"/>
      <c r="H589" s="74"/>
      <c r="I589" s="74"/>
      <c r="J589" s="15"/>
    </row>
    <row r="590">
      <c r="A590" s="15"/>
      <c r="B590" s="15"/>
      <c r="C590" s="15"/>
      <c r="D590" s="15"/>
      <c r="E590" s="74"/>
      <c r="F590" s="74"/>
      <c r="G590" s="74"/>
      <c r="H590" s="74"/>
      <c r="I590" s="74"/>
      <c r="J590" s="15"/>
    </row>
    <row r="591">
      <c r="A591" s="15"/>
      <c r="B591" s="15"/>
      <c r="C591" s="15"/>
      <c r="D591" s="15"/>
      <c r="E591" s="74"/>
      <c r="F591" s="74"/>
      <c r="G591" s="74"/>
      <c r="H591" s="74"/>
      <c r="I591" s="74"/>
      <c r="J591" s="15"/>
    </row>
    <row r="592">
      <c r="A592" s="15"/>
      <c r="B592" s="15"/>
      <c r="C592" s="15"/>
      <c r="D592" s="15"/>
      <c r="E592" s="74"/>
      <c r="F592" s="74"/>
      <c r="G592" s="74"/>
      <c r="H592" s="74"/>
      <c r="I592" s="74"/>
      <c r="J592" s="15"/>
    </row>
    <row r="593">
      <c r="A593" s="15"/>
      <c r="B593" s="15"/>
      <c r="C593" s="15"/>
      <c r="D593" s="15"/>
      <c r="E593" s="74"/>
      <c r="F593" s="74"/>
      <c r="G593" s="74"/>
      <c r="H593" s="74"/>
      <c r="I593" s="74"/>
      <c r="J593" s="15"/>
    </row>
    <row r="594">
      <c r="A594" s="15"/>
      <c r="B594" s="15"/>
      <c r="C594" s="15"/>
      <c r="D594" s="15"/>
      <c r="E594" s="74"/>
      <c r="F594" s="74"/>
      <c r="G594" s="74"/>
      <c r="H594" s="74"/>
      <c r="I594" s="74"/>
      <c r="J594" s="15"/>
    </row>
    <row r="595">
      <c r="A595" s="15"/>
      <c r="B595" s="15"/>
      <c r="C595" s="15"/>
      <c r="D595" s="15"/>
      <c r="E595" s="74"/>
      <c r="F595" s="74"/>
      <c r="G595" s="74"/>
      <c r="H595" s="74"/>
      <c r="I595" s="74"/>
      <c r="J595" s="15"/>
    </row>
    <row r="596">
      <c r="A596" s="15"/>
      <c r="B596" s="15"/>
      <c r="C596" s="15"/>
      <c r="D596" s="15"/>
      <c r="E596" s="74"/>
      <c r="F596" s="74"/>
      <c r="G596" s="74"/>
      <c r="H596" s="74"/>
      <c r="I596" s="74"/>
      <c r="J596" s="15"/>
    </row>
    <row r="597">
      <c r="A597" s="15"/>
      <c r="B597" s="15"/>
      <c r="C597" s="15"/>
      <c r="D597" s="15"/>
      <c r="E597" s="74"/>
      <c r="F597" s="74"/>
      <c r="G597" s="74"/>
      <c r="H597" s="74"/>
      <c r="I597" s="74"/>
      <c r="J597" s="15"/>
    </row>
    <row r="598">
      <c r="A598" s="15"/>
      <c r="B598" s="15"/>
      <c r="C598" s="15"/>
      <c r="D598" s="15"/>
      <c r="E598" s="74"/>
      <c r="F598" s="74"/>
      <c r="G598" s="74"/>
      <c r="H598" s="74"/>
      <c r="I598" s="74"/>
      <c r="J598" s="15"/>
    </row>
    <row r="599">
      <c r="A599" s="15"/>
      <c r="B599" s="15"/>
      <c r="C599" s="15"/>
      <c r="D599" s="15"/>
      <c r="E599" s="74"/>
      <c r="F599" s="74"/>
      <c r="G599" s="74"/>
      <c r="H599" s="74"/>
      <c r="I599" s="74"/>
      <c r="J599" s="15"/>
    </row>
    <row r="600">
      <c r="A600" s="15"/>
      <c r="B600" s="15"/>
      <c r="C600" s="15"/>
      <c r="D600" s="15"/>
      <c r="E600" s="74"/>
      <c r="F600" s="74"/>
      <c r="G600" s="74"/>
      <c r="H600" s="74"/>
      <c r="I600" s="74"/>
      <c r="J600" s="15"/>
    </row>
    <row r="601">
      <c r="A601" s="15"/>
      <c r="B601" s="15"/>
      <c r="C601" s="15"/>
      <c r="D601" s="15"/>
      <c r="E601" s="74"/>
      <c r="F601" s="74"/>
      <c r="G601" s="74"/>
      <c r="H601" s="74"/>
      <c r="I601" s="74"/>
      <c r="J601" s="15"/>
    </row>
    <row r="602">
      <c r="A602" s="15"/>
      <c r="B602" s="15"/>
      <c r="C602" s="15"/>
      <c r="D602" s="15"/>
      <c r="E602" s="74"/>
      <c r="F602" s="74"/>
      <c r="G602" s="74"/>
      <c r="H602" s="74"/>
      <c r="I602" s="74"/>
      <c r="J602" s="15"/>
    </row>
    <row r="603">
      <c r="A603" s="15"/>
      <c r="B603" s="15"/>
      <c r="C603" s="15"/>
      <c r="D603" s="15"/>
      <c r="E603" s="74"/>
      <c r="F603" s="74"/>
      <c r="G603" s="74"/>
      <c r="H603" s="74"/>
      <c r="I603" s="74"/>
      <c r="J603" s="15"/>
    </row>
    <row r="604">
      <c r="A604" s="15"/>
      <c r="B604" s="15"/>
      <c r="C604" s="15"/>
      <c r="D604" s="15"/>
      <c r="E604" s="74"/>
      <c r="F604" s="74"/>
      <c r="G604" s="74"/>
      <c r="H604" s="74"/>
      <c r="I604" s="74"/>
      <c r="J604" s="15"/>
    </row>
    <row r="605">
      <c r="A605" s="15"/>
      <c r="B605" s="15"/>
      <c r="C605" s="15"/>
      <c r="D605" s="15"/>
      <c r="E605" s="74"/>
      <c r="F605" s="74"/>
      <c r="G605" s="74"/>
      <c r="H605" s="74"/>
      <c r="I605" s="74"/>
      <c r="J605" s="15"/>
    </row>
    <row r="606">
      <c r="A606" s="15"/>
      <c r="B606" s="15"/>
      <c r="C606" s="15"/>
      <c r="D606" s="15"/>
      <c r="E606" s="74"/>
      <c r="F606" s="74"/>
      <c r="G606" s="74"/>
      <c r="H606" s="74"/>
      <c r="I606" s="74"/>
      <c r="J606" s="15"/>
    </row>
    <row r="607">
      <c r="A607" s="15"/>
      <c r="B607" s="15"/>
      <c r="C607" s="15"/>
      <c r="D607" s="15"/>
      <c r="E607" s="74"/>
      <c r="F607" s="74"/>
      <c r="G607" s="74"/>
      <c r="H607" s="74"/>
      <c r="I607" s="74"/>
      <c r="J607" s="15"/>
    </row>
    <row r="608">
      <c r="A608" s="15"/>
      <c r="B608" s="15"/>
      <c r="C608" s="15"/>
      <c r="D608" s="15"/>
      <c r="E608" s="74"/>
      <c r="F608" s="74"/>
      <c r="G608" s="74"/>
      <c r="H608" s="74"/>
      <c r="I608" s="74"/>
      <c r="J608" s="15"/>
    </row>
    <row r="609">
      <c r="A609" s="15"/>
      <c r="B609" s="15"/>
      <c r="C609" s="15"/>
      <c r="D609" s="15"/>
      <c r="E609" s="74"/>
      <c r="F609" s="74"/>
      <c r="G609" s="74"/>
      <c r="H609" s="74"/>
      <c r="I609" s="74"/>
      <c r="J609" s="15"/>
    </row>
    <row r="610">
      <c r="A610" s="15"/>
      <c r="B610" s="15"/>
      <c r="C610" s="15"/>
      <c r="D610" s="15"/>
      <c r="E610" s="74"/>
      <c r="F610" s="74"/>
      <c r="G610" s="74"/>
      <c r="H610" s="74"/>
      <c r="I610" s="74"/>
      <c r="J610" s="15"/>
    </row>
    <row r="611">
      <c r="A611" s="15"/>
      <c r="B611" s="15"/>
      <c r="C611" s="15"/>
      <c r="D611" s="15"/>
      <c r="E611" s="74"/>
      <c r="F611" s="74"/>
      <c r="G611" s="74"/>
      <c r="H611" s="74"/>
      <c r="I611" s="74"/>
      <c r="J611" s="15"/>
    </row>
    <row r="612">
      <c r="A612" s="15"/>
      <c r="B612" s="15"/>
      <c r="C612" s="15"/>
      <c r="D612" s="15"/>
      <c r="E612" s="74"/>
      <c r="F612" s="74"/>
      <c r="G612" s="74"/>
      <c r="H612" s="74"/>
      <c r="I612" s="74"/>
      <c r="J612" s="15"/>
    </row>
    <row r="613">
      <c r="A613" s="15"/>
      <c r="B613" s="15"/>
      <c r="C613" s="15"/>
      <c r="D613" s="15"/>
      <c r="E613" s="74"/>
      <c r="F613" s="74"/>
      <c r="G613" s="74"/>
      <c r="H613" s="74"/>
      <c r="I613" s="74"/>
      <c r="J613" s="15"/>
    </row>
    <row r="614">
      <c r="A614" s="15"/>
      <c r="B614" s="15"/>
      <c r="C614" s="15"/>
      <c r="D614" s="15"/>
      <c r="E614" s="74"/>
      <c r="F614" s="74"/>
      <c r="G614" s="74"/>
      <c r="H614" s="74"/>
      <c r="I614" s="74"/>
      <c r="J614" s="15"/>
    </row>
    <row r="615">
      <c r="A615" s="15"/>
      <c r="B615" s="15"/>
      <c r="C615" s="15"/>
      <c r="D615" s="15"/>
      <c r="E615" s="74"/>
      <c r="F615" s="74"/>
      <c r="G615" s="74"/>
      <c r="H615" s="74"/>
      <c r="I615" s="74"/>
      <c r="J615" s="15"/>
    </row>
    <row r="616">
      <c r="A616" s="15"/>
      <c r="B616" s="15"/>
      <c r="C616" s="15"/>
      <c r="D616" s="15"/>
      <c r="E616" s="74"/>
      <c r="F616" s="74"/>
      <c r="G616" s="74"/>
      <c r="H616" s="74"/>
      <c r="I616" s="74"/>
      <c r="J616" s="15"/>
    </row>
    <row r="617">
      <c r="A617" s="15"/>
      <c r="B617" s="15"/>
      <c r="C617" s="15"/>
      <c r="D617" s="15"/>
      <c r="E617" s="74"/>
      <c r="F617" s="74"/>
      <c r="G617" s="74"/>
      <c r="H617" s="74"/>
      <c r="I617" s="74"/>
      <c r="J617" s="15"/>
    </row>
    <row r="618">
      <c r="A618" s="15"/>
      <c r="B618" s="15"/>
      <c r="C618" s="15"/>
      <c r="D618" s="15"/>
      <c r="E618" s="74"/>
      <c r="F618" s="74"/>
      <c r="G618" s="74"/>
      <c r="H618" s="74"/>
      <c r="I618" s="74"/>
      <c r="J618" s="15"/>
    </row>
    <row r="619">
      <c r="A619" s="15"/>
      <c r="B619" s="15"/>
      <c r="C619" s="15"/>
      <c r="D619" s="15"/>
      <c r="E619" s="74"/>
      <c r="F619" s="74"/>
      <c r="G619" s="74"/>
      <c r="H619" s="74"/>
      <c r="I619" s="74"/>
      <c r="J619" s="15"/>
    </row>
    <row r="620">
      <c r="A620" s="15"/>
      <c r="B620" s="15"/>
      <c r="C620" s="15"/>
      <c r="D620" s="15"/>
      <c r="E620" s="74"/>
      <c r="F620" s="74"/>
      <c r="G620" s="74"/>
      <c r="H620" s="74"/>
      <c r="I620" s="74"/>
      <c r="J620" s="15"/>
    </row>
    <row r="621">
      <c r="A621" s="15"/>
      <c r="B621" s="15"/>
      <c r="C621" s="15"/>
      <c r="D621" s="15"/>
      <c r="E621" s="74"/>
      <c r="F621" s="74"/>
      <c r="G621" s="74"/>
      <c r="H621" s="74"/>
      <c r="I621" s="74"/>
      <c r="J621" s="15"/>
    </row>
    <row r="622">
      <c r="A622" s="15"/>
      <c r="B622" s="15"/>
      <c r="C622" s="15"/>
      <c r="D622" s="15"/>
      <c r="E622" s="74"/>
      <c r="F622" s="74"/>
      <c r="G622" s="74"/>
      <c r="H622" s="74"/>
      <c r="I622" s="74"/>
      <c r="J622" s="15"/>
    </row>
    <row r="623">
      <c r="A623" s="15"/>
      <c r="B623" s="15"/>
      <c r="C623" s="15"/>
      <c r="D623" s="15"/>
      <c r="E623" s="74"/>
      <c r="F623" s="74"/>
      <c r="G623" s="74"/>
      <c r="H623" s="74"/>
      <c r="I623" s="74"/>
      <c r="J623" s="15"/>
    </row>
    <row r="624">
      <c r="A624" s="15"/>
      <c r="B624" s="15"/>
      <c r="C624" s="15"/>
      <c r="D624" s="15"/>
      <c r="E624" s="74"/>
      <c r="F624" s="74"/>
      <c r="G624" s="74"/>
      <c r="H624" s="74"/>
      <c r="I624" s="74"/>
      <c r="J624" s="15"/>
    </row>
    <row r="625">
      <c r="A625" s="15"/>
      <c r="B625" s="15"/>
      <c r="C625" s="15"/>
      <c r="D625" s="15"/>
      <c r="E625" s="74"/>
      <c r="F625" s="74"/>
      <c r="G625" s="74"/>
      <c r="H625" s="74"/>
      <c r="I625" s="74"/>
      <c r="J625" s="15"/>
    </row>
    <row r="626">
      <c r="A626" s="15"/>
      <c r="B626" s="15"/>
      <c r="C626" s="15"/>
      <c r="D626" s="15"/>
      <c r="E626" s="74"/>
      <c r="F626" s="74"/>
      <c r="G626" s="74"/>
      <c r="H626" s="74"/>
      <c r="I626" s="74"/>
      <c r="J626" s="15"/>
    </row>
    <row r="627">
      <c r="A627" s="15"/>
      <c r="B627" s="15"/>
      <c r="C627" s="15"/>
      <c r="D627" s="15"/>
      <c r="E627" s="74"/>
      <c r="F627" s="74"/>
      <c r="G627" s="74"/>
      <c r="H627" s="74"/>
      <c r="I627" s="74"/>
      <c r="J627" s="15"/>
    </row>
    <row r="628">
      <c r="A628" s="15"/>
      <c r="B628" s="15"/>
      <c r="C628" s="15"/>
      <c r="D628" s="15"/>
      <c r="E628" s="74"/>
      <c r="F628" s="74"/>
      <c r="G628" s="74"/>
      <c r="H628" s="74"/>
      <c r="I628" s="74"/>
      <c r="J628" s="15"/>
    </row>
    <row r="629">
      <c r="A629" s="15"/>
      <c r="B629" s="15"/>
      <c r="C629" s="15"/>
      <c r="D629" s="15"/>
      <c r="E629" s="74"/>
      <c r="F629" s="74"/>
      <c r="G629" s="74"/>
      <c r="H629" s="74"/>
      <c r="I629" s="74"/>
      <c r="J629" s="15"/>
    </row>
    <row r="630">
      <c r="A630" s="15"/>
      <c r="B630" s="15"/>
      <c r="C630" s="15"/>
      <c r="D630" s="15"/>
      <c r="E630" s="74"/>
      <c r="F630" s="74"/>
      <c r="G630" s="74"/>
      <c r="H630" s="74"/>
      <c r="I630" s="74"/>
      <c r="J630" s="15"/>
    </row>
    <row r="631">
      <c r="A631" s="15"/>
      <c r="B631" s="15"/>
      <c r="C631" s="15"/>
      <c r="D631" s="15"/>
      <c r="E631" s="74"/>
      <c r="F631" s="74"/>
      <c r="G631" s="74"/>
      <c r="H631" s="74"/>
      <c r="I631" s="74"/>
      <c r="J631" s="15"/>
    </row>
    <row r="632">
      <c r="A632" s="15"/>
      <c r="B632" s="15"/>
      <c r="C632" s="15"/>
      <c r="D632" s="15"/>
      <c r="E632" s="74"/>
      <c r="F632" s="74"/>
      <c r="G632" s="74"/>
      <c r="H632" s="74"/>
      <c r="I632" s="74"/>
      <c r="J632" s="15"/>
    </row>
    <row r="633">
      <c r="A633" s="15"/>
      <c r="B633" s="15"/>
      <c r="C633" s="15"/>
      <c r="D633" s="15"/>
      <c r="E633" s="74"/>
      <c r="F633" s="74"/>
      <c r="G633" s="74"/>
      <c r="H633" s="74"/>
      <c r="I633" s="74"/>
      <c r="J633" s="15"/>
    </row>
    <row r="634">
      <c r="A634" s="15"/>
      <c r="B634" s="15"/>
      <c r="C634" s="15"/>
      <c r="D634" s="15"/>
      <c r="E634" s="74"/>
      <c r="F634" s="74"/>
      <c r="G634" s="74"/>
      <c r="H634" s="74"/>
      <c r="I634" s="74"/>
      <c r="J634" s="15"/>
    </row>
    <row r="635">
      <c r="A635" s="15"/>
      <c r="B635" s="15"/>
      <c r="C635" s="15"/>
      <c r="D635" s="15"/>
      <c r="E635" s="74"/>
      <c r="F635" s="74"/>
      <c r="G635" s="74"/>
      <c r="H635" s="74"/>
      <c r="I635" s="74"/>
      <c r="J635" s="15"/>
    </row>
    <row r="636">
      <c r="A636" s="15"/>
      <c r="B636" s="15"/>
      <c r="C636" s="15"/>
      <c r="D636" s="15"/>
      <c r="E636" s="74"/>
      <c r="F636" s="74"/>
      <c r="G636" s="74"/>
      <c r="H636" s="74"/>
      <c r="I636" s="74"/>
      <c r="J636" s="15"/>
    </row>
    <row r="637">
      <c r="A637" s="15"/>
      <c r="B637" s="15"/>
      <c r="C637" s="15"/>
      <c r="D637" s="15"/>
      <c r="E637" s="74"/>
      <c r="F637" s="74"/>
      <c r="G637" s="74"/>
      <c r="H637" s="74"/>
      <c r="I637" s="74"/>
      <c r="J637" s="15"/>
    </row>
    <row r="638">
      <c r="A638" s="15"/>
      <c r="B638" s="15"/>
      <c r="C638" s="15"/>
      <c r="D638" s="15"/>
      <c r="E638" s="74"/>
      <c r="F638" s="74"/>
      <c r="G638" s="74"/>
      <c r="H638" s="74"/>
      <c r="I638" s="74"/>
      <c r="J638" s="15"/>
    </row>
    <row r="639">
      <c r="A639" s="15"/>
      <c r="B639" s="15"/>
      <c r="C639" s="15"/>
      <c r="D639" s="15"/>
      <c r="E639" s="74"/>
      <c r="F639" s="74"/>
      <c r="G639" s="74"/>
      <c r="H639" s="74"/>
      <c r="I639" s="74"/>
      <c r="J639" s="15"/>
    </row>
    <row r="640">
      <c r="A640" s="15"/>
      <c r="B640" s="15"/>
      <c r="C640" s="15"/>
      <c r="D640" s="15"/>
      <c r="E640" s="74"/>
      <c r="F640" s="74"/>
      <c r="G640" s="74"/>
      <c r="H640" s="74"/>
      <c r="I640" s="74"/>
      <c r="J640" s="15"/>
    </row>
    <row r="641">
      <c r="A641" s="15"/>
      <c r="B641" s="15"/>
      <c r="C641" s="15"/>
      <c r="D641" s="15"/>
      <c r="E641" s="74"/>
      <c r="F641" s="74"/>
      <c r="G641" s="74"/>
      <c r="H641" s="74"/>
      <c r="I641" s="74"/>
      <c r="J641" s="15"/>
    </row>
    <row r="642">
      <c r="A642" s="15"/>
      <c r="B642" s="15"/>
      <c r="C642" s="15"/>
      <c r="D642" s="15"/>
      <c r="E642" s="74"/>
      <c r="F642" s="74"/>
      <c r="G642" s="74"/>
      <c r="H642" s="74"/>
      <c r="I642" s="74"/>
      <c r="J642" s="15"/>
    </row>
    <row r="643">
      <c r="A643" s="15"/>
      <c r="B643" s="15"/>
      <c r="C643" s="15"/>
      <c r="D643" s="15"/>
      <c r="E643" s="74"/>
      <c r="F643" s="74"/>
      <c r="G643" s="74"/>
      <c r="H643" s="74"/>
      <c r="I643" s="74"/>
      <c r="J643" s="15"/>
    </row>
    <row r="644">
      <c r="A644" s="15"/>
      <c r="B644" s="15"/>
      <c r="C644" s="15"/>
      <c r="D644" s="15"/>
      <c r="E644" s="74"/>
      <c r="F644" s="74"/>
      <c r="G644" s="74"/>
      <c r="H644" s="74"/>
      <c r="I644" s="74"/>
      <c r="J644" s="15"/>
    </row>
    <row r="645">
      <c r="A645" s="15"/>
      <c r="B645" s="15"/>
      <c r="C645" s="15"/>
      <c r="D645" s="15"/>
      <c r="E645" s="74"/>
      <c r="F645" s="74"/>
      <c r="G645" s="74"/>
      <c r="H645" s="74"/>
      <c r="I645" s="74"/>
      <c r="J645" s="15"/>
    </row>
    <row r="646">
      <c r="A646" s="15"/>
      <c r="B646" s="15"/>
      <c r="C646" s="15"/>
      <c r="D646" s="15"/>
      <c r="E646" s="74"/>
      <c r="F646" s="74"/>
      <c r="G646" s="74"/>
      <c r="H646" s="74"/>
      <c r="I646" s="74"/>
      <c r="J646" s="15"/>
    </row>
    <row r="647">
      <c r="A647" s="15"/>
      <c r="B647" s="15"/>
      <c r="C647" s="15"/>
      <c r="D647" s="15"/>
      <c r="E647" s="74"/>
      <c r="F647" s="74"/>
      <c r="G647" s="74"/>
      <c r="H647" s="74"/>
      <c r="I647" s="74"/>
      <c r="J647" s="15"/>
    </row>
    <row r="648">
      <c r="A648" s="15"/>
      <c r="B648" s="15"/>
      <c r="C648" s="15"/>
      <c r="D648" s="15"/>
      <c r="E648" s="74"/>
      <c r="F648" s="74"/>
      <c r="G648" s="74"/>
      <c r="H648" s="74"/>
      <c r="I648" s="74"/>
      <c r="J648" s="15"/>
    </row>
    <row r="649">
      <c r="A649" s="15"/>
      <c r="B649" s="15"/>
      <c r="C649" s="15"/>
      <c r="D649" s="15"/>
      <c r="E649" s="74"/>
      <c r="F649" s="74"/>
      <c r="G649" s="74"/>
      <c r="H649" s="74"/>
      <c r="I649" s="74"/>
      <c r="J649" s="15"/>
    </row>
    <row r="650">
      <c r="A650" s="15"/>
      <c r="B650" s="15"/>
      <c r="C650" s="15"/>
      <c r="D650" s="15"/>
      <c r="E650" s="74"/>
      <c r="F650" s="74"/>
      <c r="G650" s="74"/>
      <c r="H650" s="74"/>
      <c r="I650" s="74"/>
      <c r="J650" s="15"/>
    </row>
    <row r="651">
      <c r="A651" s="15"/>
      <c r="B651" s="15"/>
      <c r="C651" s="15"/>
      <c r="D651" s="15"/>
      <c r="E651" s="74"/>
      <c r="F651" s="74"/>
      <c r="G651" s="74"/>
      <c r="H651" s="74"/>
      <c r="I651" s="74"/>
      <c r="J651" s="15"/>
    </row>
    <row r="652">
      <c r="A652" s="15"/>
      <c r="B652" s="15"/>
      <c r="C652" s="15"/>
      <c r="D652" s="15"/>
      <c r="E652" s="74"/>
      <c r="F652" s="74"/>
      <c r="G652" s="74"/>
      <c r="H652" s="74"/>
      <c r="I652" s="74"/>
      <c r="J652" s="15"/>
    </row>
    <row r="653">
      <c r="A653" s="15"/>
      <c r="B653" s="15"/>
      <c r="C653" s="15"/>
      <c r="D653" s="15"/>
      <c r="E653" s="74"/>
      <c r="F653" s="74"/>
      <c r="G653" s="74"/>
      <c r="H653" s="74"/>
      <c r="I653" s="74"/>
      <c r="J653" s="15"/>
    </row>
    <row r="654">
      <c r="A654" s="15"/>
      <c r="B654" s="15"/>
      <c r="C654" s="15"/>
      <c r="D654" s="15"/>
      <c r="E654" s="74"/>
      <c r="F654" s="74"/>
      <c r="G654" s="74"/>
      <c r="H654" s="74"/>
      <c r="I654" s="74"/>
      <c r="J654" s="15"/>
    </row>
    <row r="655">
      <c r="A655" s="15"/>
      <c r="B655" s="15"/>
      <c r="C655" s="15"/>
      <c r="D655" s="15"/>
      <c r="E655" s="74"/>
      <c r="F655" s="74"/>
      <c r="G655" s="74"/>
      <c r="H655" s="74"/>
      <c r="I655" s="74"/>
      <c r="J655" s="15"/>
    </row>
    <row r="656">
      <c r="A656" s="15"/>
      <c r="B656" s="15"/>
      <c r="C656" s="15"/>
      <c r="D656" s="15"/>
      <c r="E656" s="74"/>
      <c r="F656" s="74"/>
      <c r="G656" s="74"/>
      <c r="H656" s="74"/>
      <c r="I656" s="74"/>
      <c r="J656" s="15"/>
    </row>
    <row r="657">
      <c r="A657" s="15"/>
      <c r="B657" s="15"/>
      <c r="C657" s="15"/>
      <c r="D657" s="15"/>
      <c r="E657" s="74"/>
      <c r="F657" s="74"/>
      <c r="G657" s="74"/>
      <c r="H657" s="74"/>
      <c r="I657" s="74"/>
      <c r="J657" s="15"/>
    </row>
    <row r="658">
      <c r="A658" s="15"/>
      <c r="B658" s="15"/>
      <c r="C658" s="15"/>
      <c r="D658" s="15"/>
      <c r="E658" s="74"/>
      <c r="F658" s="74"/>
      <c r="G658" s="74"/>
      <c r="H658" s="74"/>
      <c r="I658" s="74"/>
      <c r="J658" s="15"/>
    </row>
    <row r="659">
      <c r="A659" s="15"/>
      <c r="B659" s="15"/>
      <c r="C659" s="15"/>
      <c r="D659" s="15"/>
      <c r="E659" s="74"/>
      <c r="F659" s="74"/>
      <c r="G659" s="74"/>
      <c r="H659" s="74"/>
      <c r="I659" s="74"/>
      <c r="J659" s="15"/>
    </row>
    <row r="660">
      <c r="A660" s="15"/>
      <c r="B660" s="15"/>
      <c r="C660" s="15"/>
      <c r="D660" s="15"/>
      <c r="E660" s="74"/>
      <c r="F660" s="74"/>
      <c r="G660" s="74"/>
      <c r="H660" s="74"/>
      <c r="I660" s="74"/>
      <c r="J660" s="15"/>
    </row>
    <row r="661">
      <c r="A661" s="15"/>
      <c r="B661" s="15"/>
      <c r="C661" s="15"/>
      <c r="D661" s="15"/>
      <c r="E661" s="74"/>
      <c r="F661" s="74"/>
      <c r="G661" s="74"/>
      <c r="H661" s="74"/>
      <c r="I661" s="74"/>
      <c r="J661" s="15"/>
    </row>
    <row r="662">
      <c r="A662" s="15"/>
      <c r="B662" s="15"/>
      <c r="C662" s="15"/>
      <c r="D662" s="15"/>
      <c r="E662" s="74"/>
      <c r="F662" s="74"/>
      <c r="G662" s="74"/>
      <c r="H662" s="74"/>
      <c r="I662" s="74"/>
      <c r="J662" s="15"/>
    </row>
    <row r="663">
      <c r="A663" s="15"/>
      <c r="B663" s="15"/>
      <c r="C663" s="15"/>
      <c r="D663" s="15"/>
      <c r="E663" s="74"/>
      <c r="F663" s="74"/>
      <c r="G663" s="74"/>
      <c r="H663" s="74"/>
      <c r="I663" s="74"/>
      <c r="J663" s="15"/>
    </row>
    <row r="664">
      <c r="A664" s="15"/>
      <c r="B664" s="15"/>
      <c r="C664" s="15"/>
      <c r="D664" s="15"/>
      <c r="E664" s="74"/>
      <c r="F664" s="74"/>
      <c r="G664" s="74"/>
      <c r="H664" s="74"/>
      <c r="I664" s="74"/>
      <c r="J664" s="15"/>
    </row>
    <row r="665">
      <c r="A665" s="15"/>
      <c r="B665" s="15"/>
      <c r="C665" s="15"/>
      <c r="D665" s="15"/>
      <c r="E665" s="74"/>
      <c r="F665" s="74"/>
      <c r="G665" s="74"/>
      <c r="H665" s="74"/>
      <c r="I665" s="74"/>
      <c r="J665" s="15"/>
    </row>
    <row r="666">
      <c r="A666" s="15"/>
      <c r="B666" s="15"/>
      <c r="C666" s="15"/>
      <c r="D666" s="15"/>
      <c r="E666" s="74"/>
      <c r="F666" s="74"/>
      <c r="G666" s="74"/>
      <c r="H666" s="74"/>
      <c r="I666" s="74"/>
      <c r="J666" s="15"/>
    </row>
    <row r="667">
      <c r="A667" s="15"/>
      <c r="B667" s="15"/>
      <c r="C667" s="15"/>
      <c r="D667" s="15"/>
      <c r="E667" s="74"/>
      <c r="F667" s="74"/>
      <c r="G667" s="74"/>
      <c r="H667" s="74"/>
      <c r="I667" s="74"/>
      <c r="J667" s="15"/>
    </row>
    <row r="668">
      <c r="A668" s="15"/>
      <c r="B668" s="15"/>
      <c r="C668" s="15"/>
      <c r="D668" s="15"/>
      <c r="E668" s="74"/>
      <c r="F668" s="74"/>
      <c r="G668" s="74"/>
      <c r="H668" s="74"/>
      <c r="I668" s="74"/>
      <c r="J668" s="15"/>
    </row>
    <row r="669">
      <c r="A669" s="15"/>
      <c r="B669" s="15"/>
      <c r="C669" s="15"/>
      <c r="D669" s="15"/>
      <c r="E669" s="74"/>
      <c r="F669" s="74"/>
      <c r="G669" s="74"/>
      <c r="H669" s="74"/>
      <c r="I669" s="74"/>
      <c r="J669" s="15"/>
    </row>
    <row r="670">
      <c r="A670" s="15"/>
      <c r="B670" s="15"/>
      <c r="C670" s="15"/>
      <c r="D670" s="15"/>
      <c r="E670" s="74"/>
      <c r="F670" s="74"/>
      <c r="G670" s="74"/>
      <c r="H670" s="74"/>
      <c r="I670" s="74"/>
      <c r="J670" s="15"/>
    </row>
    <row r="671">
      <c r="A671" s="15"/>
      <c r="B671" s="15"/>
      <c r="C671" s="15"/>
      <c r="D671" s="15"/>
      <c r="E671" s="74"/>
      <c r="F671" s="74"/>
      <c r="G671" s="74"/>
      <c r="H671" s="74"/>
      <c r="I671" s="74"/>
      <c r="J671" s="15"/>
    </row>
    <row r="672">
      <c r="A672" s="15"/>
      <c r="B672" s="15"/>
      <c r="C672" s="15"/>
      <c r="D672" s="15"/>
      <c r="E672" s="74"/>
      <c r="F672" s="74"/>
      <c r="G672" s="74"/>
      <c r="H672" s="74"/>
      <c r="I672" s="74"/>
      <c r="J672" s="15"/>
    </row>
    <row r="673">
      <c r="A673" s="15"/>
      <c r="B673" s="15"/>
      <c r="C673" s="15"/>
      <c r="D673" s="15"/>
      <c r="E673" s="74"/>
      <c r="F673" s="74"/>
      <c r="G673" s="74"/>
      <c r="H673" s="74"/>
      <c r="I673" s="74"/>
      <c r="J673" s="15"/>
    </row>
    <row r="674">
      <c r="A674" s="15"/>
      <c r="B674" s="15"/>
      <c r="C674" s="15"/>
      <c r="D674" s="15"/>
      <c r="E674" s="74"/>
      <c r="F674" s="74"/>
      <c r="G674" s="74"/>
      <c r="H674" s="74"/>
      <c r="I674" s="74"/>
      <c r="J674" s="15"/>
    </row>
    <row r="675">
      <c r="A675" s="15"/>
      <c r="B675" s="15"/>
      <c r="C675" s="15"/>
      <c r="D675" s="15"/>
      <c r="E675" s="74"/>
      <c r="F675" s="74"/>
      <c r="G675" s="74"/>
      <c r="H675" s="74"/>
      <c r="I675" s="74"/>
      <c r="J675" s="15"/>
    </row>
    <row r="676">
      <c r="A676" s="15"/>
      <c r="B676" s="15"/>
      <c r="C676" s="15"/>
      <c r="D676" s="15"/>
      <c r="E676" s="74"/>
      <c r="F676" s="74"/>
      <c r="G676" s="74"/>
      <c r="H676" s="74"/>
      <c r="I676" s="74"/>
      <c r="J676" s="15"/>
    </row>
    <row r="677">
      <c r="A677" s="15"/>
      <c r="B677" s="15"/>
      <c r="C677" s="15"/>
      <c r="D677" s="15"/>
      <c r="E677" s="74"/>
      <c r="F677" s="74"/>
      <c r="G677" s="74"/>
      <c r="H677" s="74"/>
      <c r="I677" s="74"/>
      <c r="J677" s="15"/>
    </row>
    <row r="678">
      <c r="A678" s="15"/>
      <c r="B678" s="15"/>
      <c r="C678" s="15"/>
      <c r="D678" s="15"/>
      <c r="E678" s="74"/>
      <c r="F678" s="74"/>
      <c r="G678" s="74"/>
      <c r="H678" s="74"/>
      <c r="I678" s="74"/>
      <c r="J678" s="15"/>
    </row>
    <row r="679">
      <c r="A679" s="15"/>
      <c r="B679" s="15"/>
      <c r="C679" s="15"/>
      <c r="D679" s="15"/>
      <c r="E679" s="74"/>
      <c r="F679" s="74"/>
      <c r="G679" s="74"/>
      <c r="H679" s="74"/>
      <c r="I679" s="74"/>
      <c r="J679" s="15"/>
    </row>
    <row r="680">
      <c r="A680" s="15"/>
      <c r="B680" s="15"/>
      <c r="C680" s="15"/>
      <c r="D680" s="15"/>
      <c r="E680" s="74"/>
      <c r="F680" s="74"/>
      <c r="G680" s="74"/>
      <c r="H680" s="74"/>
      <c r="I680" s="74"/>
      <c r="J680" s="15"/>
    </row>
    <row r="681">
      <c r="A681" s="15"/>
      <c r="B681" s="15"/>
      <c r="C681" s="15"/>
      <c r="D681" s="15"/>
      <c r="E681" s="74"/>
      <c r="F681" s="74"/>
      <c r="G681" s="74"/>
      <c r="H681" s="74"/>
      <c r="I681" s="74"/>
      <c r="J681" s="15"/>
    </row>
    <row r="682">
      <c r="A682" s="15"/>
      <c r="B682" s="15"/>
      <c r="C682" s="15"/>
      <c r="D682" s="15"/>
      <c r="E682" s="74"/>
      <c r="F682" s="74"/>
      <c r="G682" s="74"/>
      <c r="H682" s="74"/>
      <c r="I682" s="74"/>
      <c r="J682" s="15"/>
    </row>
    <row r="683">
      <c r="A683" s="15"/>
      <c r="B683" s="15"/>
      <c r="C683" s="15"/>
      <c r="D683" s="15"/>
      <c r="E683" s="74"/>
      <c r="F683" s="74"/>
      <c r="G683" s="74"/>
      <c r="H683" s="74"/>
      <c r="I683" s="74"/>
      <c r="J683" s="15"/>
    </row>
    <row r="684">
      <c r="A684" s="15"/>
      <c r="B684" s="15"/>
      <c r="C684" s="15"/>
      <c r="D684" s="15"/>
      <c r="E684" s="74"/>
      <c r="F684" s="74"/>
      <c r="G684" s="74"/>
      <c r="H684" s="74"/>
      <c r="I684" s="74"/>
      <c r="J684" s="15"/>
    </row>
    <row r="685">
      <c r="A685" s="15"/>
      <c r="B685" s="15"/>
      <c r="C685" s="15"/>
      <c r="D685" s="15"/>
      <c r="E685" s="74"/>
      <c r="F685" s="74"/>
      <c r="G685" s="74"/>
      <c r="H685" s="74"/>
      <c r="I685" s="74"/>
      <c r="J685" s="15"/>
    </row>
    <row r="686">
      <c r="A686" s="15"/>
      <c r="B686" s="15"/>
      <c r="C686" s="15"/>
      <c r="D686" s="15"/>
      <c r="E686" s="74"/>
      <c r="F686" s="74"/>
      <c r="G686" s="74"/>
      <c r="H686" s="74"/>
      <c r="I686" s="74"/>
      <c r="J686" s="15"/>
    </row>
    <row r="687">
      <c r="A687" s="15"/>
      <c r="B687" s="15"/>
      <c r="C687" s="15"/>
      <c r="D687" s="15"/>
      <c r="E687" s="74"/>
      <c r="F687" s="74"/>
      <c r="G687" s="74"/>
      <c r="H687" s="74"/>
      <c r="I687" s="74"/>
      <c r="J687" s="15"/>
    </row>
    <row r="688">
      <c r="A688" s="15"/>
      <c r="B688" s="15"/>
      <c r="C688" s="15"/>
      <c r="D688" s="15"/>
      <c r="E688" s="74"/>
      <c r="F688" s="74"/>
      <c r="G688" s="74"/>
      <c r="H688" s="74"/>
      <c r="I688" s="74"/>
      <c r="J688" s="15"/>
    </row>
    <row r="689">
      <c r="A689" s="15"/>
      <c r="B689" s="15"/>
      <c r="C689" s="15"/>
      <c r="D689" s="15"/>
      <c r="E689" s="74"/>
      <c r="F689" s="74"/>
      <c r="G689" s="74"/>
      <c r="H689" s="74"/>
      <c r="I689" s="74"/>
      <c r="J689" s="15"/>
    </row>
    <row r="690">
      <c r="A690" s="15"/>
      <c r="B690" s="15"/>
      <c r="C690" s="15"/>
      <c r="D690" s="15"/>
      <c r="E690" s="74"/>
      <c r="F690" s="74"/>
      <c r="G690" s="74"/>
      <c r="H690" s="74"/>
      <c r="I690" s="74"/>
      <c r="J690" s="15"/>
    </row>
    <row r="691">
      <c r="A691" s="15"/>
      <c r="B691" s="15"/>
      <c r="C691" s="15"/>
      <c r="D691" s="15"/>
      <c r="E691" s="74"/>
      <c r="F691" s="74"/>
      <c r="G691" s="74"/>
      <c r="H691" s="74"/>
      <c r="I691" s="74"/>
      <c r="J691" s="15"/>
    </row>
    <row r="692">
      <c r="A692" s="15"/>
      <c r="B692" s="15"/>
      <c r="C692" s="15"/>
      <c r="D692" s="15"/>
      <c r="E692" s="74"/>
      <c r="F692" s="74"/>
      <c r="G692" s="74"/>
      <c r="H692" s="74"/>
      <c r="I692" s="74"/>
      <c r="J692" s="15"/>
    </row>
    <row r="693">
      <c r="A693" s="15"/>
      <c r="B693" s="15"/>
      <c r="C693" s="15"/>
      <c r="D693" s="15"/>
      <c r="E693" s="74"/>
      <c r="F693" s="74"/>
      <c r="G693" s="74"/>
      <c r="H693" s="74"/>
      <c r="I693" s="74"/>
      <c r="J693" s="15"/>
    </row>
    <row r="694">
      <c r="A694" s="15"/>
      <c r="B694" s="15"/>
      <c r="C694" s="15"/>
      <c r="D694" s="15"/>
      <c r="E694" s="74"/>
      <c r="F694" s="74"/>
      <c r="G694" s="74"/>
      <c r="H694" s="74"/>
      <c r="I694" s="74"/>
      <c r="J694" s="15"/>
    </row>
    <row r="695">
      <c r="A695" s="15"/>
      <c r="B695" s="15"/>
      <c r="C695" s="15"/>
      <c r="D695" s="15"/>
      <c r="E695" s="74"/>
      <c r="F695" s="74"/>
      <c r="G695" s="74"/>
      <c r="H695" s="74"/>
      <c r="I695" s="74"/>
      <c r="J695" s="15"/>
    </row>
    <row r="696">
      <c r="A696" s="15"/>
      <c r="B696" s="15"/>
      <c r="C696" s="15"/>
      <c r="D696" s="15"/>
      <c r="E696" s="74"/>
      <c r="F696" s="74"/>
      <c r="G696" s="74"/>
      <c r="H696" s="74"/>
      <c r="I696" s="74"/>
      <c r="J696" s="15"/>
    </row>
    <row r="697">
      <c r="A697" s="15"/>
      <c r="B697" s="15"/>
      <c r="C697" s="15"/>
      <c r="D697" s="15"/>
      <c r="E697" s="74"/>
      <c r="F697" s="74"/>
      <c r="G697" s="74"/>
      <c r="H697" s="74"/>
      <c r="I697" s="74"/>
      <c r="J697" s="15"/>
    </row>
    <row r="698">
      <c r="A698" s="15"/>
      <c r="B698" s="15"/>
      <c r="C698" s="15"/>
      <c r="D698" s="15"/>
      <c r="E698" s="74"/>
      <c r="F698" s="74"/>
      <c r="G698" s="74"/>
      <c r="H698" s="74"/>
      <c r="I698" s="74"/>
      <c r="J698" s="15"/>
    </row>
    <row r="699">
      <c r="A699" s="15"/>
      <c r="B699" s="15"/>
      <c r="C699" s="15"/>
      <c r="D699" s="15"/>
      <c r="E699" s="74"/>
      <c r="F699" s="74"/>
      <c r="G699" s="74"/>
      <c r="H699" s="74"/>
      <c r="I699" s="74"/>
      <c r="J699" s="15"/>
    </row>
    <row r="700">
      <c r="A700" s="15"/>
      <c r="B700" s="15"/>
      <c r="C700" s="15"/>
      <c r="D700" s="15"/>
      <c r="E700" s="74"/>
      <c r="F700" s="74"/>
      <c r="G700" s="74"/>
      <c r="H700" s="74"/>
      <c r="I700" s="74"/>
      <c r="J700" s="15"/>
    </row>
    <row r="701">
      <c r="A701" s="15"/>
      <c r="B701" s="15"/>
      <c r="C701" s="15"/>
      <c r="D701" s="15"/>
      <c r="E701" s="74"/>
      <c r="F701" s="74"/>
      <c r="G701" s="74"/>
      <c r="H701" s="74"/>
      <c r="I701" s="74"/>
      <c r="J701" s="15"/>
    </row>
    <row r="702">
      <c r="A702" s="15"/>
      <c r="B702" s="15"/>
      <c r="C702" s="15"/>
      <c r="D702" s="15"/>
      <c r="E702" s="74"/>
      <c r="F702" s="74"/>
      <c r="G702" s="74"/>
      <c r="H702" s="74"/>
      <c r="I702" s="74"/>
      <c r="J702" s="15"/>
    </row>
    <row r="703">
      <c r="A703" s="15"/>
      <c r="B703" s="15"/>
      <c r="C703" s="15"/>
      <c r="D703" s="15"/>
      <c r="E703" s="74"/>
      <c r="F703" s="74"/>
      <c r="G703" s="74"/>
      <c r="H703" s="74"/>
      <c r="I703" s="74"/>
      <c r="J703" s="15"/>
    </row>
    <row r="704">
      <c r="A704" s="15"/>
      <c r="B704" s="15"/>
      <c r="C704" s="15"/>
      <c r="D704" s="15"/>
      <c r="E704" s="74"/>
      <c r="F704" s="74"/>
      <c r="G704" s="74"/>
      <c r="H704" s="74"/>
      <c r="I704" s="74"/>
      <c r="J704" s="15"/>
    </row>
    <row r="705">
      <c r="A705" s="15"/>
      <c r="B705" s="15"/>
      <c r="C705" s="15"/>
      <c r="D705" s="15"/>
      <c r="E705" s="74"/>
      <c r="F705" s="74"/>
      <c r="G705" s="74"/>
      <c r="H705" s="74"/>
      <c r="I705" s="74"/>
      <c r="J705" s="15"/>
    </row>
    <row r="706">
      <c r="A706" s="15"/>
      <c r="B706" s="15"/>
      <c r="C706" s="15"/>
      <c r="D706" s="15"/>
      <c r="E706" s="74"/>
      <c r="F706" s="74"/>
      <c r="G706" s="74"/>
      <c r="H706" s="74"/>
      <c r="I706" s="74"/>
      <c r="J706" s="15"/>
    </row>
    <row r="707">
      <c r="A707" s="15"/>
      <c r="B707" s="15"/>
      <c r="C707" s="15"/>
      <c r="D707" s="15"/>
      <c r="E707" s="74"/>
      <c r="F707" s="74"/>
      <c r="G707" s="74"/>
      <c r="H707" s="74"/>
      <c r="I707" s="74"/>
      <c r="J707" s="15"/>
    </row>
    <row r="708">
      <c r="A708" s="15"/>
      <c r="B708" s="15"/>
      <c r="C708" s="15"/>
      <c r="D708" s="15"/>
      <c r="E708" s="74"/>
      <c r="F708" s="74"/>
      <c r="G708" s="74"/>
      <c r="H708" s="74"/>
      <c r="I708" s="74"/>
      <c r="J708" s="15"/>
    </row>
    <row r="709">
      <c r="A709" s="15"/>
      <c r="B709" s="15"/>
      <c r="C709" s="15"/>
      <c r="D709" s="15"/>
      <c r="E709" s="74"/>
      <c r="F709" s="74"/>
      <c r="G709" s="74"/>
      <c r="H709" s="74"/>
      <c r="I709" s="74"/>
      <c r="J709" s="15"/>
    </row>
    <row r="710">
      <c r="A710" s="15"/>
      <c r="B710" s="15"/>
      <c r="C710" s="15"/>
      <c r="D710" s="15"/>
      <c r="E710" s="74"/>
      <c r="F710" s="74"/>
      <c r="G710" s="74"/>
      <c r="H710" s="74"/>
      <c r="I710" s="74"/>
      <c r="J710" s="15"/>
    </row>
    <row r="711">
      <c r="A711" s="15"/>
      <c r="B711" s="15"/>
      <c r="C711" s="15"/>
      <c r="D711" s="15"/>
      <c r="E711" s="74"/>
      <c r="F711" s="74"/>
      <c r="G711" s="74"/>
      <c r="H711" s="74"/>
      <c r="I711" s="74"/>
      <c r="J711" s="15"/>
    </row>
    <row r="712">
      <c r="A712" s="15"/>
      <c r="B712" s="15"/>
      <c r="C712" s="15"/>
      <c r="D712" s="15"/>
      <c r="E712" s="74"/>
      <c r="F712" s="74"/>
      <c r="G712" s="74"/>
      <c r="H712" s="74"/>
      <c r="I712" s="74"/>
      <c r="J712" s="15"/>
    </row>
    <row r="713">
      <c r="A713" s="15"/>
      <c r="B713" s="15"/>
      <c r="C713" s="15"/>
      <c r="D713" s="15"/>
      <c r="E713" s="74"/>
      <c r="F713" s="74"/>
      <c r="G713" s="74"/>
      <c r="H713" s="74"/>
      <c r="I713" s="74"/>
      <c r="J713" s="15"/>
    </row>
    <row r="714">
      <c r="A714" s="15"/>
      <c r="B714" s="15"/>
      <c r="C714" s="15"/>
      <c r="D714" s="15"/>
      <c r="E714" s="74"/>
      <c r="F714" s="74"/>
      <c r="G714" s="74"/>
      <c r="H714" s="74"/>
      <c r="I714" s="74"/>
      <c r="J714" s="15"/>
    </row>
    <row r="715">
      <c r="A715" s="15"/>
      <c r="B715" s="15"/>
      <c r="C715" s="15"/>
      <c r="D715" s="15"/>
      <c r="E715" s="74"/>
      <c r="F715" s="74"/>
      <c r="G715" s="74"/>
      <c r="H715" s="74"/>
      <c r="I715" s="74"/>
      <c r="J715" s="15"/>
    </row>
    <row r="716">
      <c r="A716" s="15"/>
      <c r="B716" s="15"/>
      <c r="C716" s="15"/>
      <c r="D716" s="15"/>
      <c r="E716" s="74"/>
      <c r="F716" s="74"/>
      <c r="G716" s="74"/>
      <c r="H716" s="74"/>
      <c r="I716" s="74"/>
      <c r="J716" s="15"/>
    </row>
    <row r="717">
      <c r="A717" s="15"/>
      <c r="B717" s="15"/>
      <c r="C717" s="15"/>
      <c r="D717" s="15"/>
      <c r="E717" s="74"/>
      <c r="F717" s="74"/>
      <c r="G717" s="74"/>
      <c r="H717" s="74"/>
      <c r="I717" s="74"/>
      <c r="J717" s="15"/>
    </row>
    <row r="718">
      <c r="A718" s="15"/>
      <c r="B718" s="15"/>
      <c r="C718" s="15"/>
      <c r="D718" s="15"/>
      <c r="E718" s="74"/>
      <c r="F718" s="74"/>
      <c r="G718" s="74"/>
      <c r="H718" s="74"/>
      <c r="I718" s="74"/>
      <c r="J718" s="15"/>
    </row>
    <row r="719">
      <c r="A719" s="15"/>
      <c r="B719" s="15"/>
      <c r="C719" s="15"/>
      <c r="D719" s="15"/>
      <c r="E719" s="74"/>
      <c r="F719" s="74"/>
      <c r="G719" s="74"/>
      <c r="H719" s="74"/>
      <c r="I719" s="74"/>
      <c r="J719" s="15"/>
    </row>
    <row r="720">
      <c r="A720" s="15"/>
      <c r="B720" s="15"/>
      <c r="C720" s="15"/>
      <c r="D720" s="15"/>
      <c r="E720" s="74"/>
      <c r="F720" s="74"/>
      <c r="G720" s="74"/>
      <c r="H720" s="74"/>
      <c r="I720" s="74"/>
      <c r="J720" s="15"/>
    </row>
    <row r="721">
      <c r="A721" s="15"/>
      <c r="B721" s="15"/>
      <c r="C721" s="15"/>
      <c r="D721" s="15"/>
      <c r="E721" s="74"/>
      <c r="F721" s="74"/>
      <c r="G721" s="74"/>
      <c r="H721" s="74"/>
      <c r="I721" s="74"/>
      <c r="J721" s="15"/>
    </row>
    <row r="722">
      <c r="A722" s="15"/>
      <c r="B722" s="15"/>
      <c r="C722" s="15"/>
      <c r="D722" s="15"/>
      <c r="E722" s="74"/>
      <c r="F722" s="74"/>
      <c r="G722" s="74"/>
      <c r="H722" s="74"/>
      <c r="I722" s="74"/>
      <c r="J722" s="15"/>
    </row>
    <row r="723">
      <c r="A723" s="15"/>
      <c r="B723" s="15"/>
      <c r="C723" s="15"/>
      <c r="D723" s="15"/>
      <c r="E723" s="74"/>
      <c r="F723" s="74"/>
      <c r="G723" s="74"/>
      <c r="H723" s="74"/>
      <c r="I723" s="74"/>
      <c r="J723" s="15"/>
    </row>
    <row r="724">
      <c r="A724" s="15"/>
      <c r="B724" s="15"/>
      <c r="C724" s="15"/>
      <c r="D724" s="15"/>
      <c r="E724" s="74"/>
      <c r="F724" s="74"/>
      <c r="G724" s="74"/>
      <c r="H724" s="74"/>
      <c r="I724" s="74"/>
      <c r="J724" s="15"/>
    </row>
    <row r="725">
      <c r="A725" s="15"/>
      <c r="B725" s="15"/>
      <c r="C725" s="15"/>
      <c r="D725" s="15"/>
      <c r="E725" s="74"/>
      <c r="F725" s="74"/>
      <c r="G725" s="74"/>
      <c r="H725" s="74"/>
      <c r="I725" s="74"/>
      <c r="J725" s="15"/>
    </row>
    <row r="726">
      <c r="A726" s="15"/>
      <c r="B726" s="15"/>
      <c r="C726" s="15"/>
      <c r="D726" s="15"/>
      <c r="E726" s="74"/>
      <c r="F726" s="74"/>
      <c r="G726" s="74"/>
      <c r="H726" s="74"/>
      <c r="I726" s="74"/>
      <c r="J726" s="15"/>
    </row>
    <row r="727">
      <c r="A727" s="15"/>
      <c r="B727" s="15"/>
      <c r="C727" s="15"/>
      <c r="D727" s="15"/>
      <c r="E727" s="74"/>
      <c r="F727" s="74"/>
      <c r="G727" s="74"/>
      <c r="H727" s="74"/>
      <c r="I727" s="74"/>
      <c r="J727" s="15"/>
    </row>
    <row r="728">
      <c r="A728" s="15"/>
      <c r="B728" s="15"/>
      <c r="C728" s="15"/>
      <c r="D728" s="15"/>
      <c r="E728" s="74"/>
      <c r="F728" s="74"/>
      <c r="G728" s="74"/>
      <c r="H728" s="74"/>
      <c r="I728" s="74"/>
      <c r="J728" s="15"/>
    </row>
    <row r="729">
      <c r="A729" s="15"/>
      <c r="B729" s="15"/>
      <c r="C729" s="15"/>
      <c r="D729" s="15"/>
      <c r="E729" s="74"/>
      <c r="F729" s="74"/>
      <c r="G729" s="74"/>
      <c r="H729" s="74"/>
      <c r="I729" s="74"/>
      <c r="J729" s="15"/>
    </row>
    <row r="730">
      <c r="A730" s="15"/>
      <c r="B730" s="15"/>
      <c r="C730" s="15"/>
      <c r="D730" s="15"/>
      <c r="E730" s="74"/>
      <c r="F730" s="74"/>
      <c r="G730" s="74"/>
      <c r="H730" s="74"/>
      <c r="I730" s="74"/>
      <c r="J730" s="15"/>
    </row>
    <row r="731">
      <c r="A731" s="15"/>
      <c r="B731" s="15"/>
      <c r="C731" s="15"/>
      <c r="D731" s="15"/>
      <c r="E731" s="74"/>
      <c r="F731" s="74"/>
      <c r="G731" s="74"/>
      <c r="H731" s="74"/>
      <c r="I731" s="74"/>
      <c r="J731" s="15"/>
    </row>
    <row r="732">
      <c r="A732" s="15"/>
      <c r="B732" s="15"/>
      <c r="C732" s="15"/>
      <c r="D732" s="15"/>
      <c r="E732" s="74"/>
      <c r="F732" s="74"/>
      <c r="G732" s="74"/>
      <c r="H732" s="74"/>
      <c r="I732" s="74"/>
      <c r="J732" s="15"/>
    </row>
    <row r="733">
      <c r="A733" s="15"/>
      <c r="B733" s="15"/>
      <c r="C733" s="15"/>
      <c r="D733" s="15"/>
      <c r="E733" s="74"/>
      <c r="F733" s="74"/>
      <c r="G733" s="74"/>
      <c r="H733" s="74"/>
      <c r="I733" s="74"/>
      <c r="J733" s="15"/>
    </row>
    <row r="734">
      <c r="A734" s="15"/>
      <c r="B734" s="15"/>
      <c r="C734" s="15"/>
      <c r="D734" s="15"/>
      <c r="E734" s="74"/>
      <c r="F734" s="74"/>
      <c r="G734" s="74"/>
      <c r="H734" s="74"/>
      <c r="I734" s="74"/>
      <c r="J734" s="15"/>
    </row>
    <row r="735">
      <c r="A735" s="15"/>
      <c r="B735" s="15"/>
      <c r="C735" s="15"/>
      <c r="D735" s="15"/>
      <c r="E735" s="74"/>
      <c r="F735" s="74"/>
      <c r="G735" s="74"/>
      <c r="H735" s="74"/>
      <c r="I735" s="74"/>
      <c r="J735" s="15"/>
    </row>
    <row r="736">
      <c r="A736" s="15"/>
      <c r="B736" s="15"/>
      <c r="C736" s="15"/>
      <c r="D736" s="15"/>
      <c r="E736" s="74"/>
      <c r="F736" s="74"/>
      <c r="G736" s="74"/>
      <c r="H736" s="74"/>
      <c r="I736" s="74"/>
      <c r="J736" s="15"/>
    </row>
    <row r="737">
      <c r="A737" s="15"/>
      <c r="B737" s="15"/>
      <c r="C737" s="15"/>
      <c r="D737" s="15"/>
      <c r="E737" s="74"/>
      <c r="F737" s="74"/>
      <c r="G737" s="74"/>
      <c r="H737" s="74"/>
      <c r="I737" s="74"/>
      <c r="J737" s="15"/>
    </row>
    <row r="738">
      <c r="A738" s="15"/>
      <c r="B738" s="15"/>
      <c r="C738" s="15"/>
      <c r="D738" s="15"/>
      <c r="E738" s="74"/>
      <c r="F738" s="74"/>
      <c r="G738" s="74"/>
      <c r="H738" s="74"/>
      <c r="I738" s="74"/>
      <c r="J738" s="15"/>
    </row>
    <row r="739">
      <c r="A739" s="15"/>
      <c r="B739" s="15"/>
      <c r="C739" s="15"/>
      <c r="D739" s="15"/>
      <c r="E739" s="74"/>
      <c r="F739" s="74"/>
      <c r="G739" s="74"/>
      <c r="H739" s="74"/>
      <c r="I739" s="74"/>
      <c r="J739" s="15"/>
    </row>
    <row r="740">
      <c r="A740" s="15"/>
      <c r="B740" s="15"/>
      <c r="C740" s="15"/>
      <c r="D740" s="15"/>
      <c r="E740" s="74"/>
      <c r="F740" s="74"/>
      <c r="G740" s="74"/>
      <c r="H740" s="74"/>
      <c r="I740" s="74"/>
      <c r="J740" s="15"/>
    </row>
    <row r="741">
      <c r="A741" s="15"/>
      <c r="B741" s="15"/>
      <c r="C741" s="15"/>
      <c r="D741" s="15"/>
      <c r="E741" s="74"/>
      <c r="F741" s="74"/>
      <c r="G741" s="74"/>
      <c r="H741" s="74"/>
      <c r="I741" s="74"/>
      <c r="J741" s="15"/>
    </row>
    <row r="742">
      <c r="A742" s="15"/>
      <c r="B742" s="15"/>
      <c r="C742" s="15"/>
      <c r="D742" s="15"/>
      <c r="E742" s="74"/>
      <c r="F742" s="74"/>
      <c r="G742" s="74"/>
      <c r="H742" s="74"/>
      <c r="I742" s="74"/>
      <c r="J742" s="15"/>
    </row>
    <row r="743">
      <c r="A743" s="15"/>
      <c r="B743" s="15"/>
      <c r="C743" s="15"/>
      <c r="D743" s="15"/>
      <c r="E743" s="74"/>
      <c r="F743" s="74"/>
      <c r="G743" s="74"/>
      <c r="H743" s="74"/>
      <c r="I743" s="74"/>
      <c r="J743" s="15"/>
    </row>
    <row r="744">
      <c r="A744" s="15"/>
      <c r="B744" s="15"/>
      <c r="C744" s="15"/>
      <c r="D744" s="15"/>
      <c r="E744" s="74"/>
      <c r="F744" s="74"/>
      <c r="G744" s="74"/>
      <c r="H744" s="74"/>
      <c r="I744" s="74"/>
      <c r="J744" s="15"/>
    </row>
    <row r="745">
      <c r="A745" s="15"/>
      <c r="B745" s="15"/>
      <c r="C745" s="15"/>
      <c r="D745" s="15"/>
      <c r="E745" s="74"/>
      <c r="F745" s="74"/>
      <c r="G745" s="74"/>
      <c r="H745" s="74"/>
      <c r="I745" s="74"/>
      <c r="J745" s="15"/>
    </row>
    <row r="746">
      <c r="A746" s="15"/>
      <c r="B746" s="15"/>
      <c r="C746" s="15"/>
      <c r="D746" s="15"/>
      <c r="E746" s="74"/>
      <c r="F746" s="74"/>
      <c r="G746" s="74"/>
      <c r="H746" s="74"/>
      <c r="I746" s="74"/>
      <c r="J746" s="15"/>
    </row>
    <row r="747">
      <c r="A747" s="15"/>
      <c r="B747" s="15"/>
      <c r="C747" s="15"/>
      <c r="D747" s="15"/>
      <c r="E747" s="74"/>
      <c r="F747" s="74"/>
      <c r="G747" s="74"/>
      <c r="H747" s="74"/>
      <c r="I747" s="74"/>
      <c r="J747" s="15"/>
    </row>
    <row r="748">
      <c r="A748" s="15"/>
      <c r="B748" s="15"/>
      <c r="C748" s="15"/>
      <c r="D748" s="15"/>
      <c r="E748" s="74"/>
      <c r="F748" s="74"/>
      <c r="G748" s="74"/>
      <c r="H748" s="74"/>
      <c r="I748" s="74"/>
      <c r="J748" s="15"/>
    </row>
    <row r="749">
      <c r="A749" s="15"/>
      <c r="B749" s="15"/>
      <c r="C749" s="15"/>
      <c r="D749" s="15"/>
      <c r="E749" s="74"/>
      <c r="F749" s="74"/>
      <c r="G749" s="74"/>
      <c r="H749" s="74"/>
      <c r="I749" s="74"/>
      <c r="J749" s="15"/>
    </row>
    <row r="750">
      <c r="A750" s="15"/>
      <c r="B750" s="15"/>
      <c r="C750" s="15"/>
      <c r="D750" s="15"/>
      <c r="E750" s="74"/>
      <c r="F750" s="74"/>
      <c r="G750" s="74"/>
      <c r="H750" s="74"/>
      <c r="I750" s="74"/>
      <c r="J750" s="15"/>
    </row>
    <row r="751">
      <c r="A751" s="15"/>
      <c r="B751" s="15"/>
      <c r="C751" s="15"/>
      <c r="D751" s="15"/>
      <c r="E751" s="74"/>
      <c r="F751" s="74"/>
      <c r="G751" s="74"/>
      <c r="H751" s="74"/>
      <c r="I751" s="74"/>
      <c r="J751" s="15"/>
    </row>
    <row r="752">
      <c r="A752" s="15"/>
      <c r="B752" s="15"/>
      <c r="C752" s="15"/>
      <c r="D752" s="15"/>
      <c r="E752" s="74"/>
      <c r="F752" s="74"/>
      <c r="G752" s="74"/>
      <c r="H752" s="74"/>
      <c r="I752" s="74"/>
      <c r="J752" s="15"/>
    </row>
    <row r="753">
      <c r="A753" s="15"/>
      <c r="B753" s="15"/>
      <c r="C753" s="15"/>
      <c r="D753" s="15"/>
      <c r="E753" s="74"/>
      <c r="F753" s="74"/>
      <c r="G753" s="74"/>
      <c r="H753" s="74"/>
      <c r="I753" s="74"/>
      <c r="J753" s="15"/>
    </row>
    <row r="754">
      <c r="A754" s="15"/>
      <c r="B754" s="15"/>
      <c r="C754" s="15"/>
      <c r="D754" s="15"/>
      <c r="E754" s="74"/>
      <c r="F754" s="74"/>
      <c r="G754" s="74"/>
      <c r="H754" s="74"/>
      <c r="I754" s="74"/>
      <c r="J754" s="15"/>
    </row>
    <row r="755">
      <c r="A755" s="15"/>
      <c r="B755" s="15"/>
      <c r="C755" s="15"/>
      <c r="D755" s="15"/>
      <c r="E755" s="74"/>
      <c r="F755" s="74"/>
      <c r="G755" s="74"/>
      <c r="H755" s="74"/>
      <c r="I755" s="74"/>
      <c r="J755" s="15"/>
    </row>
    <row r="756">
      <c r="A756" s="15"/>
      <c r="B756" s="15"/>
      <c r="C756" s="15"/>
      <c r="D756" s="15"/>
      <c r="E756" s="74"/>
      <c r="F756" s="74"/>
      <c r="G756" s="74"/>
      <c r="H756" s="74"/>
      <c r="I756" s="74"/>
      <c r="J756" s="15"/>
    </row>
    <row r="757">
      <c r="A757" s="15"/>
      <c r="B757" s="15"/>
      <c r="C757" s="15"/>
      <c r="D757" s="15"/>
      <c r="E757" s="74"/>
      <c r="F757" s="74"/>
      <c r="G757" s="74"/>
      <c r="H757" s="74"/>
      <c r="I757" s="74"/>
      <c r="J757" s="15"/>
    </row>
    <row r="758">
      <c r="A758" s="15"/>
      <c r="B758" s="15"/>
      <c r="C758" s="15"/>
      <c r="D758" s="15"/>
      <c r="E758" s="74"/>
      <c r="F758" s="74"/>
      <c r="G758" s="74"/>
      <c r="H758" s="74"/>
      <c r="I758" s="74"/>
      <c r="J758" s="15"/>
    </row>
    <row r="759">
      <c r="A759" s="15"/>
      <c r="B759" s="15"/>
      <c r="C759" s="15"/>
      <c r="D759" s="15"/>
      <c r="E759" s="74"/>
      <c r="F759" s="74"/>
      <c r="G759" s="74"/>
      <c r="H759" s="74"/>
      <c r="I759" s="74"/>
      <c r="J759" s="15"/>
    </row>
    <row r="760">
      <c r="A760" s="15"/>
      <c r="B760" s="15"/>
      <c r="C760" s="15"/>
      <c r="D760" s="15"/>
      <c r="E760" s="74"/>
      <c r="F760" s="74"/>
      <c r="G760" s="74"/>
      <c r="H760" s="74"/>
      <c r="I760" s="74"/>
      <c r="J760" s="15"/>
    </row>
    <row r="761">
      <c r="A761" s="15"/>
      <c r="B761" s="15"/>
      <c r="C761" s="15"/>
      <c r="D761" s="15"/>
      <c r="E761" s="74"/>
      <c r="F761" s="74"/>
      <c r="G761" s="74"/>
      <c r="H761" s="74"/>
      <c r="I761" s="74"/>
      <c r="J761" s="15"/>
    </row>
    <row r="762">
      <c r="A762" s="15"/>
      <c r="B762" s="15"/>
      <c r="C762" s="15"/>
      <c r="D762" s="15"/>
      <c r="E762" s="74"/>
      <c r="F762" s="74"/>
      <c r="G762" s="74"/>
      <c r="H762" s="74"/>
      <c r="I762" s="74"/>
      <c r="J762" s="15"/>
    </row>
    <row r="763">
      <c r="A763" s="15"/>
      <c r="B763" s="15"/>
      <c r="C763" s="15"/>
      <c r="D763" s="15"/>
      <c r="E763" s="74"/>
      <c r="F763" s="74"/>
      <c r="G763" s="74"/>
      <c r="H763" s="74"/>
      <c r="I763" s="74"/>
      <c r="J763" s="15"/>
    </row>
    <row r="764">
      <c r="A764" s="15"/>
      <c r="B764" s="15"/>
      <c r="C764" s="15"/>
      <c r="D764" s="15"/>
      <c r="E764" s="74"/>
      <c r="F764" s="74"/>
      <c r="G764" s="74"/>
      <c r="H764" s="74"/>
      <c r="I764" s="74"/>
      <c r="J764" s="15"/>
    </row>
    <row r="765">
      <c r="A765" s="15"/>
      <c r="B765" s="15"/>
      <c r="C765" s="15"/>
      <c r="D765" s="15"/>
      <c r="E765" s="74"/>
      <c r="F765" s="74"/>
      <c r="G765" s="74"/>
      <c r="H765" s="74"/>
      <c r="I765" s="74"/>
      <c r="J765" s="15"/>
    </row>
    <row r="766">
      <c r="A766" s="15"/>
      <c r="B766" s="15"/>
      <c r="C766" s="15"/>
      <c r="D766" s="15"/>
      <c r="E766" s="74"/>
      <c r="F766" s="74"/>
      <c r="G766" s="74"/>
      <c r="H766" s="74"/>
      <c r="I766" s="74"/>
      <c r="J766" s="15"/>
    </row>
    <row r="767">
      <c r="A767" s="15"/>
      <c r="B767" s="15"/>
      <c r="C767" s="15"/>
      <c r="D767" s="15"/>
      <c r="E767" s="74"/>
      <c r="F767" s="74"/>
      <c r="G767" s="74"/>
      <c r="H767" s="74"/>
      <c r="I767" s="74"/>
      <c r="J767" s="15"/>
    </row>
    <row r="768">
      <c r="A768" s="15"/>
      <c r="B768" s="15"/>
      <c r="C768" s="15"/>
      <c r="D768" s="15"/>
      <c r="E768" s="74"/>
      <c r="F768" s="74"/>
      <c r="G768" s="74"/>
      <c r="H768" s="74"/>
      <c r="I768" s="74"/>
      <c r="J768" s="15"/>
    </row>
    <row r="769">
      <c r="A769" s="15"/>
      <c r="B769" s="15"/>
      <c r="C769" s="15"/>
      <c r="D769" s="15"/>
      <c r="E769" s="74"/>
      <c r="F769" s="74"/>
      <c r="G769" s="74"/>
      <c r="H769" s="74"/>
      <c r="I769" s="74"/>
      <c r="J769" s="15"/>
    </row>
    <row r="770">
      <c r="A770" s="15"/>
      <c r="B770" s="15"/>
      <c r="C770" s="15"/>
      <c r="D770" s="15"/>
      <c r="E770" s="74"/>
      <c r="F770" s="74"/>
      <c r="G770" s="74"/>
      <c r="H770" s="74"/>
      <c r="I770" s="74"/>
      <c r="J770" s="15"/>
    </row>
    <row r="771">
      <c r="A771" s="15"/>
      <c r="B771" s="15"/>
      <c r="C771" s="15"/>
      <c r="D771" s="15"/>
      <c r="E771" s="74"/>
      <c r="F771" s="74"/>
      <c r="G771" s="74"/>
      <c r="H771" s="74"/>
      <c r="I771" s="74"/>
      <c r="J771" s="15"/>
    </row>
    <row r="772">
      <c r="A772" s="15"/>
      <c r="B772" s="15"/>
      <c r="C772" s="15"/>
      <c r="D772" s="15"/>
      <c r="E772" s="74"/>
      <c r="F772" s="74"/>
      <c r="G772" s="74"/>
      <c r="H772" s="74"/>
      <c r="I772" s="74"/>
      <c r="J772" s="15"/>
    </row>
    <row r="773">
      <c r="A773" s="15"/>
      <c r="B773" s="15"/>
      <c r="C773" s="15"/>
      <c r="D773" s="15"/>
      <c r="E773" s="74"/>
      <c r="F773" s="74"/>
      <c r="G773" s="74"/>
      <c r="H773" s="74"/>
      <c r="I773" s="74"/>
      <c r="J773" s="15"/>
    </row>
    <row r="774">
      <c r="A774" s="15"/>
      <c r="B774" s="15"/>
      <c r="C774" s="15"/>
      <c r="D774" s="15"/>
      <c r="E774" s="74"/>
      <c r="F774" s="74"/>
      <c r="G774" s="74"/>
      <c r="H774" s="74"/>
      <c r="I774" s="74"/>
      <c r="J774" s="15"/>
    </row>
    <row r="775">
      <c r="A775" s="15"/>
      <c r="B775" s="15"/>
      <c r="C775" s="15"/>
      <c r="D775" s="15"/>
      <c r="E775" s="74"/>
      <c r="F775" s="74"/>
      <c r="G775" s="74"/>
      <c r="H775" s="74"/>
      <c r="I775" s="74"/>
      <c r="J775" s="15"/>
    </row>
    <row r="776">
      <c r="A776" s="15"/>
      <c r="B776" s="15"/>
      <c r="C776" s="15"/>
      <c r="D776" s="15"/>
      <c r="E776" s="74"/>
      <c r="F776" s="74"/>
      <c r="G776" s="74"/>
      <c r="H776" s="74"/>
      <c r="I776" s="74"/>
      <c r="J776" s="15"/>
    </row>
    <row r="777">
      <c r="A777" s="15"/>
      <c r="B777" s="15"/>
      <c r="C777" s="15"/>
      <c r="D777" s="15"/>
      <c r="E777" s="74"/>
      <c r="F777" s="74"/>
      <c r="G777" s="74"/>
      <c r="H777" s="74"/>
      <c r="I777" s="74"/>
      <c r="J777" s="15"/>
    </row>
    <row r="778">
      <c r="A778" s="15"/>
      <c r="B778" s="15"/>
      <c r="C778" s="15"/>
      <c r="D778" s="15"/>
      <c r="E778" s="74"/>
      <c r="F778" s="74"/>
      <c r="G778" s="74"/>
      <c r="H778" s="74"/>
      <c r="I778" s="74"/>
      <c r="J778" s="15"/>
    </row>
    <row r="779">
      <c r="A779" s="15"/>
      <c r="B779" s="15"/>
      <c r="C779" s="15"/>
      <c r="D779" s="15"/>
      <c r="E779" s="74"/>
      <c r="F779" s="74"/>
      <c r="G779" s="74"/>
      <c r="H779" s="74"/>
      <c r="I779" s="74"/>
      <c r="J779" s="15"/>
    </row>
    <row r="780">
      <c r="A780" s="15"/>
      <c r="B780" s="15"/>
      <c r="C780" s="15"/>
      <c r="D780" s="15"/>
      <c r="E780" s="74"/>
      <c r="F780" s="74"/>
      <c r="G780" s="74"/>
      <c r="H780" s="74"/>
      <c r="I780" s="74"/>
      <c r="J780" s="15"/>
    </row>
    <row r="781">
      <c r="A781" s="15"/>
      <c r="B781" s="15"/>
      <c r="C781" s="15"/>
      <c r="D781" s="15"/>
      <c r="E781" s="74"/>
      <c r="F781" s="74"/>
      <c r="G781" s="74"/>
      <c r="H781" s="74"/>
      <c r="I781" s="74"/>
      <c r="J781" s="15"/>
    </row>
    <row r="782">
      <c r="A782" s="15"/>
      <c r="B782" s="15"/>
      <c r="C782" s="15"/>
      <c r="D782" s="15"/>
      <c r="E782" s="74"/>
      <c r="F782" s="74"/>
      <c r="G782" s="74"/>
      <c r="H782" s="74"/>
      <c r="I782" s="74"/>
      <c r="J782" s="15"/>
    </row>
    <row r="783">
      <c r="A783" s="15"/>
      <c r="B783" s="15"/>
      <c r="C783" s="15"/>
      <c r="D783" s="15"/>
      <c r="E783" s="74"/>
      <c r="F783" s="74"/>
      <c r="G783" s="74"/>
      <c r="H783" s="74"/>
      <c r="I783" s="74"/>
      <c r="J783" s="15"/>
    </row>
    <row r="784">
      <c r="A784" s="15"/>
      <c r="B784" s="15"/>
      <c r="C784" s="15"/>
      <c r="D784" s="15"/>
      <c r="E784" s="74"/>
      <c r="F784" s="74"/>
      <c r="G784" s="74"/>
      <c r="H784" s="74"/>
      <c r="I784" s="74"/>
      <c r="J784" s="15"/>
    </row>
    <row r="785">
      <c r="A785" s="15"/>
      <c r="B785" s="15"/>
      <c r="C785" s="15"/>
      <c r="D785" s="15"/>
      <c r="E785" s="74"/>
      <c r="F785" s="74"/>
      <c r="G785" s="74"/>
      <c r="H785" s="74"/>
      <c r="I785" s="74"/>
      <c r="J785" s="15"/>
    </row>
    <row r="786">
      <c r="A786" s="15"/>
      <c r="B786" s="15"/>
      <c r="C786" s="15"/>
      <c r="D786" s="15"/>
      <c r="E786" s="74"/>
      <c r="F786" s="74"/>
      <c r="G786" s="74"/>
      <c r="H786" s="74"/>
      <c r="I786" s="74"/>
      <c r="J786" s="15"/>
    </row>
    <row r="787">
      <c r="A787" s="15"/>
      <c r="B787" s="15"/>
      <c r="C787" s="15"/>
      <c r="D787" s="15"/>
      <c r="E787" s="74"/>
      <c r="F787" s="74"/>
      <c r="G787" s="74"/>
      <c r="H787" s="74"/>
      <c r="I787" s="74"/>
      <c r="J787" s="15"/>
    </row>
    <row r="788">
      <c r="A788" s="15"/>
      <c r="B788" s="15"/>
      <c r="C788" s="15"/>
      <c r="D788" s="15"/>
      <c r="E788" s="74"/>
      <c r="F788" s="74"/>
      <c r="G788" s="74"/>
      <c r="H788" s="74"/>
      <c r="I788" s="74"/>
      <c r="J788" s="15"/>
    </row>
    <row r="789">
      <c r="A789" s="15"/>
      <c r="B789" s="15"/>
      <c r="C789" s="15"/>
      <c r="D789" s="15"/>
      <c r="E789" s="74"/>
      <c r="F789" s="74"/>
      <c r="G789" s="74"/>
      <c r="H789" s="74"/>
      <c r="I789" s="74"/>
      <c r="J789" s="15"/>
    </row>
    <row r="790">
      <c r="A790" s="15"/>
      <c r="B790" s="15"/>
      <c r="C790" s="15"/>
      <c r="D790" s="15"/>
      <c r="E790" s="74"/>
      <c r="F790" s="74"/>
      <c r="G790" s="74"/>
      <c r="H790" s="74"/>
      <c r="I790" s="74"/>
      <c r="J790" s="15"/>
    </row>
    <row r="791">
      <c r="A791" s="15"/>
      <c r="B791" s="15"/>
      <c r="C791" s="15"/>
      <c r="D791" s="15"/>
      <c r="E791" s="74"/>
      <c r="F791" s="74"/>
      <c r="G791" s="74"/>
      <c r="H791" s="74"/>
      <c r="I791" s="74"/>
      <c r="J791" s="15"/>
    </row>
    <row r="792">
      <c r="A792" s="15"/>
      <c r="B792" s="15"/>
      <c r="C792" s="15"/>
      <c r="D792" s="15"/>
      <c r="E792" s="74"/>
      <c r="F792" s="74"/>
      <c r="G792" s="74"/>
      <c r="H792" s="74"/>
      <c r="I792" s="74"/>
      <c r="J792" s="15"/>
    </row>
    <row r="793">
      <c r="A793" s="15"/>
      <c r="B793" s="15"/>
      <c r="C793" s="15"/>
      <c r="D793" s="15"/>
      <c r="E793" s="74"/>
      <c r="F793" s="74"/>
      <c r="G793" s="74"/>
      <c r="H793" s="74"/>
      <c r="I793" s="74"/>
      <c r="J793" s="15"/>
    </row>
    <row r="794">
      <c r="A794" s="15"/>
      <c r="B794" s="15"/>
      <c r="C794" s="15"/>
      <c r="D794" s="15"/>
      <c r="E794" s="74"/>
      <c r="F794" s="74"/>
      <c r="G794" s="74"/>
      <c r="H794" s="74"/>
      <c r="I794" s="74"/>
      <c r="J794" s="15"/>
    </row>
    <row r="795">
      <c r="A795" s="15"/>
      <c r="B795" s="15"/>
      <c r="C795" s="15"/>
      <c r="D795" s="15"/>
      <c r="E795" s="74"/>
      <c r="F795" s="74"/>
      <c r="G795" s="74"/>
      <c r="H795" s="74"/>
      <c r="I795" s="74"/>
      <c r="J795" s="15"/>
    </row>
    <row r="796">
      <c r="A796" s="15"/>
      <c r="B796" s="15"/>
      <c r="C796" s="15"/>
      <c r="D796" s="15"/>
      <c r="E796" s="74"/>
      <c r="F796" s="74"/>
      <c r="G796" s="74"/>
      <c r="H796" s="74"/>
      <c r="I796" s="74"/>
      <c r="J796" s="15"/>
    </row>
    <row r="797">
      <c r="A797" s="15"/>
      <c r="B797" s="15"/>
      <c r="C797" s="15"/>
      <c r="D797" s="15"/>
      <c r="E797" s="74"/>
      <c r="F797" s="74"/>
      <c r="G797" s="74"/>
      <c r="H797" s="74"/>
      <c r="I797" s="74"/>
      <c r="J797" s="15"/>
    </row>
    <row r="798">
      <c r="A798" s="15"/>
      <c r="B798" s="15"/>
      <c r="C798" s="15"/>
      <c r="D798" s="15"/>
      <c r="E798" s="74"/>
      <c r="F798" s="74"/>
      <c r="G798" s="74"/>
      <c r="H798" s="74"/>
      <c r="I798" s="74"/>
      <c r="J798" s="15"/>
    </row>
    <row r="799">
      <c r="A799" s="15"/>
      <c r="B799" s="15"/>
      <c r="C799" s="15"/>
      <c r="D799" s="15"/>
      <c r="E799" s="74"/>
      <c r="F799" s="74"/>
      <c r="G799" s="74"/>
      <c r="H799" s="74"/>
      <c r="I799" s="74"/>
      <c r="J799" s="15"/>
    </row>
    <row r="800">
      <c r="A800" s="15"/>
      <c r="B800" s="15"/>
      <c r="C800" s="15"/>
      <c r="D800" s="15"/>
      <c r="E800" s="74"/>
      <c r="F800" s="74"/>
      <c r="G800" s="74"/>
      <c r="H800" s="74"/>
      <c r="I800" s="74"/>
      <c r="J800" s="15"/>
    </row>
    <row r="801">
      <c r="A801" s="15"/>
      <c r="B801" s="15"/>
      <c r="C801" s="15"/>
      <c r="D801" s="15"/>
      <c r="E801" s="74"/>
      <c r="F801" s="74"/>
      <c r="G801" s="74"/>
      <c r="H801" s="74"/>
      <c r="I801" s="74"/>
      <c r="J801" s="15"/>
    </row>
    <row r="802">
      <c r="A802" s="15"/>
      <c r="B802" s="15"/>
      <c r="C802" s="15"/>
      <c r="D802" s="15"/>
      <c r="E802" s="74"/>
      <c r="F802" s="74"/>
      <c r="G802" s="74"/>
      <c r="H802" s="74"/>
      <c r="I802" s="74"/>
      <c r="J802" s="15"/>
    </row>
    <row r="803">
      <c r="A803" s="15"/>
      <c r="B803" s="15"/>
      <c r="C803" s="15"/>
      <c r="D803" s="15"/>
      <c r="E803" s="74"/>
      <c r="F803" s="74"/>
      <c r="G803" s="74"/>
      <c r="H803" s="74"/>
      <c r="I803" s="74"/>
      <c r="J803" s="15"/>
    </row>
    <row r="804">
      <c r="A804" s="15"/>
      <c r="B804" s="15"/>
      <c r="C804" s="15"/>
      <c r="D804" s="15"/>
      <c r="E804" s="74"/>
      <c r="F804" s="74"/>
      <c r="G804" s="74"/>
      <c r="H804" s="74"/>
      <c r="I804" s="74"/>
      <c r="J804" s="15"/>
    </row>
    <row r="805">
      <c r="A805" s="15"/>
      <c r="B805" s="15"/>
      <c r="C805" s="15"/>
      <c r="D805" s="15"/>
      <c r="E805" s="74"/>
      <c r="F805" s="74"/>
      <c r="G805" s="74"/>
      <c r="H805" s="74"/>
      <c r="I805" s="74"/>
      <c r="J805" s="15"/>
    </row>
    <row r="806">
      <c r="A806" s="15"/>
      <c r="B806" s="15"/>
      <c r="C806" s="15"/>
      <c r="D806" s="15"/>
      <c r="E806" s="74"/>
      <c r="F806" s="74"/>
      <c r="G806" s="74"/>
      <c r="H806" s="74"/>
      <c r="I806" s="74"/>
      <c r="J806" s="15"/>
    </row>
    <row r="807">
      <c r="A807" s="15"/>
      <c r="B807" s="15"/>
      <c r="C807" s="15"/>
      <c r="D807" s="15"/>
      <c r="E807" s="74"/>
      <c r="F807" s="74"/>
      <c r="G807" s="74"/>
      <c r="H807" s="74"/>
      <c r="I807" s="74"/>
      <c r="J807" s="15"/>
    </row>
    <row r="808">
      <c r="A808" s="15"/>
      <c r="B808" s="15"/>
      <c r="C808" s="15"/>
      <c r="D808" s="15"/>
      <c r="E808" s="74"/>
      <c r="F808" s="74"/>
      <c r="G808" s="74"/>
      <c r="H808" s="74"/>
      <c r="I808" s="74"/>
      <c r="J808" s="15"/>
    </row>
    <row r="809">
      <c r="A809" s="15"/>
      <c r="B809" s="15"/>
      <c r="C809" s="15"/>
      <c r="D809" s="15"/>
      <c r="E809" s="74"/>
      <c r="F809" s="74"/>
      <c r="G809" s="74"/>
      <c r="H809" s="74"/>
      <c r="I809" s="74"/>
      <c r="J809" s="15"/>
    </row>
    <row r="810">
      <c r="A810" s="15"/>
      <c r="B810" s="15"/>
      <c r="C810" s="15"/>
      <c r="D810" s="15"/>
      <c r="E810" s="74"/>
      <c r="F810" s="74"/>
      <c r="G810" s="74"/>
      <c r="H810" s="74"/>
      <c r="I810" s="74"/>
      <c r="J810" s="15"/>
    </row>
    <row r="811">
      <c r="A811" s="15"/>
      <c r="B811" s="15"/>
      <c r="C811" s="15"/>
      <c r="D811" s="15"/>
      <c r="E811" s="74"/>
      <c r="F811" s="74"/>
      <c r="G811" s="74"/>
      <c r="H811" s="74"/>
      <c r="I811" s="74"/>
      <c r="J811" s="15"/>
    </row>
    <row r="812">
      <c r="A812" s="15"/>
      <c r="B812" s="15"/>
      <c r="C812" s="15"/>
      <c r="D812" s="15"/>
      <c r="E812" s="74"/>
      <c r="F812" s="74"/>
      <c r="G812" s="74"/>
      <c r="H812" s="74"/>
      <c r="I812" s="74"/>
      <c r="J812" s="15"/>
    </row>
    <row r="813">
      <c r="A813" s="15"/>
      <c r="B813" s="15"/>
      <c r="C813" s="15"/>
      <c r="D813" s="15"/>
      <c r="E813" s="74"/>
      <c r="F813" s="74"/>
      <c r="G813" s="74"/>
      <c r="H813" s="74"/>
      <c r="I813" s="74"/>
      <c r="J813" s="15"/>
    </row>
    <row r="814">
      <c r="A814" s="15"/>
      <c r="B814" s="15"/>
      <c r="C814" s="15"/>
      <c r="D814" s="15"/>
      <c r="E814" s="74"/>
      <c r="F814" s="74"/>
      <c r="G814" s="74"/>
      <c r="H814" s="74"/>
      <c r="I814" s="74"/>
      <c r="J814" s="15"/>
    </row>
    <row r="815">
      <c r="A815" s="15"/>
      <c r="B815" s="15"/>
      <c r="C815" s="15"/>
      <c r="D815" s="15"/>
      <c r="E815" s="74"/>
      <c r="F815" s="74"/>
      <c r="G815" s="74"/>
      <c r="H815" s="74"/>
      <c r="I815" s="74"/>
      <c r="J815" s="15"/>
    </row>
    <row r="816">
      <c r="A816" s="15"/>
      <c r="B816" s="15"/>
      <c r="C816" s="15"/>
      <c r="D816" s="15"/>
      <c r="E816" s="74"/>
      <c r="F816" s="74"/>
      <c r="G816" s="74"/>
      <c r="H816" s="74"/>
      <c r="I816" s="74"/>
      <c r="J816" s="15"/>
    </row>
    <row r="817">
      <c r="A817" s="15"/>
      <c r="B817" s="15"/>
      <c r="C817" s="15"/>
      <c r="D817" s="15"/>
      <c r="E817" s="74"/>
      <c r="F817" s="74"/>
      <c r="G817" s="74"/>
      <c r="H817" s="74"/>
      <c r="I817" s="74"/>
      <c r="J817" s="15"/>
    </row>
    <row r="818">
      <c r="A818" s="15"/>
      <c r="B818" s="15"/>
      <c r="C818" s="15"/>
      <c r="D818" s="15"/>
      <c r="E818" s="74"/>
      <c r="F818" s="74"/>
      <c r="G818" s="74"/>
      <c r="H818" s="74"/>
      <c r="I818" s="74"/>
      <c r="J818" s="15"/>
    </row>
    <row r="819">
      <c r="A819" s="15"/>
      <c r="B819" s="15"/>
      <c r="C819" s="15"/>
      <c r="D819" s="15"/>
      <c r="E819" s="74"/>
      <c r="F819" s="74"/>
      <c r="G819" s="74"/>
      <c r="H819" s="74"/>
      <c r="I819" s="74"/>
      <c r="J819" s="15"/>
    </row>
    <row r="820">
      <c r="A820" s="15"/>
      <c r="B820" s="15"/>
      <c r="C820" s="15"/>
      <c r="D820" s="15"/>
      <c r="E820" s="74"/>
      <c r="F820" s="74"/>
      <c r="G820" s="74"/>
      <c r="H820" s="74"/>
      <c r="I820" s="74"/>
      <c r="J820" s="15"/>
    </row>
    <row r="821">
      <c r="A821" s="15"/>
      <c r="B821" s="15"/>
      <c r="C821" s="15"/>
      <c r="D821" s="15"/>
      <c r="E821" s="74"/>
      <c r="F821" s="74"/>
      <c r="G821" s="74"/>
      <c r="H821" s="74"/>
      <c r="I821" s="74"/>
      <c r="J821" s="15"/>
    </row>
    <row r="822">
      <c r="A822" s="15"/>
      <c r="B822" s="15"/>
      <c r="C822" s="15"/>
      <c r="D822" s="15"/>
      <c r="E822" s="74"/>
      <c r="F822" s="74"/>
      <c r="G822" s="74"/>
      <c r="H822" s="74"/>
      <c r="I822" s="74"/>
      <c r="J822" s="15"/>
    </row>
    <row r="823">
      <c r="A823" s="15"/>
      <c r="B823" s="15"/>
      <c r="C823" s="15"/>
      <c r="D823" s="15"/>
      <c r="E823" s="74"/>
      <c r="F823" s="74"/>
      <c r="G823" s="74"/>
      <c r="H823" s="74"/>
      <c r="I823" s="74"/>
      <c r="J823" s="15"/>
    </row>
    <row r="824">
      <c r="A824" s="15"/>
      <c r="B824" s="15"/>
      <c r="C824" s="15"/>
      <c r="D824" s="15"/>
      <c r="E824" s="74"/>
      <c r="F824" s="74"/>
      <c r="G824" s="74"/>
      <c r="H824" s="74"/>
      <c r="I824" s="74"/>
      <c r="J824" s="15"/>
    </row>
    <row r="825">
      <c r="A825" s="15"/>
      <c r="B825" s="15"/>
      <c r="C825" s="15"/>
      <c r="D825" s="15"/>
      <c r="E825" s="74"/>
      <c r="F825" s="74"/>
      <c r="G825" s="74"/>
      <c r="H825" s="74"/>
      <c r="I825" s="74"/>
      <c r="J825" s="15"/>
    </row>
    <row r="826">
      <c r="A826" s="15"/>
      <c r="B826" s="15"/>
      <c r="C826" s="15"/>
      <c r="D826" s="15"/>
      <c r="E826" s="74"/>
      <c r="F826" s="74"/>
      <c r="G826" s="74"/>
      <c r="H826" s="74"/>
      <c r="I826" s="74"/>
      <c r="J826" s="15"/>
    </row>
    <row r="827">
      <c r="A827" s="15"/>
      <c r="B827" s="15"/>
      <c r="C827" s="15"/>
      <c r="D827" s="15"/>
      <c r="E827" s="74"/>
      <c r="F827" s="74"/>
      <c r="G827" s="74"/>
      <c r="H827" s="74"/>
      <c r="I827" s="74"/>
      <c r="J827" s="15"/>
    </row>
    <row r="828">
      <c r="A828" s="15"/>
      <c r="B828" s="15"/>
      <c r="C828" s="15"/>
      <c r="D828" s="15"/>
      <c r="E828" s="74"/>
      <c r="F828" s="74"/>
      <c r="G828" s="74"/>
      <c r="H828" s="74"/>
      <c r="I828" s="74"/>
      <c r="J828" s="15"/>
    </row>
    <row r="829">
      <c r="A829" s="15"/>
      <c r="B829" s="15"/>
      <c r="C829" s="15"/>
      <c r="D829" s="15"/>
      <c r="E829" s="74"/>
      <c r="F829" s="74"/>
      <c r="G829" s="74"/>
      <c r="H829" s="74"/>
      <c r="I829" s="74"/>
      <c r="J829" s="15"/>
    </row>
    <row r="830">
      <c r="A830" s="15"/>
      <c r="B830" s="15"/>
      <c r="C830" s="15"/>
      <c r="D830" s="15"/>
      <c r="E830" s="74"/>
      <c r="F830" s="74"/>
      <c r="G830" s="74"/>
      <c r="H830" s="74"/>
      <c r="I830" s="74"/>
      <c r="J830" s="15"/>
    </row>
    <row r="831">
      <c r="A831" s="15"/>
      <c r="B831" s="15"/>
      <c r="C831" s="15"/>
      <c r="D831" s="15"/>
      <c r="E831" s="74"/>
      <c r="F831" s="74"/>
      <c r="G831" s="74"/>
      <c r="H831" s="74"/>
      <c r="I831" s="74"/>
      <c r="J831" s="15"/>
    </row>
    <row r="832">
      <c r="A832" s="15"/>
      <c r="B832" s="15"/>
      <c r="C832" s="15"/>
      <c r="D832" s="15"/>
      <c r="E832" s="74"/>
      <c r="F832" s="74"/>
      <c r="G832" s="74"/>
      <c r="H832" s="74"/>
      <c r="I832" s="74"/>
      <c r="J832" s="15"/>
    </row>
    <row r="833">
      <c r="A833" s="15"/>
      <c r="B833" s="15"/>
      <c r="C833" s="15"/>
      <c r="D833" s="15"/>
      <c r="E833" s="74"/>
      <c r="F833" s="74"/>
      <c r="G833" s="74"/>
      <c r="H833" s="74"/>
      <c r="I833" s="74"/>
      <c r="J833" s="15"/>
    </row>
    <row r="834">
      <c r="A834" s="15"/>
      <c r="B834" s="15"/>
      <c r="C834" s="15"/>
      <c r="D834" s="15"/>
      <c r="E834" s="74"/>
      <c r="F834" s="74"/>
      <c r="G834" s="74"/>
      <c r="H834" s="74"/>
      <c r="I834" s="74"/>
      <c r="J834" s="15"/>
    </row>
    <row r="835">
      <c r="A835" s="15"/>
      <c r="B835" s="15"/>
      <c r="C835" s="15"/>
      <c r="D835" s="15"/>
      <c r="E835" s="74"/>
      <c r="F835" s="74"/>
      <c r="G835" s="74"/>
      <c r="H835" s="74"/>
      <c r="I835" s="74"/>
      <c r="J835" s="15"/>
    </row>
    <row r="836">
      <c r="A836" s="15"/>
      <c r="B836" s="15"/>
      <c r="C836" s="15"/>
      <c r="D836" s="15"/>
      <c r="E836" s="74"/>
      <c r="F836" s="74"/>
      <c r="G836" s="74"/>
      <c r="H836" s="74"/>
      <c r="I836" s="74"/>
      <c r="J836" s="15"/>
    </row>
    <row r="837">
      <c r="A837" s="15"/>
      <c r="B837" s="15"/>
      <c r="C837" s="15"/>
      <c r="D837" s="15"/>
      <c r="E837" s="74"/>
      <c r="F837" s="74"/>
      <c r="G837" s="74"/>
      <c r="H837" s="74"/>
      <c r="I837" s="74"/>
      <c r="J837" s="15"/>
    </row>
    <row r="838">
      <c r="A838" s="15"/>
      <c r="B838" s="15"/>
      <c r="C838" s="15"/>
      <c r="D838" s="15"/>
      <c r="E838" s="74"/>
      <c r="F838" s="74"/>
      <c r="G838" s="74"/>
      <c r="H838" s="74"/>
      <c r="I838" s="74"/>
      <c r="J838" s="15"/>
    </row>
    <row r="839">
      <c r="A839" s="15"/>
      <c r="B839" s="15"/>
      <c r="C839" s="15"/>
      <c r="D839" s="15"/>
      <c r="E839" s="74"/>
      <c r="F839" s="74"/>
      <c r="G839" s="74"/>
      <c r="H839" s="74"/>
      <c r="I839" s="74"/>
      <c r="J839" s="15"/>
    </row>
    <row r="840">
      <c r="A840" s="15"/>
      <c r="B840" s="15"/>
      <c r="C840" s="15"/>
      <c r="D840" s="15"/>
      <c r="E840" s="74"/>
      <c r="F840" s="74"/>
      <c r="G840" s="74"/>
      <c r="H840" s="74"/>
      <c r="I840" s="74"/>
      <c r="J840" s="15"/>
    </row>
    <row r="841">
      <c r="A841" s="15"/>
      <c r="B841" s="15"/>
      <c r="C841" s="15"/>
      <c r="D841" s="15"/>
      <c r="E841" s="74"/>
      <c r="F841" s="74"/>
      <c r="G841" s="74"/>
      <c r="H841" s="74"/>
      <c r="I841" s="74"/>
      <c r="J841" s="15"/>
    </row>
    <row r="842">
      <c r="A842" s="15"/>
      <c r="B842" s="15"/>
      <c r="C842" s="15"/>
      <c r="D842" s="15"/>
      <c r="E842" s="74"/>
      <c r="F842" s="74"/>
      <c r="G842" s="74"/>
      <c r="H842" s="74"/>
      <c r="I842" s="74"/>
      <c r="J842" s="15"/>
    </row>
    <row r="843">
      <c r="A843" s="15"/>
      <c r="B843" s="15"/>
      <c r="C843" s="15"/>
      <c r="D843" s="15"/>
      <c r="E843" s="74"/>
      <c r="F843" s="74"/>
      <c r="G843" s="74"/>
      <c r="H843" s="74"/>
      <c r="I843" s="74"/>
      <c r="J843" s="15"/>
    </row>
    <row r="844">
      <c r="A844" s="15"/>
      <c r="B844" s="15"/>
      <c r="C844" s="15"/>
      <c r="D844" s="15"/>
      <c r="E844" s="74"/>
      <c r="F844" s="74"/>
      <c r="G844" s="74"/>
      <c r="H844" s="74"/>
      <c r="I844" s="74"/>
      <c r="J844" s="15"/>
    </row>
    <row r="845">
      <c r="A845" s="15"/>
      <c r="B845" s="15"/>
      <c r="C845" s="15"/>
      <c r="D845" s="15"/>
      <c r="E845" s="74"/>
      <c r="F845" s="74"/>
      <c r="G845" s="74"/>
      <c r="H845" s="74"/>
      <c r="I845" s="74"/>
      <c r="J845" s="15"/>
    </row>
    <row r="846">
      <c r="A846" s="15"/>
      <c r="B846" s="15"/>
      <c r="C846" s="15"/>
      <c r="D846" s="15"/>
      <c r="E846" s="74"/>
      <c r="F846" s="74"/>
      <c r="G846" s="74"/>
      <c r="H846" s="74"/>
      <c r="I846" s="74"/>
      <c r="J846" s="15"/>
    </row>
    <row r="847">
      <c r="A847" s="15"/>
      <c r="B847" s="15"/>
      <c r="C847" s="15"/>
      <c r="D847" s="15"/>
      <c r="E847" s="74"/>
      <c r="F847" s="74"/>
      <c r="G847" s="74"/>
      <c r="H847" s="74"/>
      <c r="I847" s="74"/>
      <c r="J847" s="15"/>
    </row>
    <row r="848">
      <c r="A848" s="15"/>
      <c r="B848" s="15"/>
      <c r="C848" s="15"/>
      <c r="D848" s="15"/>
      <c r="E848" s="74"/>
      <c r="F848" s="74"/>
      <c r="G848" s="74"/>
      <c r="H848" s="74"/>
      <c r="I848" s="74"/>
      <c r="J848" s="15"/>
    </row>
    <row r="849">
      <c r="A849" s="15"/>
      <c r="B849" s="15"/>
      <c r="C849" s="15"/>
      <c r="D849" s="15"/>
      <c r="E849" s="74"/>
      <c r="F849" s="74"/>
      <c r="G849" s="74"/>
      <c r="H849" s="74"/>
      <c r="I849" s="74"/>
      <c r="J849" s="15"/>
    </row>
    <row r="850">
      <c r="A850" s="15"/>
      <c r="B850" s="15"/>
      <c r="C850" s="15"/>
      <c r="D850" s="15"/>
      <c r="E850" s="74"/>
      <c r="F850" s="74"/>
      <c r="G850" s="74"/>
      <c r="H850" s="74"/>
      <c r="I850" s="74"/>
      <c r="J850" s="15"/>
    </row>
    <row r="851">
      <c r="A851" s="15"/>
      <c r="B851" s="15"/>
      <c r="C851" s="15"/>
      <c r="D851" s="15"/>
      <c r="E851" s="74"/>
      <c r="F851" s="74"/>
      <c r="G851" s="74"/>
      <c r="H851" s="74"/>
      <c r="I851" s="74"/>
      <c r="J851" s="15"/>
    </row>
    <row r="852">
      <c r="A852" s="15"/>
      <c r="B852" s="15"/>
      <c r="C852" s="15"/>
      <c r="D852" s="15"/>
      <c r="E852" s="74"/>
      <c r="F852" s="74"/>
      <c r="G852" s="74"/>
      <c r="H852" s="74"/>
      <c r="I852" s="74"/>
      <c r="J852" s="15"/>
    </row>
    <row r="853">
      <c r="A853" s="15"/>
      <c r="B853" s="15"/>
      <c r="C853" s="15"/>
      <c r="D853" s="15"/>
      <c r="E853" s="74"/>
      <c r="F853" s="74"/>
      <c r="G853" s="74"/>
      <c r="H853" s="74"/>
      <c r="I853" s="74"/>
      <c r="J853" s="15"/>
    </row>
    <row r="854">
      <c r="A854" s="15"/>
      <c r="B854" s="15"/>
      <c r="C854" s="15"/>
      <c r="D854" s="15"/>
      <c r="E854" s="74"/>
      <c r="F854" s="74"/>
      <c r="G854" s="74"/>
      <c r="H854" s="74"/>
      <c r="I854" s="74"/>
      <c r="J854" s="15"/>
    </row>
    <row r="855">
      <c r="A855" s="15"/>
      <c r="B855" s="15"/>
      <c r="C855" s="15"/>
      <c r="D855" s="15"/>
      <c r="E855" s="74"/>
      <c r="F855" s="74"/>
      <c r="G855" s="74"/>
      <c r="H855" s="74"/>
      <c r="I855" s="74"/>
      <c r="J855" s="15"/>
    </row>
    <row r="856">
      <c r="A856" s="15"/>
      <c r="B856" s="15"/>
      <c r="C856" s="15"/>
      <c r="D856" s="15"/>
      <c r="E856" s="74"/>
      <c r="F856" s="74"/>
      <c r="G856" s="74"/>
      <c r="H856" s="74"/>
      <c r="I856" s="74"/>
      <c r="J856" s="15"/>
    </row>
    <row r="857">
      <c r="A857" s="15"/>
      <c r="B857" s="15"/>
      <c r="C857" s="15"/>
      <c r="D857" s="15"/>
      <c r="E857" s="74"/>
      <c r="F857" s="74"/>
      <c r="G857" s="74"/>
      <c r="H857" s="74"/>
      <c r="I857" s="74"/>
      <c r="J857" s="15"/>
    </row>
    <row r="858">
      <c r="A858" s="15"/>
      <c r="B858" s="15"/>
      <c r="C858" s="15"/>
      <c r="D858" s="15"/>
      <c r="E858" s="74"/>
      <c r="F858" s="74"/>
      <c r="G858" s="74"/>
      <c r="H858" s="74"/>
      <c r="I858" s="74"/>
      <c r="J858" s="15"/>
    </row>
    <row r="859">
      <c r="A859" s="15"/>
      <c r="B859" s="15"/>
      <c r="C859" s="15"/>
      <c r="D859" s="15"/>
      <c r="E859" s="74"/>
      <c r="F859" s="74"/>
      <c r="G859" s="74"/>
      <c r="H859" s="74"/>
      <c r="I859" s="74"/>
      <c r="J859" s="15"/>
    </row>
    <row r="860">
      <c r="A860" s="15"/>
      <c r="B860" s="15"/>
      <c r="C860" s="15"/>
      <c r="D860" s="15"/>
      <c r="E860" s="74"/>
      <c r="F860" s="74"/>
      <c r="G860" s="74"/>
      <c r="H860" s="74"/>
      <c r="I860" s="74"/>
      <c r="J860" s="15"/>
    </row>
    <row r="861">
      <c r="A861" s="15"/>
      <c r="B861" s="15"/>
      <c r="C861" s="15"/>
      <c r="D861" s="15"/>
      <c r="E861" s="74"/>
      <c r="F861" s="74"/>
      <c r="G861" s="74"/>
      <c r="H861" s="74"/>
      <c r="I861" s="74"/>
      <c r="J861" s="15"/>
    </row>
    <row r="862">
      <c r="A862" s="15"/>
      <c r="B862" s="15"/>
      <c r="C862" s="15"/>
      <c r="D862" s="15"/>
      <c r="E862" s="74"/>
      <c r="F862" s="74"/>
      <c r="G862" s="74"/>
      <c r="H862" s="74"/>
      <c r="I862" s="74"/>
      <c r="J862" s="15"/>
    </row>
    <row r="863">
      <c r="A863" s="15"/>
      <c r="B863" s="15"/>
      <c r="C863" s="15"/>
      <c r="D863" s="15"/>
      <c r="E863" s="74"/>
      <c r="F863" s="74"/>
      <c r="G863" s="74"/>
      <c r="H863" s="74"/>
      <c r="I863" s="74"/>
      <c r="J863" s="15"/>
    </row>
    <row r="864">
      <c r="A864" s="15"/>
      <c r="B864" s="15"/>
      <c r="C864" s="15"/>
      <c r="D864" s="15"/>
      <c r="E864" s="74"/>
      <c r="F864" s="74"/>
      <c r="G864" s="74"/>
      <c r="H864" s="74"/>
      <c r="I864" s="74"/>
      <c r="J864" s="15"/>
    </row>
    <row r="865">
      <c r="A865" s="15"/>
      <c r="B865" s="15"/>
      <c r="C865" s="15"/>
      <c r="D865" s="15"/>
      <c r="E865" s="74"/>
      <c r="F865" s="74"/>
      <c r="G865" s="74"/>
      <c r="H865" s="74"/>
      <c r="I865" s="74"/>
      <c r="J865" s="15"/>
    </row>
    <row r="866">
      <c r="A866" s="15"/>
      <c r="B866" s="15"/>
      <c r="C866" s="15"/>
      <c r="D866" s="15"/>
      <c r="E866" s="74"/>
      <c r="F866" s="74"/>
      <c r="G866" s="74"/>
      <c r="H866" s="74"/>
      <c r="I866" s="74"/>
      <c r="J866" s="15"/>
    </row>
    <row r="867">
      <c r="A867" s="15"/>
      <c r="B867" s="15"/>
      <c r="C867" s="15"/>
      <c r="D867" s="15"/>
      <c r="E867" s="74"/>
      <c r="F867" s="74"/>
      <c r="G867" s="74"/>
      <c r="H867" s="74"/>
      <c r="I867" s="74"/>
      <c r="J867" s="15"/>
    </row>
    <row r="868">
      <c r="A868" s="15"/>
      <c r="B868" s="15"/>
      <c r="C868" s="15"/>
      <c r="D868" s="15"/>
      <c r="E868" s="74"/>
      <c r="F868" s="74"/>
      <c r="G868" s="74"/>
      <c r="H868" s="74"/>
      <c r="I868" s="74"/>
      <c r="J868" s="15"/>
    </row>
    <row r="869">
      <c r="A869" s="15"/>
      <c r="B869" s="15"/>
      <c r="C869" s="15"/>
      <c r="D869" s="15"/>
      <c r="E869" s="74"/>
      <c r="F869" s="74"/>
      <c r="G869" s="74"/>
      <c r="H869" s="74"/>
      <c r="I869" s="74"/>
      <c r="J869" s="15"/>
    </row>
    <row r="870">
      <c r="A870" s="15"/>
      <c r="B870" s="15"/>
      <c r="C870" s="15"/>
      <c r="D870" s="15"/>
      <c r="E870" s="74"/>
      <c r="F870" s="74"/>
      <c r="G870" s="74"/>
      <c r="H870" s="74"/>
      <c r="I870" s="74"/>
      <c r="J870" s="15"/>
    </row>
    <row r="871">
      <c r="A871" s="15"/>
      <c r="B871" s="15"/>
      <c r="C871" s="15"/>
      <c r="D871" s="15"/>
      <c r="E871" s="74"/>
      <c r="F871" s="74"/>
      <c r="G871" s="74"/>
      <c r="H871" s="74"/>
      <c r="I871" s="74"/>
      <c r="J871" s="15"/>
    </row>
    <row r="872">
      <c r="A872" s="15"/>
      <c r="B872" s="15"/>
      <c r="C872" s="15"/>
      <c r="D872" s="15"/>
      <c r="E872" s="74"/>
      <c r="F872" s="74"/>
      <c r="G872" s="74"/>
      <c r="H872" s="74"/>
      <c r="I872" s="74"/>
      <c r="J872" s="15"/>
    </row>
    <row r="873">
      <c r="A873" s="15"/>
      <c r="B873" s="15"/>
      <c r="C873" s="15"/>
      <c r="D873" s="15"/>
      <c r="E873" s="74"/>
      <c r="F873" s="74"/>
      <c r="G873" s="74"/>
      <c r="H873" s="74"/>
      <c r="I873" s="74"/>
      <c r="J873" s="15"/>
    </row>
    <row r="874">
      <c r="A874" s="15"/>
      <c r="B874" s="15"/>
      <c r="C874" s="15"/>
      <c r="D874" s="15"/>
      <c r="E874" s="74"/>
      <c r="F874" s="74"/>
      <c r="G874" s="74"/>
      <c r="H874" s="74"/>
      <c r="I874" s="74"/>
      <c r="J874" s="15"/>
    </row>
    <row r="875">
      <c r="A875" s="15"/>
      <c r="B875" s="15"/>
      <c r="C875" s="15"/>
      <c r="D875" s="15"/>
      <c r="E875" s="74"/>
      <c r="F875" s="74"/>
      <c r="G875" s="74"/>
      <c r="H875" s="74"/>
      <c r="I875" s="74"/>
      <c r="J875" s="15"/>
    </row>
    <row r="876">
      <c r="A876" s="15"/>
      <c r="B876" s="15"/>
      <c r="C876" s="15"/>
      <c r="D876" s="15"/>
      <c r="E876" s="74"/>
      <c r="F876" s="74"/>
      <c r="G876" s="74"/>
      <c r="H876" s="74"/>
      <c r="I876" s="74"/>
      <c r="J876" s="15"/>
    </row>
    <row r="877">
      <c r="A877" s="15"/>
      <c r="B877" s="15"/>
      <c r="C877" s="15"/>
      <c r="D877" s="15"/>
      <c r="E877" s="74"/>
      <c r="F877" s="74"/>
      <c r="G877" s="74"/>
      <c r="H877" s="74"/>
      <c r="I877" s="74"/>
      <c r="J877" s="15"/>
    </row>
    <row r="878">
      <c r="A878" s="15"/>
      <c r="B878" s="15"/>
      <c r="C878" s="15"/>
      <c r="D878" s="15"/>
      <c r="E878" s="74"/>
      <c r="F878" s="74"/>
      <c r="G878" s="74"/>
      <c r="H878" s="74"/>
      <c r="I878" s="74"/>
      <c r="J878" s="15"/>
    </row>
    <row r="879">
      <c r="A879" s="15"/>
      <c r="B879" s="15"/>
      <c r="C879" s="15"/>
      <c r="D879" s="15"/>
      <c r="E879" s="74"/>
      <c r="F879" s="74"/>
      <c r="G879" s="74"/>
      <c r="H879" s="74"/>
      <c r="I879" s="74"/>
      <c r="J879" s="15"/>
    </row>
    <row r="880">
      <c r="A880" s="15"/>
      <c r="B880" s="15"/>
      <c r="C880" s="15"/>
      <c r="D880" s="15"/>
      <c r="E880" s="74"/>
      <c r="F880" s="74"/>
      <c r="G880" s="74"/>
      <c r="H880" s="74"/>
      <c r="I880" s="74"/>
      <c r="J880" s="15"/>
    </row>
    <row r="881">
      <c r="A881" s="15"/>
      <c r="B881" s="15"/>
      <c r="C881" s="15"/>
      <c r="D881" s="15"/>
      <c r="E881" s="74"/>
      <c r="F881" s="74"/>
      <c r="G881" s="74"/>
      <c r="H881" s="74"/>
      <c r="I881" s="74"/>
      <c r="J881" s="15"/>
    </row>
    <row r="882">
      <c r="A882" s="15"/>
      <c r="B882" s="15"/>
      <c r="C882" s="15"/>
      <c r="D882" s="15"/>
      <c r="E882" s="74"/>
      <c r="F882" s="74"/>
      <c r="G882" s="74"/>
      <c r="H882" s="74"/>
      <c r="I882" s="74"/>
      <c r="J882" s="15"/>
    </row>
    <row r="883">
      <c r="A883" s="15"/>
      <c r="B883" s="15"/>
      <c r="C883" s="15"/>
      <c r="D883" s="15"/>
      <c r="E883" s="74"/>
      <c r="F883" s="74"/>
      <c r="G883" s="74"/>
      <c r="H883" s="74"/>
      <c r="I883" s="74"/>
      <c r="J883" s="15"/>
    </row>
    <row r="884">
      <c r="A884" s="15"/>
      <c r="B884" s="15"/>
      <c r="C884" s="15"/>
      <c r="D884" s="15"/>
      <c r="E884" s="74"/>
      <c r="F884" s="74"/>
      <c r="G884" s="74"/>
      <c r="H884" s="74"/>
      <c r="I884" s="74"/>
      <c r="J884" s="15"/>
    </row>
    <row r="885">
      <c r="A885" s="15"/>
      <c r="B885" s="15"/>
      <c r="C885" s="15"/>
      <c r="D885" s="15"/>
      <c r="E885" s="74"/>
      <c r="F885" s="74"/>
      <c r="G885" s="74"/>
      <c r="H885" s="74"/>
      <c r="I885" s="74"/>
      <c r="J885" s="15"/>
    </row>
    <row r="886">
      <c r="A886" s="15"/>
      <c r="B886" s="15"/>
      <c r="C886" s="15"/>
      <c r="D886" s="15"/>
      <c r="E886" s="74"/>
      <c r="F886" s="74"/>
      <c r="G886" s="74"/>
      <c r="H886" s="74"/>
      <c r="I886" s="74"/>
      <c r="J886" s="15"/>
    </row>
    <row r="887">
      <c r="A887" s="15"/>
      <c r="B887" s="15"/>
      <c r="C887" s="15"/>
      <c r="D887" s="15"/>
      <c r="E887" s="74"/>
      <c r="F887" s="74"/>
      <c r="G887" s="74"/>
      <c r="H887" s="74"/>
      <c r="I887" s="74"/>
      <c r="J887" s="15"/>
    </row>
    <row r="888">
      <c r="A888" s="15"/>
      <c r="B888" s="15"/>
      <c r="C888" s="15"/>
      <c r="D888" s="15"/>
      <c r="E888" s="74"/>
      <c r="F888" s="74"/>
      <c r="G888" s="74"/>
      <c r="H888" s="74"/>
      <c r="I888" s="74"/>
      <c r="J888" s="15"/>
    </row>
    <row r="889">
      <c r="A889" s="15"/>
      <c r="B889" s="15"/>
      <c r="C889" s="15"/>
      <c r="D889" s="15"/>
      <c r="E889" s="74"/>
      <c r="F889" s="74"/>
      <c r="G889" s="74"/>
      <c r="H889" s="74"/>
      <c r="I889" s="74"/>
      <c r="J889" s="15"/>
    </row>
    <row r="890">
      <c r="A890" s="15"/>
      <c r="B890" s="15"/>
      <c r="C890" s="15"/>
      <c r="D890" s="15"/>
      <c r="E890" s="74"/>
      <c r="F890" s="74"/>
      <c r="G890" s="74"/>
      <c r="H890" s="74"/>
      <c r="I890" s="74"/>
      <c r="J890" s="15"/>
    </row>
    <row r="891">
      <c r="A891" s="15"/>
      <c r="B891" s="15"/>
      <c r="C891" s="15"/>
      <c r="D891" s="15"/>
      <c r="E891" s="74"/>
      <c r="F891" s="74"/>
      <c r="G891" s="74"/>
      <c r="H891" s="74"/>
      <c r="I891" s="74"/>
      <c r="J891" s="15"/>
    </row>
    <row r="892">
      <c r="A892" s="15"/>
      <c r="B892" s="15"/>
      <c r="C892" s="15"/>
      <c r="D892" s="15"/>
      <c r="E892" s="74"/>
      <c r="F892" s="74"/>
      <c r="G892" s="74"/>
      <c r="H892" s="74"/>
      <c r="I892" s="74"/>
      <c r="J892" s="15"/>
    </row>
    <row r="893">
      <c r="A893" s="15"/>
      <c r="B893" s="15"/>
      <c r="C893" s="15"/>
      <c r="D893" s="15"/>
      <c r="E893" s="74"/>
      <c r="F893" s="74"/>
      <c r="G893" s="74"/>
      <c r="H893" s="74"/>
      <c r="I893" s="74"/>
      <c r="J893" s="15"/>
    </row>
    <row r="894">
      <c r="A894" s="15"/>
      <c r="B894" s="15"/>
      <c r="C894" s="15"/>
      <c r="D894" s="15"/>
      <c r="E894" s="74"/>
      <c r="F894" s="74"/>
      <c r="G894" s="74"/>
      <c r="H894" s="74"/>
      <c r="I894" s="74"/>
      <c r="J894" s="15"/>
    </row>
    <row r="895">
      <c r="A895" s="15"/>
      <c r="B895" s="15"/>
      <c r="C895" s="15"/>
      <c r="D895" s="15"/>
      <c r="E895" s="74"/>
      <c r="F895" s="74"/>
      <c r="G895" s="74"/>
      <c r="H895" s="74"/>
      <c r="I895" s="74"/>
      <c r="J895" s="15"/>
    </row>
    <row r="896">
      <c r="A896" s="15"/>
      <c r="B896" s="15"/>
      <c r="C896" s="15"/>
      <c r="D896" s="15"/>
      <c r="E896" s="74"/>
      <c r="F896" s="74"/>
      <c r="G896" s="74"/>
      <c r="H896" s="74"/>
      <c r="I896" s="74"/>
      <c r="J896" s="15"/>
    </row>
    <row r="897">
      <c r="A897" s="15"/>
      <c r="B897" s="15"/>
      <c r="C897" s="15"/>
      <c r="D897" s="15"/>
      <c r="E897" s="74"/>
      <c r="F897" s="74"/>
      <c r="G897" s="74"/>
      <c r="H897" s="74"/>
      <c r="I897" s="74"/>
      <c r="J897" s="15"/>
    </row>
    <row r="898">
      <c r="A898" s="15"/>
      <c r="B898" s="15"/>
      <c r="C898" s="15"/>
      <c r="D898" s="15"/>
      <c r="E898" s="74"/>
      <c r="F898" s="74"/>
      <c r="G898" s="74"/>
      <c r="H898" s="74"/>
      <c r="I898" s="74"/>
      <c r="J898" s="15"/>
    </row>
    <row r="899">
      <c r="A899" s="15"/>
      <c r="B899" s="15"/>
      <c r="C899" s="15"/>
      <c r="D899" s="15"/>
      <c r="E899" s="74"/>
      <c r="F899" s="74"/>
      <c r="G899" s="74"/>
      <c r="H899" s="74"/>
      <c r="I899" s="74"/>
      <c r="J899" s="15"/>
    </row>
    <row r="900">
      <c r="A900" s="15"/>
      <c r="B900" s="15"/>
      <c r="C900" s="15"/>
      <c r="D900" s="15"/>
      <c r="E900" s="74"/>
      <c r="F900" s="74"/>
      <c r="G900" s="74"/>
      <c r="H900" s="74"/>
      <c r="I900" s="74"/>
      <c r="J900" s="15"/>
    </row>
    <row r="901">
      <c r="A901" s="15"/>
      <c r="B901" s="15"/>
      <c r="C901" s="15"/>
      <c r="D901" s="15"/>
      <c r="E901" s="74"/>
      <c r="F901" s="74"/>
      <c r="G901" s="74"/>
      <c r="H901" s="74"/>
      <c r="I901" s="74"/>
      <c r="J901" s="15"/>
    </row>
    <row r="902">
      <c r="A902" s="15"/>
      <c r="B902" s="15"/>
      <c r="C902" s="15"/>
      <c r="D902" s="15"/>
      <c r="E902" s="74"/>
      <c r="F902" s="74"/>
      <c r="G902" s="74"/>
      <c r="H902" s="74"/>
      <c r="I902" s="74"/>
      <c r="J902" s="15"/>
    </row>
    <row r="903">
      <c r="A903" s="15"/>
      <c r="B903" s="15"/>
      <c r="C903" s="15"/>
      <c r="D903" s="15"/>
      <c r="E903" s="74"/>
      <c r="F903" s="74"/>
      <c r="G903" s="74"/>
      <c r="H903" s="74"/>
      <c r="I903" s="74"/>
      <c r="J903" s="15"/>
    </row>
    <row r="904">
      <c r="A904" s="15"/>
      <c r="B904" s="15"/>
      <c r="C904" s="15"/>
      <c r="D904" s="15"/>
      <c r="E904" s="74"/>
      <c r="F904" s="74"/>
      <c r="G904" s="74"/>
      <c r="H904" s="74"/>
      <c r="I904" s="74"/>
      <c r="J904" s="15"/>
    </row>
    <row r="905">
      <c r="A905" s="15"/>
      <c r="B905" s="15"/>
      <c r="C905" s="15"/>
      <c r="D905" s="15"/>
      <c r="E905" s="74"/>
      <c r="F905" s="74"/>
      <c r="G905" s="74"/>
      <c r="H905" s="74"/>
      <c r="I905" s="74"/>
      <c r="J905" s="15"/>
    </row>
    <row r="906">
      <c r="A906" s="15"/>
      <c r="B906" s="15"/>
      <c r="C906" s="15"/>
      <c r="D906" s="15"/>
      <c r="E906" s="74"/>
      <c r="F906" s="74"/>
      <c r="G906" s="74"/>
      <c r="H906" s="74"/>
      <c r="I906" s="74"/>
      <c r="J906" s="15"/>
    </row>
    <row r="907">
      <c r="A907" s="15"/>
      <c r="B907" s="15"/>
      <c r="C907" s="15"/>
      <c r="D907" s="15"/>
      <c r="E907" s="74"/>
      <c r="F907" s="74"/>
      <c r="G907" s="74"/>
      <c r="H907" s="74"/>
      <c r="I907" s="74"/>
      <c r="J907" s="15"/>
    </row>
    <row r="908">
      <c r="A908" s="15"/>
      <c r="B908" s="15"/>
      <c r="C908" s="15"/>
      <c r="D908" s="15"/>
      <c r="E908" s="74"/>
      <c r="F908" s="74"/>
      <c r="G908" s="74"/>
      <c r="H908" s="74"/>
      <c r="I908" s="74"/>
      <c r="J908" s="15"/>
    </row>
    <row r="909">
      <c r="A909" s="15"/>
      <c r="B909" s="15"/>
      <c r="C909" s="15"/>
      <c r="D909" s="15"/>
      <c r="E909" s="74"/>
      <c r="F909" s="74"/>
      <c r="G909" s="74"/>
      <c r="H909" s="74"/>
      <c r="I909" s="74"/>
      <c r="J909" s="15"/>
    </row>
    <row r="910">
      <c r="A910" s="15"/>
      <c r="B910" s="15"/>
      <c r="C910" s="15"/>
      <c r="D910" s="15"/>
      <c r="E910" s="74"/>
      <c r="F910" s="74"/>
      <c r="G910" s="74"/>
      <c r="H910" s="74"/>
      <c r="I910" s="74"/>
      <c r="J910" s="15"/>
    </row>
    <row r="911">
      <c r="A911" s="15"/>
      <c r="B911" s="15"/>
      <c r="C911" s="15"/>
      <c r="D911" s="15"/>
      <c r="E911" s="74"/>
      <c r="F911" s="74"/>
      <c r="G911" s="74"/>
      <c r="H911" s="74"/>
      <c r="I911" s="74"/>
      <c r="J911" s="15"/>
    </row>
    <row r="912">
      <c r="A912" s="15"/>
      <c r="B912" s="15"/>
      <c r="C912" s="15"/>
      <c r="D912" s="15"/>
      <c r="E912" s="74"/>
      <c r="F912" s="74"/>
      <c r="G912" s="74"/>
      <c r="H912" s="74"/>
      <c r="I912" s="74"/>
      <c r="J912" s="15"/>
    </row>
    <row r="913">
      <c r="A913" s="15"/>
      <c r="B913" s="15"/>
      <c r="C913" s="15"/>
      <c r="D913" s="15"/>
      <c r="E913" s="74"/>
      <c r="F913" s="74"/>
      <c r="G913" s="74"/>
      <c r="H913" s="74"/>
      <c r="I913" s="74"/>
      <c r="J913" s="15"/>
    </row>
    <row r="914">
      <c r="A914" s="15"/>
      <c r="B914" s="15"/>
      <c r="C914" s="15"/>
      <c r="D914" s="15"/>
      <c r="E914" s="74"/>
      <c r="F914" s="74"/>
      <c r="G914" s="74"/>
      <c r="H914" s="74"/>
      <c r="I914" s="74"/>
      <c r="J914" s="15"/>
    </row>
    <row r="915">
      <c r="A915" s="15"/>
      <c r="B915" s="15"/>
      <c r="C915" s="15"/>
      <c r="D915" s="15"/>
      <c r="E915" s="74"/>
      <c r="F915" s="74"/>
      <c r="G915" s="74"/>
      <c r="H915" s="74"/>
      <c r="I915" s="74"/>
      <c r="J915" s="15"/>
    </row>
    <row r="916">
      <c r="A916" s="15"/>
      <c r="B916" s="15"/>
      <c r="C916" s="15"/>
      <c r="D916" s="15"/>
      <c r="E916" s="74"/>
      <c r="F916" s="74"/>
      <c r="G916" s="74"/>
      <c r="H916" s="74"/>
      <c r="I916" s="74"/>
      <c r="J916" s="15"/>
    </row>
    <row r="917">
      <c r="A917" s="15"/>
      <c r="B917" s="15"/>
      <c r="C917" s="15"/>
      <c r="D917" s="15"/>
      <c r="E917" s="74"/>
      <c r="F917" s="74"/>
      <c r="G917" s="74"/>
      <c r="H917" s="74"/>
      <c r="I917" s="74"/>
      <c r="J917" s="15"/>
    </row>
    <row r="918">
      <c r="A918" s="15"/>
      <c r="B918" s="15"/>
      <c r="C918" s="15"/>
      <c r="D918" s="15"/>
      <c r="E918" s="74"/>
      <c r="F918" s="74"/>
      <c r="G918" s="74"/>
      <c r="H918" s="74"/>
      <c r="I918" s="74"/>
      <c r="J918" s="15"/>
    </row>
    <row r="919">
      <c r="A919" s="15"/>
      <c r="B919" s="15"/>
      <c r="C919" s="15"/>
      <c r="D919" s="15"/>
      <c r="E919" s="74"/>
      <c r="F919" s="74"/>
      <c r="G919" s="74"/>
      <c r="H919" s="74"/>
      <c r="I919" s="74"/>
      <c r="J919" s="15"/>
    </row>
    <row r="920">
      <c r="A920" s="15"/>
      <c r="B920" s="15"/>
      <c r="C920" s="15"/>
      <c r="D920" s="15"/>
      <c r="E920" s="74"/>
      <c r="F920" s="74"/>
      <c r="G920" s="74"/>
      <c r="H920" s="74"/>
      <c r="I920" s="74"/>
      <c r="J920" s="15"/>
    </row>
    <row r="921">
      <c r="A921" s="15"/>
      <c r="B921" s="15"/>
      <c r="C921" s="15"/>
      <c r="D921" s="15"/>
      <c r="E921" s="74"/>
      <c r="F921" s="74"/>
      <c r="G921" s="74"/>
      <c r="H921" s="74"/>
      <c r="I921" s="74"/>
      <c r="J921" s="15"/>
    </row>
    <row r="922">
      <c r="A922" s="15"/>
      <c r="B922" s="15"/>
      <c r="C922" s="15"/>
      <c r="D922" s="15"/>
      <c r="E922" s="74"/>
      <c r="F922" s="74"/>
      <c r="G922" s="74"/>
      <c r="H922" s="74"/>
      <c r="I922" s="74"/>
      <c r="J922" s="15"/>
    </row>
    <row r="923">
      <c r="A923" s="15"/>
      <c r="B923" s="15"/>
      <c r="C923" s="15"/>
      <c r="D923" s="15"/>
      <c r="E923" s="74"/>
      <c r="F923" s="74"/>
      <c r="G923" s="74"/>
      <c r="H923" s="74"/>
      <c r="I923" s="74"/>
      <c r="J923" s="15"/>
    </row>
    <row r="924">
      <c r="A924" s="15"/>
      <c r="B924" s="15"/>
      <c r="C924" s="15"/>
      <c r="D924" s="15"/>
      <c r="E924" s="74"/>
      <c r="F924" s="74"/>
      <c r="G924" s="74"/>
      <c r="H924" s="74"/>
      <c r="I924" s="74"/>
      <c r="J924" s="15"/>
    </row>
    <row r="925">
      <c r="A925" s="15"/>
      <c r="B925" s="15"/>
      <c r="C925" s="15"/>
      <c r="D925" s="15"/>
      <c r="E925" s="74"/>
      <c r="F925" s="74"/>
      <c r="G925" s="74"/>
      <c r="H925" s="74"/>
      <c r="I925" s="74"/>
      <c r="J925" s="15"/>
    </row>
    <row r="926">
      <c r="A926" s="15"/>
      <c r="B926" s="15"/>
      <c r="C926" s="15"/>
      <c r="D926" s="15"/>
      <c r="E926" s="74"/>
      <c r="F926" s="74"/>
      <c r="G926" s="74"/>
      <c r="H926" s="74"/>
      <c r="I926" s="74"/>
      <c r="J926" s="15"/>
    </row>
    <row r="927">
      <c r="A927" s="15"/>
      <c r="B927" s="15"/>
      <c r="C927" s="15"/>
      <c r="D927" s="15"/>
      <c r="E927" s="74"/>
      <c r="F927" s="74"/>
      <c r="G927" s="74"/>
      <c r="H927" s="74"/>
      <c r="I927" s="74"/>
      <c r="J927" s="15"/>
    </row>
    <row r="928">
      <c r="A928" s="15"/>
      <c r="B928" s="15"/>
      <c r="C928" s="15"/>
      <c r="D928" s="15"/>
      <c r="E928" s="74"/>
      <c r="F928" s="74"/>
      <c r="G928" s="74"/>
      <c r="H928" s="74"/>
      <c r="I928" s="74"/>
      <c r="J928" s="15"/>
    </row>
    <row r="929">
      <c r="A929" s="15"/>
      <c r="B929" s="15"/>
      <c r="C929" s="15"/>
      <c r="D929" s="15"/>
      <c r="E929" s="74"/>
      <c r="F929" s="74"/>
      <c r="G929" s="74"/>
      <c r="H929" s="74"/>
      <c r="I929" s="74"/>
      <c r="J929" s="15"/>
    </row>
    <row r="930">
      <c r="A930" s="15"/>
      <c r="B930" s="15"/>
      <c r="C930" s="15"/>
      <c r="D930" s="15"/>
      <c r="E930" s="74"/>
      <c r="F930" s="74"/>
      <c r="G930" s="74"/>
      <c r="H930" s="74"/>
      <c r="I930" s="74"/>
      <c r="J930" s="15"/>
    </row>
    <row r="931">
      <c r="A931" s="15"/>
      <c r="B931" s="15"/>
      <c r="C931" s="15"/>
      <c r="D931" s="15"/>
      <c r="E931" s="74"/>
      <c r="F931" s="74"/>
      <c r="G931" s="74"/>
      <c r="H931" s="74"/>
      <c r="I931" s="74"/>
      <c r="J931" s="15"/>
    </row>
    <row r="932">
      <c r="A932" s="15"/>
      <c r="B932" s="15"/>
      <c r="C932" s="15"/>
      <c r="D932" s="15"/>
      <c r="E932" s="74"/>
      <c r="F932" s="74"/>
      <c r="G932" s="74"/>
      <c r="H932" s="74"/>
      <c r="I932" s="74"/>
      <c r="J932" s="15"/>
    </row>
    <row r="933">
      <c r="A933" s="15"/>
      <c r="B933" s="15"/>
      <c r="C933" s="15"/>
      <c r="D933" s="15"/>
      <c r="E933" s="74"/>
      <c r="F933" s="74"/>
      <c r="G933" s="74"/>
      <c r="H933" s="74"/>
      <c r="I933" s="74"/>
      <c r="J933" s="15"/>
    </row>
    <row r="934">
      <c r="A934" s="15"/>
      <c r="B934" s="15"/>
      <c r="C934" s="15"/>
      <c r="D934" s="15"/>
      <c r="E934" s="74"/>
      <c r="F934" s="74"/>
      <c r="G934" s="74"/>
      <c r="H934" s="74"/>
      <c r="I934" s="74"/>
      <c r="J934" s="15"/>
    </row>
    <row r="935">
      <c r="A935" s="15"/>
      <c r="B935" s="15"/>
      <c r="C935" s="15"/>
      <c r="D935" s="15"/>
      <c r="E935" s="74"/>
      <c r="F935" s="74"/>
      <c r="G935" s="74"/>
      <c r="H935" s="74"/>
      <c r="I935" s="74"/>
      <c r="J935" s="15"/>
    </row>
    <row r="936">
      <c r="A936" s="15"/>
      <c r="B936" s="15"/>
      <c r="C936" s="15"/>
      <c r="D936" s="15"/>
      <c r="E936" s="74"/>
      <c r="F936" s="74"/>
      <c r="G936" s="74"/>
      <c r="H936" s="74"/>
      <c r="I936" s="74"/>
      <c r="J936" s="15"/>
    </row>
    <row r="937">
      <c r="A937" s="15"/>
      <c r="B937" s="15"/>
      <c r="C937" s="15"/>
      <c r="D937" s="15"/>
      <c r="E937" s="74"/>
      <c r="F937" s="74"/>
      <c r="G937" s="74"/>
      <c r="H937" s="74"/>
      <c r="I937" s="74"/>
      <c r="J937" s="15"/>
    </row>
    <row r="938">
      <c r="A938" s="15"/>
      <c r="B938" s="15"/>
      <c r="C938" s="15"/>
      <c r="D938" s="15"/>
      <c r="E938" s="74"/>
      <c r="F938" s="74"/>
      <c r="G938" s="74"/>
      <c r="H938" s="74"/>
      <c r="I938" s="74"/>
      <c r="J938" s="15"/>
    </row>
    <row r="939">
      <c r="A939" s="15"/>
      <c r="B939" s="15"/>
      <c r="C939" s="15"/>
      <c r="D939" s="15"/>
      <c r="E939" s="74"/>
      <c r="F939" s="74"/>
      <c r="G939" s="74"/>
      <c r="H939" s="74"/>
      <c r="I939" s="74"/>
      <c r="J939" s="15"/>
    </row>
    <row r="940">
      <c r="A940" s="15"/>
      <c r="B940" s="15"/>
      <c r="C940" s="15"/>
      <c r="D940" s="15"/>
      <c r="E940" s="74"/>
      <c r="F940" s="74"/>
      <c r="G940" s="74"/>
      <c r="H940" s="74"/>
      <c r="I940" s="74"/>
      <c r="J940" s="15"/>
    </row>
    <row r="941">
      <c r="A941" s="15"/>
      <c r="B941" s="15"/>
      <c r="C941" s="15"/>
      <c r="D941" s="15"/>
      <c r="E941" s="74"/>
      <c r="F941" s="74"/>
      <c r="G941" s="74"/>
      <c r="H941" s="74"/>
      <c r="I941" s="74"/>
      <c r="J941" s="15"/>
    </row>
    <row r="942">
      <c r="A942" s="15"/>
      <c r="B942" s="15"/>
      <c r="C942" s="15"/>
      <c r="D942" s="15"/>
      <c r="E942" s="74"/>
      <c r="F942" s="74"/>
      <c r="G942" s="74"/>
      <c r="H942" s="74"/>
      <c r="I942" s="74"/>
      <c r="J942" s="15"/>
    </row>
    <row r="943">
      <c r="A943" s="15"/>
      <c r="B943" s="15"/>
      <c r="C943" s="15"/>
      <c r="D943" s="15"/>
      <c r="E943" s="74"/>
      <c r="F943" s="74"/>
      <c r="G943" s="74"/>
      <c r="H943" s="74"/>
      <c r="I943" s="74"/>
      <c r="J943" s="15"/>
    </row>
    <row r="944">
      <c r="A944" s="15"/>
      <c r="B944" s="15"/>
      <c r="C944" s="15"/>
      <c r="D944" s="15"/>
      <c r="E944" s="74"/>
      <c r="F944" s="74"/>
      <c r="G944" s="74"/>
      <c r="H944" s="74"/>
      <c r="I944" s="74"/>
      <c r="J944" s="15"/>
    </row>
    <row r="945">
      <c r="A945" s="15"/>
      <c r="B945" s="15"/>
      <c r="C945" s="15"/>
      <c r="D945" s="15"/>
      <c r="E945" s="74"/>
      <c r="F945" s="74"/>
      <c r="G945" s="74"/>
      <c r="H945" s="74"/>
      <c r="I945" s="74"/>
      <c r="J945" s="15"/>
    </row>
    <row r="946">
      <c r="A946" s="15"/>
      <c r="B946" s="15"/>
      <c r="C946" s="15"/>
      <c r="D946" s="15"/>
      <c r="E946" s="74"/>
      <c r="F946" s="74"/>
      <c r="G946" s="74"/>
      <c r="H946" s="74"/>
      <c r="I946" s="74"/>
      <c r="J946" s="15"/>
    </row>
    <row r="947">
      <c r="A947" s="15"/>
      <c r="B947" s="15"/>
      <c r="C947" s="15"/>
      <c r="D947" s="15"/>
      <c r="E947" s="74"/>
      <c r="F947" s="74"/>
      <c r="G947" s="74"/>
      <c r="H947" s="74"/>
      <c r="I947" s="74"/>
      <c r="J947" s="15"/>
    </row>
    <row r="948">
      <c r="A948" s="15"/>
      <c r="B948" s="15"/>
      <c r="C948" s="15"/>
      <c r="D948" s="15"/>
      <c r="E948" s="74"/>
      <c r="F948" s="74"/>
      <c r="G948" s="74"/>
      <c r="H948" s="74"/>
      <c r="I948" s="74"/>
      <c r="J948" s="15"/>
    </row>
    <row r="949">
      <c r="A949" s="15"/>
      <c r="B949" s="15"/>
      <c r="C949" s="15"/>
      <c r="D949" s="15"/>
      <c r="E949" s="74"/>
      <c r="F949" s="74"/>
      <c r="G949" s="74"/>
      <c r="H949" s="74"/>
      <c r="I949" s="74"/>
      <c r="J949" s="15"/>
    </row>
    <row r="950">
      <c r="A950" s="15"/>
      <c r="B950" s="15"/>
      <c r="C950" s="15"/>
      <c r="D950" s="15"/>
      <c r="E950" s="74"/>
      <c r="F950" s="74"/>
      <c r="G950" s="74"/>
      <c r="H950" s="74"/>
      <c r="I950" s="74"/>
      <c r="J950" s="15"/>
    </row>
    <row r="951">
      <c r="A951" s="15"/>
      <c r="B951" s="15"/>
      <c r="C951" s="15"/>
      <c r="D951" s="15"/>
      <c r="E951" s="74"/>
      <c r="F951" s="74"/>
      <c r="G951" s="74"/>
      <c r="H951" s="74"/>
      <c r="I951" s="74"/>
      <c r="J951" s="15"/>
    </row>
    <row r="952">
      <c r="A952" s="15"/>
      <c r="B952" s="15"/>
      <c r="C952" s="15"/>
      <c r="D952" s="15"/>
      <c r="E952" s="74"/>
      <c r="F952" s="74"/>
      <c r="G952" s="74"/>
      <c r="H952" s="74"/>
      <c r="I952" s="74"/>
      <c r="J952" s="15"/>
    </row>
    <row r="953">
      <c r="A953" s="15"/>
      <c r="B953" s="15"/>
      <c r="C953" s="15"/>
      <c r="D953" s="15"/>
      <c r="E953" s="74"/>
      <c r="F953" s="74"/>
      <c r="G953" s="74"/>
      <c r="H953" s="74"/>
      <c r="I953" s="74"/>
      <c r="J953" s="15"/>
    </row>
    <row r="954">
      <c r="A954" s="15"/>
      <c r="B954" s="15"/>
      <c r="C954" s="15"/>
      <c r="D954" s="15"/>
      <c r="E954" s="74"/>
      <c r="F954" s="74"/>
      <c r="G954" s="74"/>
      <c r="H954" s="74"/>
      <c r="I954" s="74"/>
      <c r="J954" s="15"/>
    </row>
    <row r="955">
      <c r="A955" s="15"/>
      <c r="B955" s="15"/>
      <c r="C955" s="15"/>
      <c r="D955" s="15"/>
      <c r="E955" s="74"/>
      <c r="F955" s="74"/>
      <c r="G955" s="74"/>
      <c r="H955" s="74"/>
      <c r="I955" s="74"/>
      <c r="J955" s="15"/>
    </row>
    <row r="956">
      <c r="A956" s="15"/>
      <c r="B956" s="15"/>
      <c r="C956" s="15"/>
      <c r="D956" s="15"/>
      <c r="E956" s="74"/>
      <c r="F956" s="74"/>
      <c r="G956" s="74"/>
      <c r="H956" s="74"/>
      <c r="I956" s="74"/>
      <c r="J956" s="15"/>
    </row>
    <row r="957">
      <c r="A957" s="15"/>
      <c r="B957" s="15"/>
      <c r="C957" s="15"/>
      <c r="D957" s="15"/>
      <c r="E957" s="74"/>
      <c r="F957" s="74"/>
      <c r="G957" s="74"/>
      <c r="H957" s="74"/>
      <c r="I957" s="74"/>
      <c r="J957" s="15"/>
    </row>
    <row r="958">
      <c r="A958" s="15"/>
      <c r="B958" s="15"/>
      <c r="C958" s="15"/>
      <c r="D958" s="15"/>
      <c r="E958" s="74"/>
      <c r="F958" s="74"/>
      <c r="G958" s="74"/>
      <c r="H958" s="74"/>
      <c r="I958" s="74"/>
      <c r="J958" s="15"/>
    </row>
    <row r="959">
      <c r="A959" s="15"/>
      <c r="B959" s="15"/>
      <c r="C959" s="15"/>
      <c r="D959" s="15"/>
      <c r="E959" s="74"/>
      <c r="F959" s="74"/>
      <c r="G959" s="74"/>
      <c r="H959" s="74"/>
      <c r="I959" s="74"/>
      <c r="J959" s="15"/>
    </row>
    <row r="960">
      <c r="A960" s="15"/>
      <c r="B960" s="15"/>
      <c r="C960" s="15"/>
      <c r="D960" s="15"/>
      <c r="E960" s="74"/>
      <c r="F960" s="74"/>
      <c r="G960" s="74"/>
      <c r="H960" s="74"/>
      <c r="I960" s="74"/>
      <c r="J960" s="15"/>
    </row>
    <row r="961">
      <c r="A961" s="15"/>
      <c r="B961" s="15"/>
      <c r="C961" s="15"/>
      <c r="D961" s="15"/>
      <c r="E961" s="74"/>
      <c r="F961" s="74"/>
      <c r="G961" s="74"/>
      <c r="H961" s="74"/>
      <c r="I961" s="74"/>
      <c r="J961" s="15"/>
    </row>
    <row r="962">
      <c r="A962" s="15"/>
      <c r="B962" s="15"/>
      <c r="C962" s="15"/>
      <c r="D962" s="15"/>
      <c r="E962" s="74"/>
      <c r="F962" s="74"/>
      <c r="G962" s="74"/>
      <c r="H962" s="74"/>
      <c r="I962" s="74"/>
      <c r="J962" s="15"/>
    </row>
    <row r="963">
      <c r="A963" s="15"/>
      <c r="B963" s="15"/>
      <c r="C963" s="15"/>
      <c r="D963" s="15"/>
      <c r="E963" s="74"/>
      <c r="F963" s="74"/>
      <c r="G963" s="74"/>
      <c r="H963" s="74"/>
      <c r="I963" s="74"/>
      <c r="J963" s="15"/>
    </row>
    <row r="964">
      <c r="A964" s="15"/>
      <c r="B964" s="15"/>
      <c r="C964" s="15"/>
      <c r="D964" s="15"/>
      <c r="E964" s="74"/>
      <c r="F964" s="74"/>
      <c r="G964" s="74"/>
      <c r="H964" s="74"/>
      <c r="I964" s="74"/>
      <c r="J964" s="15"/>
    </row>
    <row r="965">
      <c r="A965" s="15"/>
      <c r="B965" s="15"/>
      <c r="C965" s="15"/>
      <c r="D965" s="15"/>
      <c r="E965" s="74"/>
      <c r="F965" s="74"/>
      <c r="G965" s="74"/>
      <c r="H965" s="74"/>
      <c r="I965" s="74"/>
      <c r="J965" s="15"/>
    </row>
    <row r="966">
      <c r="A966" s="15"/>
      <c r="B966" s="15"/>
      <c r="C966" s="15"/>
      <c r="D966" s="15"/>
      <c r="E966" s="74"/>
      <c r="F966" s="74"/>
      <c r="G966" s="74"/>
      <c r="H966" s="74"/>
      <c r="I966" s="74"/>
      <c r="J966" s="15"/>
    </row>
    <row r="967">
      <c r="A967" s="15"/>
      <c r="B967" s="15"/>
      <c r="C967" s="15"/>
      <c r="D967" s="15"/>
      <c r="E967" s="74"/>
      <c r="F967" s="74"/>
      <c r="G967" s="74"/>
      <c r="H967" s="74"/>
      <c r="I967" s="74"/>
      <c r="J967" s="15"/>
    </row>
    <row r="968">
      <c r="A968" s="15"/>
      <c r="B968" s="15"/>
      <c r="C968" s="15"/>
      <c r="D968" s="15"/>
      <c r="E968" s="74"/>
      <c r="F968" s="74"/>
      <c r="G968" s="74"/>
      <c r="H968" s="74"/>
      <c r="I968" s="74"/>
      <c r="J968" s="15"/>
    </row>
    <row r="969">
      <c r="A969" s="15"/>
      <c r="B969" s="15"/>
      <c r="C969" s="15"/>
      <c r="D969" s="15"/>
      <c r="E969" s="74"/>
      <c r="F969" s="74"/>
      <c r="G969" s="74"/>
      <c r="H969" s="74"/>
      <c r="I969" s="74"/>
      <c r="J969" s="15"/>
    </row>
    <row r="970">
      <c r="A970" s="15"/>
      <c r="B970" s="15"/>
      <c r="C970" s="15"/>
      <c r="D970" s="15"/>
      <c r="E970" s="74"/>
      <c r="F970" s="74"/>
      <c r="G970" s="74"/>
      <c r="H970" s="74"/>
      <c r="I970" s="74"/>
      <c r="J970" s="15"/>
    </row>
    <row r="971">
      <c r="A971" s="15"/>
      <c r="B971" s="15"/>
      <c r="C971" s="15"/>
      <c r="D971" s="15"/>
      <c r="E971" s="74"/>
      <c r="F971" s="74"/>
      <c r="G971" s="74"/>
      <c r="H971" s="74"/>
      <c r="I971" s="74"/>
      <c r="J971" s="15"/>
    </row>
    <row r="972">
      <c r="A972" s="15"/>
      <c r="B972" s="15"/>
      <c r="C972" s="15"/>
      <c r="D972" s="15"/>
      <c r="E972" s="74"/>
      <c r="F972" s="74"/>
      <c r="G972" s="74"/>
      <c r="H972" s="74"/>
      <c r="I972" s="74"/>
      <c r="J972" s="15"/>
    </row>
    <row r="973">
      <c r="A973" s="15"/>
      <c r="B973" s="15"/>
      <c r="C973" s="15"/>
      <c r="D973" s="15"/>
      <c r="E973" s="74"/>
      <c r="F973" s="74"/>
      <c r="G973" s="74"/>
      <c r="H973" s="74"/>
      <c r="I973" s="74"/>
      <c r="J973" s="15"/>
    </row>
    <row r="974">
      <c r="A974" s="15"/>
      <c r="B974" s="15"/>
      <c r="C974" s="15"/>
      <c r="D974" s="15"/>
      <c r="E974" s="74"/>
      <c r="F974" s="74"/>
      <c r="G974" s="74"/>
      <c r="H974" s="74"/>
      <c r="I974" s="74"/>
      <c r="J974" s="15"/>
    </row>
    <row r="975">
      <c r="A975" s="15"/>
      <c r="B975" s="15"/>
      <c r="C975" s="15"/>
      <c r="D975" s="15"/>
      <c r="E975" s="74"/>
      <c r="F975" s="74"/>
      <c r="G975" s="74"/>
      <c r="H975" s="74"/>
      <c r="I975" s="74"/>
      <c r="J975" s="15"/>
    </row>
    <row r="976">
      <c r="A976" s="15"/>
      <c r="B976" s="15"/>
      <c r="C976" s="15"/>
      <c r="D976" s="15"/>
      <c r="E976" s="74"/>
      <c r="F976" s="74"/>
      <c r="G976" s="74"/>
      <c r="H976" s="74"/>
      <c r="I976" s="74"/>
      <c r="J976" s="15"/>
    </row>
    <row r="977">
      <c r="A977" s="15"/>
      <c r="B977" s="15"/>
      <c r="C977" s="15"/>
      <c r="D977" s="15"/>
      <c r="E977" s="74"/>
      <c r="F977" s="74"/>
      <c r="G977" s="74"/>
      <c r="H977" s="74"/>
      <c r="I977" s="74"/>
      <c r="J977" s="15"/>
    </row>
    <row r="978">
      <c r="A978" s="15"/>
      <c r="B978" s="15"/>
      <c r="C978" s="15"/>
      <c r="D978" s="15"/>
      <c r="E978" s="74"/>
      <c r="F978" s="74"/>
      <c r="G978" s="74"/>
      <c r="H978" s="74"/>
      <c r="I978" s="74"/>
      <c r="J978" s="15"/>
    </row>
    <row r="979">
      <c r="A979" s="15"/>
      <c r="B979" s="15"/>
      <c r="C979" s="15"/>
      <c r="D979" s="15"/>
      <c r="E979" s="74"/>
      <c r="F979" s="74"/>
      <c r="G979" s="74"/>
      <c r="H979" s="74"/>
      <c r="I979" s="74"/>
      <c r="J979" s="15"/>
    </row>
    <row r="980">
      <c r="A980" s="15"/>
      <c r="B980" s="15"/>
      <c r="C980" s="15"/>
      <c r="D980" s="15"/>
      <c r="E980" s="74"/>
      <c r="F980" s="74"/>
      <c r="G980" s="74"/>
      <c r="H980" s="74"/>
      <c r="I980" s="74"/>
      <c r="J980" s="15"/>
    </row>
    <row r="981">
      <c r="A981" s="15"/>
      <c r="B981" s="15"/>
      <c r="C981" s="15"/>
      <c r="D981" s="15"/>
      <c r="E981" s="74"/>
      <c r="F981" s="74"/>
      <c r="G981" s="74"/>
      <c r="H981" s="74"/>
      <c r="I981" s="74"/>
      <c r="J981" s="15"/>
    </row>
    <row r="982">
      <c r="A982" s="15"/>
      <c r="B982" s="15"/>
      <c r="C982" s="15"/>
      <c r="D982" s="15"/>
      <c r="E982" s="74"/>
      <c r="F982" s="74"/>
      <c r="G982" s="74"/>
      <c r="H982" s="74"/>
      <c r="I982" s="74"/>
      <c r="J982" s="15"/>
    </row>
    <row r="983">
      <c r="A983" s="15"/>
      <c r="B983" s="15"/>
      <c r="C983" s="15"/>
      <c r="D983" s="15"/>
      <c r="E983" s="74"/>
      <c r="F983" s="74"/>
      <c r="G983" s="74"/>
      <c r="H983" s="74"/>
      <c r="I983" s="74"/>
      <c r="J983" s="15"/>
    </row>
    <row r="984">
      <c r="A984" s="15"/>
      <c r="B984" s="15"/>
      <c r="C984" s="15"/>
      <c r="D984" s="15"/>
      <c r="E984" s="74"/>
      <c r="F984" s="74"/>
      <c r="G984" s="74"/>
      <c r="H984" s="74"/>
      <c r="I984" s="74"/>
      <c r="J984" s="15"/>
    </row>
    <row r="985">
      <c r="A985" s="15"/>
      <c r="B985" s="15"/>
      <c r="C985" s="15"/>
      <c r="D985" s="15"/>
      <c r="E985" s="74"/>
      <c r="F985" s="74"/>
      <c r="G985" s="74"/>
      <c r="H985" s="74"/>
      <c r="I985" s="74"/>
      <c r="J985" s="15"/>
    </row>
    <row r="986">
      <c r="A986" s="15"/>
      <c r="B986" s="15"/>
      <c r="C986" s="15"/>
      <c r="D986" s="15"/>
      <c r="E986" s="74"/>
      <c r="F986" s="74"/>
      <c r="G986" s="74"/>
      <c r="H986" s="74"/>
      <c r="I986" s="74"/>
      <c r="J986" s="15"/>
    </row>
    <row r="987">
      <c r="A987" s="15"/>
      <c r="B987" s="15"/>
      <c r="C987" s="15"/>
      <c r="D987" s="15"/>
      <c r="E987" s="74"/>
      <c r="F987" s="74"/>
      <c r="G987" s="74"/>
      <c r="H987" s="74"/>
      <c r="I987" s="74"/>
      <c r="J987" s="15"/>
    </row>
    <row r="988">
      <c r="A988" s="15"/>
      <c r="B988" s="15"/>
      <c r="C988" s="15"/>
      <c r="D988" s="15"/>
      <c r="E988" s="74"/>
      <c r="F988" s="74"/>
      <c r="G988" s="74"/>
      <c r="H988" s="74"/>
      <c r="I988" s="74"/>
      <c r="J988" s="15"/>
    </row>
    <row r="989">
      <c r="A989" s="15"/>
      <c r="B989" s="15"/>
      <c r="C989" s="15"/>
      <c r="D989" s="15"/>
      <c r="E989" s="74"/>
      <c r="F989" s="74"/>
      <c r="G989" s="74"/>
      <c r="H989" s="74"/>
      <c r="I989" s="74"/>
      <c r="J989" s="15"/>
    </row>
    <row r="990">
      <c r="A990" s="15"/>
      <c r="B990" s="15"/>
      <c r="C990" s="15"/>
      <c r="D990" s="15"/>
      <c r="E990" s="74"/>
      <c r="F990" s="74"/>
      <c r="G990" s="74"/>
      <c r="H990" s="74"/>
      <c r="I990" s="74"/>
      <c r="J990" s="15"/>
    </row>
    <row r="991">
      <c r="A991" s="15"/>
      <c r="B991" s="15"/>
      <c r="C991" s="15"/>
      <c r="D991" s="15"/>
      <c r="E991" s="74"/>
      <c r="F991" s="74"/>
      <c r="G991" s="74"/>
      <c r="H991" s="74"/>
      <c r="I991" s="74"/>
      <c r="J991" s="15"/>
    </row>
    <row r="992">
      <c r="A992" s="15"/>
      <c r="B992" s="15"/>
      <c r="C992" s="15"/>
      <c r="D992" s="15"/>
      <c r="E992" s="74"/>
      <c r="F992" s="74"/>
      <c r="G992" s="74"/>
      <c r="H992" s="74"/>
      <c r="I992" s="74"/>
      <c r="J992" s="15"/>
    </row>
    <row r="993">
      <c r="A993" s="15"/>
      <c r="B993" s="15"/>
      <c r="C993" s="15"/>
      <c r="D993" s="15"/>
      <c r="E993" s="74"/>
      <c r="F993" s="74"/>
      <c r="G993" s="74"/>
      <c r="H993" s="74"/>
      <c r="I993" s="74"/>
      <c r="J993" s="15"/>
    </row>
    <row r="994">
      <c r="A994" s="15"/>
      <c r="B994" s="15"/>
      <c r="C994" s="15"/>
      <c r="D994" s="15"/>
      <c r="E994" s="74"/>
      <c r="F994" s="74"/>
      <c r="G994" s="74"/>
      <c r="H994" s="74"/>
      <c r="I994" s="74"/>
      <c r="J994" s="15"/>
    </row>
    <row r="995">
      <c r="A995" s="15"/>
      <c r="B995" s="15"/>
      <c r="C995" s="15"/>
      <c r="D995" s="15"/>
      <c r="E995" s="74"/>
      <c r="F995" s="74"/>
      <c r="G995" s="74"/>
      <c r="H995" s="74"/>
      <c r="I995" s="74"/>
      <c r="J995" s="15"/>
    </row>
    <row r="996">
      <c r="A996" s="15"/>
      <c r="B996" s="15"/>
      <c r="C996" s="15"/>
      <c r="D996" s="15"/>
      <c r="E996" s="74"/>
      <c r="F996" s="74"/>
      <c r="G996" s="74"/>
      <c r="H996" s="74"/>
      <c r="I996" s="74"/>
      <c r="J996" s="15"/>
    </row>
    <row r="997">
      <c r="A997" s="15"/>
      <c r="B997" s="15"/>
      <c r="C997" s="15"/>
      <c r="D997" s="15"/>
      <c r="E997" s="74"/>
      <c r="F997" s="74"/>
      <c r="G997" s="74"/>
      <c r="H997" s="74"/>
      <c r="I997" s="74"/>
      <c r="J997" s="15"/>
    </row>
    <row r="998">
      <c r="A998" s="15"/>
      <c r="B998" s="15"/>
      <c r="C998" s="15"/>
      <c r="D998" s="15"/>
      <c r="E998" s="74"/>
      <c r="F998" s="74"/>
      <c r="G998" s="74"/>
      <c r="H998" s="74"/>
      <c r="I998" s="74"/>
      <c r="J998" s="15"/>
    </row>
    <row r="999">
      <c r="A999" s="15"/>
      <c r="B999" s="15"/>
      <c r="C999" s="15"/>
      <c r="D999" s="15"/>
      <c r="E999" s="74"/>
      <c r="F999" s="74"/>
      <c r="G999" s="74"/>
      <c r="H999" s="74"/>
      <c r="I999" s="74"/>
      <c r="J999" s="15"/>
    </row>
    <row r="1000">
      <c r="A1000" s="15"/>
      <c r="B1000" s="15"/>
      <c r="C1000" s="15"/>
      <c r="D1000" s="15"/>
      <c r="E1000" s="74"/>
      <c r="F1000" s="74"/>
      <c r="G1000" s="74"/>
      <c r="H1000" s="74"/>
      <c r="I1000" s="74"/>
      <c r="J1000" s="15"/>
    </row>
    <row r="1001">
      <c r="A1001" s="15"/>
      <c r="B1001" s="15"/>
      <c r="C1001" s="15"/>
      <c r="D1001" s="15"/>
      <c r="E1001" s="74"/>
      <c r="F1001" s="74"/>
      <c r="G1001" s="74"/>
      <c r="H1001" s="74"/>
      <c r="I1001" s="74"/>
      <c r="J1001" s="15"/>
    </row>
    <row r="1002">
      <c r="A1002" s="15"/>
      <c r="B1002" s="15"/>
      <c r="C1002" s="15"/>
      <c r="D1002" s="15"/>
      <c r="E1002" s="74"/>
      <c r="F1002" s="74"/>
      <c r="G1002" s="74"/>
      <c r="H1002" s="74"/>
      <c r="I1002" s="74"/>
      <c r="J1002" s="15"/>
    </row>
    <row r="1003">
      <c r="A1003" s="15"/>
      <c r="B1003" s="15"/>
      <c r="C1003" s="15"/>
      <c r="D1003" s="15"/>
      <c r="E1003" s="74"/>
      <c r="F1003" s="74"/>
      <c r="G1003" s="74"/>
      <c r="H1003" s="74"/>
      <c r="I1003" s="74"/>
      <c r="J1003" s="15"/>
    </row>
    <row r="1004">
      <c r="A1004" s="15"/>
      <c r="B1004" s="15"/>
      <c r="C1004" s="15"/>
      <c r="D1004" s="15"/>
      <c r="E1004" s="74"/>
      <c r="F1004" s="74"/>
      <c r="G1004" s="74"/>
      <c r="H1004" s="74"/>
      <c r="I1004" s="74"/>
      <c r="J1004" s="15"/>
    </row>
    <row r="1005">
      <c r="A1005" s="15"/>
      <c r="B1005" s="15"/>
      <c r="C1005" s="15"/>
      <c r="D1005" s="15"/>
      <c r="E1005" s="74"/>
      <c r="F1005" s="74"/>
      <c r="G1005" s="74"/>
      <c r="H1005" s="74"/>
      <c r="I1005" s="74"/>
      <c r="J1005" s="15"/>
    </row>
    <row r="1006">
      <c r="A1006" s="15"/>
      <c r="B1006" s="15"/>
      <c r="C1006" s="15"/>
      <c r="D1006" s="15"/>
      <c r="E1006" s="74"/>
      <c r="F1006" s="74"/>
      <c r="G1006" s="74"/>
      <c r="H1006" s="74"/>
      <c r="I1006" s="74"/>
      <c r="J1006" s="15"/>
    </row>
    <row r="1007">
      <c r="A1007" s="15"/>
      <c r="B1007" s="15"/>
      <c r="C1007" s="15"/>
      <c r="D1007" s="15"/>
      <c r="E1007" s="74"/>
      <c r="F1007" s="74"/>
      <c r="G1007" s="74"/>
      <c r="H1007" s="74"/>
      <c r="I1007" s="74"/>
      <c r="J1007" s="15"/>
    </row>
    <row r="1008">
      <c r="A1008" s="15"/>
      <c r="B1008" s="15"/>
      <c r="C1008" s="15"/>
      <c r="D1008" s="15"/>
      <c r="E1008" s="74"/>
      <c r="F1008" s="74"/>
      <c r="G1008" s="74"/>
      <c r="H1008" s="74"/>
      <c r="I1008" s="74"/>
      <c r="J1008" s="15"/>
    </row>
    <row r="1009">
      <c r="A1009" s="15"/>
      <c r="B1009" s="15"/>
      <c r="C1009" s="15"/>
      <c r="D1009" s="15"/>
      <c r="E1009" s="74"/>
      <c r="F1009" s="74"/>
      <c r="G1009" s="74"/>
      <c r="H1009" s="74"/>
      <c r="I1009" s="74"/>
      <c r="J1009" s="15"/>
    </row>
    <row r="1010">
      <c r="A1010" s="15"/>
      <c r="B1010" s="15"/>
      <c r="C1010" s="15"/>
      <c r="D1010" s="15"/>
      <c r="E1010" s="74"/>
      <c r="F1010" s="74"/>
      <c r="G1010" s="74"/>
      <c r="H1010" s="74"/>
      <c r="I1010" s="74"/>
      <c r="J1010" s="15"/>
    </row>
    <row r="1011">
      <c r="A1011" s="15"/>
      <c r="B1011" s="15"/>
      <c r="C1011" s="15"/>
      <c r="D1011" s="15"/>
      <c r="E1011" s="74"/>
      <c r="F1011" s="74"/>
      <c r="G1011" s="74"/>
      <c r="H1011" s="74"/>
      <c r="I1011" s="74"/>
      <c r="J1011" s="15"/>
    </row>
    <row r="1012">
      <c r="A1012" s="15"/>
      <c r="B1012" s="15"/>
      <c r="C1012" s="15"/>
      <c r="D1012" s="15"/>
      <c r="E1012" s="74"/>
      <c r="F1012" s="74"/>
      <c r="G1012" s="74"/>
      <c r="H1012" s="74"/>
      <c r="I1012" s="74"/>
      <c r="J1012" s="15"/>
    </row>
    <row r="1013">
      <c r="A1013" s="15"/>
      <c r="B1013" s="15"/>
      <c r="C1013" s="15"/>
      <c r="D1013" s="15"/>
      <c r="E1013" s="74"/>
      <c r="F1013" s="74"/>
      <c r="G1013" s="74"/>
      <c r="H1013" s="74"/>
      <c r="I1013" s="74"/>
      <c r="J1013" s="15"/>
    </row>
    <row r="1014">
      <c r="A1014" s="15"/>
      <c r="B1014" s="15"/>
      <c r="C1014" s="15"/>
      <c r="D1014" s="15"/>
      <c r="E1014" s="74"/>
      <c r="F1014" s="74"/>
      <c r="G1014" s="74"/>
      <c r="H1014" s="74"/>
      <c r="I1014" s="74"/>
      <c r="J1014" s="15"/>
    </row>
    <row r="1015">
      <c r="A1015" s="15"/>
      <c r="B1015" s="15"/>
      <c r="C1015" s="15"/>
      <c r="D1015" s="15"/>
      <c r="E1015" s="74"/>
      <c r="F1015" s="74"/>
      <c r="G1015" s="74"/>
      <c r="H1015" s="74"/>
      <c r="I1015" s="74"/>
      <c r="J1015" s="15"/>
    </row>
    <row r="1016">
      <c r="A1016" s="15"/>
      <c r="B1016" s="15"/>
      <c r="C1016" s="15"/>
      <c r="D1016" s="15"/>
      <c r="E1016" s="74"/>
      <c r="F1016" s="74"/>
      <c r="G1016" s="74"/>
      <c r="H1016" s="74"/>
      <c r="I1016" s="74"/>
      <c r="J1016" s="15"/>
    </row>
    <row r="1017">
      <c r="A1017" s="15"/>
      <c r="B1017" s="15"/>
      <c r="C1017" s="15"/>
      <c r="D1017" s="15"/>
      <c r="E1017" s="74"/>
      <c r="F1017" s="74"/>
      <c r="G1017" s="74"/>
      <c r="H1017" s="74"/>
      <c r="I1017" s="74"/>
      <c r="J1017" s="15"/>
    </row>
    <row r="1018">
      <c r="A1018" s="15"/>
      <c r="B1018" s="15"/>
      <c r="C1018" s="15"/>
      <c r="D1018" s="15"/>
      <c r="E1018" s="74"/>
      <c r="F1018" s="74"/>
      <c r="G1018" s="74"/>
      <c r="H1018" s="74"/>
      <c r="I1018" s="74"/>
      <c r="J1018" s="15"/>
    </row>
    <row r="1019">
      <c r="A1019" s="15"/>
      <c r="B1019" s="15"/>
      <c r="C1019" s="15"/>
      <c r="D1019" s="15"/>
      <c r="E1019" s="74"/>
      <c r="F1019" s="74"/>
      <c r="G1019" s="74"/>
      <c r="H1019" s="74"/>
      <c r="I1019" s="74"/>
      <c r="J1019" s="15"/>
    </row>
    <row r="1020">
      <c r="A1020" s="15"/>
      <c r="B1020" s="15"/>
      <c r="C1020" s="15"/>
      <c r="D1020" s="15"/>
      <c r="E1020" s="74"/>
      <c r="F1020" s="74"/>
      <c r="G1020" s="74"/>
      <c r="H1020" s="74"/>
      <c r="I1020" s="74"/>
      <c r="J1020" s="15"/>
    </row>
    <row r="1021">
      <c r="A1021" s="15"/>
      <c r="B1021" s="15"/>
      <c r="C1021" s="15"/>
      <c r="D1021" s="15"/>
      <c r="E1021" s="74"/>
      <c r="F1021" s="74"/>
      <c r="G1021" s="74"/>
      <c r="H1021" s="74"/>
      <c r="I1021" s="74"/>
      <c r="J1021" s="15"/>
    </row>
    <row r="1022">
      <c r="A1022" s="15"/>
      <c r="B1022" s="15"/>
      <c r="C1022" s="15"/>
      <c r="D1022" s="15"/>
      <c r="E1022" s="74"/>
      <c r="F1022" s="74"/>
      <c r="G1022" s="74"/>
      <c r="H1022" s="74"/>
      <c r="I1022" s="74"/>
      <c r="J1022" s="15"/>
    </row>
    <row r="1023">
      <c r="A1023" s="15"/>
      <c r="B1023" s="15"/>
      <c r="C1023" s="15"/>
      <c r="D1023" s="15"/>
      <c r="E1023" s="74"/>
      <c r="F1023" s="74"/>
      <c r="G1023" s="74"/>
      <c r="H1023" s="74"/>
      <c r="I1023" s="74"/>
      <c r="J1023" s="15"/>
    </row>
    <row r="1024">
      <c r="A1024" s="15"/>
      <c r="B1024" s="15"/>
      <c r="C1024" s="15"/>
      <c r="D1024" s="15"/>
      <c r="E1024" s="74"/>
      <c r="F1024" s="74"/>
      <c r="G1024" s="74"/>
      <c r="H1024" s="74"/>
      <c r="I1024" s="74"/>
      <c r="J1024" s="15"/>
    </row>
    <row r="1025">
      <c r="A1025" s="15"/>
      <c r="B1025" s="15"/>
      <c r="C1025" s="15"/>
      <c r="D1025" s="15"/>
      <c r="E1025" s="74"/>
      <c r="F1025" s="74"/>
      <c r="G1025" s="74"/>
      <c r="H1025" s="74"/>
      <c r="I1025" s="74"/>
      <c r="J1025" s="15"/>
    </row>
    <row r="1026">
      <c r="A1026" s="15"/>
      <c r="B1026" s="15"/>
      <c r="C1026" s="15"/>
      <c r="D1026" s="15"/>
      <c r="E1026" s="74"/>
      <c r="F1026" s="74"/>
      <c r="G1026" s="74"/>
      <c r="H1026" s="74"/>
      <c r="I1026" s="74"/>
      <c r="J1026" s="15"/>
    </row>
    <row r="1027">
      <c r="A1027" s="15"/>
      <c r="B1027" s="15"/>
      <c r="C1027" s="15"/>
      <c r="D1027" s="15"/>
      <c r="E1027" s="74"/>
      <c r="F1027" s="74"/>
      <c r="G1027" s="74"/>
      <c r="H1027" s="74"/>
      <c r="I1027" s="74"/>
      <c r="J1027" s="15"/>
    </row>
    <row r="1028">
      <c r="A1028" s="15"/>
      <c r="B1028" s="15"/>
      <c r="C1028" s="15"/>
      <c r="D1028" s="15"/>
      <c r="E1028" s="74"/>
      <c r="F1028" s="74"/>
      <c r="G1028" s="74"/>
      <c r="H1028" s="74"/>
      <c r="I1028" s="74"/>
      <c r="J1028" s="15"/>
    </row>
    <row r="1029">
      <c r="A1029" s="15"/>
      <c r="B1029" s="15"/>
      <c r="C1029" s="15"/>
      <c r="D1029" s="15"/>
      <c r="E1029" s="74"/>
      <c r="F1029" s="74"/>
      <c r="G1029" s="74"/>
      <c r="H1029" s="74"/>
      <c r="I1029" s="74"/>
      <c r="J1029" s="15"/>
    </row>
    <row r="1030">
      <c r="A1030" s="15"/>
      <c r="B1030" s="15"/>
      <c r="C1030" s="15"/>
      <c r="D1030" s="15"/>
      <c r="E1030" s="74"/>
      <c r="F1030" s="74"/>
      <c r="G1030" s="74"/>
      <c r="H1030" s="74"/>
      <c r="I1030" s="74"/>
      <c r="J1030" s="15"/>
    </row>
    <row r="1031">
      <c r="A1031" s="15"/>
      <c r="B1031" s="15"/>
      <c r="C1031" s="15"/>
      <c r="D1031" s="15"/>
      <c r="E1031" s="74"/>
      <c r="F1031" s="74"/>
      <c r="G1031" s="74"/>
      <c r="H1031" s="74"/>
      <c r="I1031" s="74"/>
      <c r="J1031" s="15"/>
    </row>
    <row r="1032">
      <c r="A1032" s="15"/>
      <c r="B1032" s="15"/>
      <c r="C1032" s="15"/>
      <c r="D1032" s="15"/>
      <c r="E1032" s="74"/>
      <c r="F1032" s="74"/>
      <c r="G1032" s="74"/>
      <c r="H1032" s="74"/>
      <c r="I1032" s="74"/>
      <c r="J1032" s="15"/>
    </row>
  </sheetData>
  <autoFilter ref="$A$1:$J$1032"/>
  <mergeCells count="18">
    <mergeCell ref="A10:B10"/>
    <mergeCell ref="A21:B21"/>
    <mergeCell ref="A33:B33"/>
    <mergeCell ref="A45:B45"/>
    <mergeCell ref="A52:B52"/>
    <mergeCell ref="A58:B58"/>
    <mergeCell ref="A61:B61"/>
    <mergeCell ref="A105:B105"/>
    <mergeCell ref="A111:B111"/>
    <mergeCell ref="A114:B114"/>
    <mergeCell ref="A118:B118"/>
    <mergeCell ref="A66:B66"/>
    <mergeCell ref="A69:B69"/>
    <mergeCell ref="A77:B77"/>
    <mergeCell ref="A83:B83"/>
    <mergeCell ref="A86:B86"/>
    <mergeCell ref="A92:B92"/>
    <mergeCell ref="A99:B99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1.75"/>
    <col customWidth="1" min="2" max="3" width="15.0"/>
  </cols>
  <sheetData>
    <row r="1">
      <c r="A1" s="3" t="s">
        <v>0</v>
      </c>
      <c r="B1" s="6" t="s">
        <v>1</v>
      </c>
      <c r="C1" s="9" t="s">
        <v>7</v>
      </c>
      <c r="D1" s="6" t="s">
        <v>2</v>
      </c>
      <c r="E1" s="6" t="s">
        <v>3</v>
      </c>
      <c r="F1" s="11" t="s">
        <v>5</v>
      </c>
      <c r="G1" s="11" t="s">
        <v>9</v>
      </c>
      <c r="H1" s="11" t="s">
        <v>13</v>
      </c>
      <c r="I1" s="11" t="s">
        <v>20</v>
      </c>
      <c r="J1" s="14" t="s">
        <v>21</v>
      </c>
      <c r="K1" s="15"/>
      <c r="L1" s="15"/>
      <c r="M1" s="15"/>
      <c r="N1" s="15"/>
      <c r="O1" s="15"/>
      <c r="P1" s="15"/>
      <c r="Q1" s="15"/>
      <c r="R1" s="15"/>
    </row>
    <row r="2">
      <c r="A2" s="19" t="s">
        <v>25</v>
      </c>
      <c r="B2" s="24" t="s">
        <v>24</v>
      </c>
      <c r="C2" s="27" t="s">
        <v>28</v>
      </c>
      <c r="D2" s="30">
        <v>252950.0</v>
      </c>
      <c r="E2" s="30">
        <v>564.0</v>
      </c>
      <c r="F2" s="37">
        <f t="shared" ref="F2:F180" si="1">G2/1.22</f>
        <v>65194.32346</v>
      </c>
      <c r="G2" s="37">
        <f t="shared" ref="G2:G35" si="2">H2/1.005</f>
        <v>79537.07463</v>
      </c>
      <c r="H2" s="39">
        <v>79934.76</v>
      </c>
      <c r="I2" s="37">
        <f t="shared" ref="I2:I35" si="3">F2/D2*1000</f>
        <v>257.736009</v>
      </c>
      <c r="J2" s="41">
        <f t="shared" ref="J2:J135" si="4">F2/E2</f>
        <v>115.5927721</v>
      </c>
      <c r="K2" s="42"/>
      <c r="L2" s="42"/>
      <c r="M2" s="42"/>
      <c r="N2" s="42"/>
      <c r="O2" s="42"/>
      <c r="P2" s="42"/>
      <c r="Q2" s="42"/>
      <c r="R2" s="42"/>
    </row>
    <row r="3">
      <c r="B3" s="18" t="s">
        <v>24</v>
      </c>
      <c r="C3" s="45" t="s">
        <v>34</v>
      </c>
      <c r="D3" s="21">
        <v>262933.0</v>
      </c>
      <c r="E3" s="21">
        <v>652.0</v>
      </c>
      <c r="F3" s="38">
        <f t="shared" si="1"/>
        <v>71311.72009</v>
      </c>
      <c r="G3" s="38">
        <f t="shared" si="2"/>
        <v>87000.29851</v>
      </c>
      <c r="H3" s="44">
        <v>87435.3</v>
      </c>
      <c r="I3" s="38">
        <f t="shared" si="3"/>
        <v>271.2163178</v>
      </c>
      <c r="J3" s="49">
        <f t="shared" si="4"/>
        <v>109.3738038</v>
      </c>
      <c r="K3" s="15"/>
      <c r="L3" s="15"/>
      <c r="M3" s="15"/>
      <c r="N3" s="15"/>
      <c r="O3" s="15"/>
      <c r="P3" s="15"/>
      <c r="Q3" s="15"/>
      <c r="R3" s="15"/>
    </row>
    <row r="4">
      <c r="B4" s="18" t="s">
        <v>24</v>
      </c>
      <c r="C4" s="45" t="s">
        <v>36</v>
      </c>
      <c r="D4" s="21">
        <v>293904.0</v>
      </c>
      <c r="E4" s="21">
        <v>686.0</v>
      </c>
      <c r="F4" s="38">
        <f t="shared" si="1"/>
        <v>83950.66471</v>
      </c>
      <c r="G4" s="38">
        <f t="shared" si="2"/>
        <v>102419.8109</v>
      </c>
      <c r="H4" s="44">
        <v>102931.90999999999</v>
      </c>
      <c r="I4" s="38">
        <f t="shared" si="3"/>
        <v>285.6397487</v>
      </c>
      <c r="J4" s="49">
        <f t="shared" si="4"/>
        <v>122.3770623</v>
      </c>
      <c r="K4" s="15"/>
      <c r="L4" s="15"/>
      <c r="M4" s="15"/>
      <c r="N4" s="15"/>
      <c r="O4" s="15"/>
      <c r="P4" s="15"/>
      <c r="Q4" s="15"/>
      <c r="R4" s="15"/>
    </row>
    <row r="5">
      <c r="B5" s="56" t="s">
        <v>24</v>
      </c>
      <c r="C5" s="58" t="s">
        <v>38</v>
      </c>
      <c r="D5" s="59">
        <v>353747.0</v>
      </c>
      <c r="E5" s="59">
        <v>811.0</v>
      </c>
      <c r="F5" s="60">
        <f t="shared" si="1"/>
        <v>105724.9246</v>
      </c>
      <c r="G5" s="60">
        <f t="shared" si="2"/>
        <v>128984.408</v>
      </c>
      <c r="H5" s="62">
        <v>129629.33000000003</v>
      </c>
      <c r="I5" s="60">
        <f t="shared" si="3"/>
        <v>298.8715793</v>
      </c>
      <c r="J5" s="64">
        <f t="shared" si="4"/>
        <v>130.3636554</v>
      </c>
      <c r="K5" s="15"/>
      <c r="L5" s="15"/>
      <c r="M5" s="15"/>
      <c r="N5" s="15"/>
      <c r="O5" s="15"/>
      <c r="P5" s="15"/>
      <c r="Q5" s="15"/>
      <c r="R5" s="15"/>
    </row>
    <row r="6">
      <c r="A6" s="19" t="s">
        <v>35</v>
      </c>
      <c r="B6" s="24" t="s">
        <v>24</v>
      </c>
      <c r="C6" s="27" t="s">
        <v>28</v>
      </c>
      <c r="D6" s="30">
        <v>416263.0</v>
      </c>
      <c r="E6" s="30">
        <v>328.0</v>
      </c>
      <c r="F6" s="37">
        <f t="shared" si="1"/>
        <v>53309.45274</v>
      </c>
      <c r="G6" s="37">
        <f t="shared" si="2"/>
        <v>65037.53234</v>
      </c>
      <c r="H6" s="39">
        <v>65362.72</v>
      </c>
      <c r="I6" s="37">
        <f t="shared" si="3"/>
        <v>128.0667576</v>
      </c>
      <c r="J6" s="41">
        <f t="shared" si="4"/>
        <v>162.5288193</v>
      </c>
      <c r="K6" s="42"/>
      <c r="L6" s="42"/>
      <c r="M6" s="42"/>
      <c r="N6" s="42"/>
      <c r="O6" s="42"/>
      <c r="P6" s="42"/>
      <c r="Q6" s="42"/>
      <c r="R6" s="42"/>
    </row>
    <row r="7">
      <c r="B7" s="18" t="s">
        <v>24</v>
      </c>
      <c r="C7" s="45" t="s">
        <v>34</v>
      </c>
      <c r="D7" s="21">
        <v>570573.0</v>
      </c>
      <c r="E7" s="21">
        <v>474.0</v>
      </c>
      <c r="F7" s="38">
        <f t="shared" si="1"/>
        <v>74157.4423</v>
      </c>
      <c r="G7" s="38">
        <f t="shared" si="2"/>
        <v>90472.0796</v>
      </c>
      <c r="H7" s="44">
        <v>90924.44</v>
      </c>
      <c r="I7" s="38">
        <f t="shared" si="3"/>
        <v>129.9701218</v>
      </c>
      <c r="J7" s="49">
        <f t="shared" si="4"/>
        <v>156.4503002</v>
      </c>
      <c r="K7" s="15"/>
      <c r="L7" s="15"/>
      <c r="M7" s="15"/>
      <c r="N7" s="15"/>
      <c r="O7" s="15"/>
      <c r="P7" s="15"/>
      <c r="Q7" s="15"/>
      <c r="R7" s="15"/>
    </row>
    <row r="8">
      <c r="B8" s="18" t="s">
        <v>24</v>
      </c>
      <c r="C8" s="45" t="s">
        <v>36</v>
      </c>
      <c r="D8" s="21">
        <v>538599.0</v>
      </c>
      <c r="E8" s="21">
        <v>373.0</v>
      </c>
      <c r="F8" s="38">
        <f t="shared" si="1"/>
        <v>74854.99551</v>
      </c>
      <c r="G8" s="38">
        <f t="shared" si="2"/>
        <v>91323.09453</v>
      </c>
      <c r="H8" s="44">
        <v>91779.70999999999</v>
      </c>
      <c r="I8" s="38">
        <f t="shared" si="3"/>
        <v>138.9809404</v>
      </c>
      <c r="J8" s="49">
        <f t="shared" si="4"/>
        <v>200.6836341</v>
      </c>
      <c r="K8" s="15"/>
      <c r="L8" s="15"/>
      <c r="M8" s="15"/>
      <c r="N8" s="15"/>
      <c r="O8" s="15"/>
      <c r="P8" s="15"/>
      <c r="Q8" s="15"/>
      <c r="R8" s="15"/>
    </row>
    <row r="9">
      <c r="B9" s="56" t="s">
        <v>24</v>
      </c>
      <c r="C9" s="58" t="s">
        <v>38</v>
      </c>
      <c r="D9" s="59">
        <v>662267.0</v>
      </c>
      <c r="E9" s="59">
        <v>420.0</v>
      </c>
      <c r="F9" s="60">
        <f t="shared" si="1"/>
        <v>96210.88818</v>
      </c>
      <c r="G9" s="60">
        <f t="shared" si="2"/>
        <v>117377.2836</v>
      </c>
      <c r="H9" s="62">
        <v>117964.16999999995</v>
      </c>
      <c r="I9" s="60">
        <f t="shared" si="3"/>
        <v>145.2750751</v>
      </c>
      <c r="J9" s="64">
        <f t="shared" si="4"/>
        <v>229.0735433</v>
      </c>
      <c r="K9" s="15"/>
      <c r="L9" s="15"/>
      <c r="M9" s="15"/>
      <c r="N9" s="15"/>
      <c r="O9" s="15"/>
      <c r="P9" s="15"/>
      <c r="Q9" s="15"/>
      <c r="R9" s="15"/>
    </row>
    <row r="10">
      <c r="A10" s="19" t="s">
        <v>37</v>
      </c>
      <c r="B10" s="24" t="s">
        <v>24</v>
      </c>
      <c r="C10" s="27" t="s">
        <v>28</v>
      </c>
      <c r="D10" s="30">
        <v>569942.0</v>
      </c>
      <c r="E10" s="30">
        <v>3986.0</v>
      </c>
      <c r="F10" s="37">
        <f t="shared" si="1"/>
        <v>77950</v>
      </c>
      <c r="G10" s="37">
        <f t="shared" si="2"/>
        <v>95099</v>
      </c>
      <c r="H10" s="39">
        <v>95574.495</v>
      </c>
      <c r="I10" s="37">
        <f t="shared" si="3"/>
        <v>136.7683027</v>
      </c>
      <c r="J10" s="41">
        <f t="shared" si="4"/>
        <v>19.55594581</v>
      </c>
      <c r="K10" s="42"/>
      <c r="L10" s="42"/>
      <c r="M10" s="42"/>
      <c r="N10" s="42"/>
      <c r="O10" s="42"/>
      <c r="P10" s="42"/>
      <c r="Q10" s="42"/>
      <c r="R10" s="42"/>
    </row>
    <row r="11">
      <c r="B11" s="18" t="s">
        <v>24</v>
      </c>
      <c r="C11" s="45" t="s">
        <v>34</v>
      </c>
      <c r="D11" s="21">
        <v>575588.0</v>
      </c>
      <c r="E11" s="21">
        <v>4647.0</v>
      </c>
      <c r="F11" s="38">
        <f t="shared" si="1"/>
        <v>78792.2414</v>
      </c>
      <c r="G11" s="38">
        <f t="shared" si="2"/>
        <v>96126.53451</v>
      </c>
      <c r="H11" s="44">
        <v>96607.16717838332</v>
      </c>
      <c r="I11" s="38">
        <f t="shared" si="3"/>
        <v>136.8900001</v>
      </c>
      <c r="J11" s="49">
        <f t="shared" si="4"/>
        <v>16.95550708</v>
      </c>
      <c r="K11" s="15"/>
      <c r="L11" s="15"/>
      <c r="M11" s="15"/>
      <c r="N11" s="15"/>
      <c r="O11" s="15"/>
      <c r="P11" s="15"/>
      <c r="Q11" s="15"/>
      <c r="R11" s="15"/>
    </row>
    <row r="12">
      <c r="B12" s="18" t="s">
        <v>24</v>
      </c>
      <c r="C12" s="45" t="s">
        <v>36</v>
      </c>
      <c r="D12" s="21">
        <v>535612.0</v>
      </c>
      <c r="E12" s="21">
        <v>6361.0</v>
      </c>
      <c r="F12" s="38">
        <f t="shared" si="1"/>
        <v>73319.92675</v>
      </c>
      <c r="G12" s="38">
        <f t="shared" si="2"/>
        <v>89450.31064</v>
      </c>
      <c r="H12" s="44">
        <v>89897.56219161666</v>
      </c>
      <c r="I12" s="38">
        <f t="shared" si="3"/>
        <v>136.8900001</v>
      </c>
      <c r="J12" s="49">
        <f t="shared" si="4"/>
        <v>11.52647803</v>
      </c>
      <c r="K12" s="15"/>
      <c r="L12" s="15"/>
      <c r="M12" s="15"/>
      <c r="N12" s="15"/>
      <c r="O12" s="15"/>
      <c r="P12" s="15"/>
      <c r="Q12" s="15"/>
      <c r="R12" s="15"/>
    </row>
    <row r="13">
      <c r="B13" s="18" t="s">
        <v>24</v>
      </c>
      <c r="C13" s="45" t="s">
        <v>48</v>
      </c>
      <c r="D13" s="21">
        <v>570310.0</v>
      </c>
      <c r="E13" s="21">
        <v>4951.0</v>
      </c>
      <c r="F13" s="38">
        <f t="shared" si="1"/>
        <v>78069.73598</v>
      </c>
      <c r="G13" s="38">
        <f t="shared" si="2"/>
        <v>95245.07789</v>
      </c>
      <c r="H13" s="44">
        <v>95721.30328204166</v>
      </c>
      <c r="I13" s="38">
        <f t="shared" si="3"/>
        <v>136.8900001</v>
      </c>
      <c r="J13" s="49">
        <f t="shared" si="4"/>
        <v>15.76847828</v>
      </c>
      <c r="K13" s="15"/>
      <c r="L13" s="15"/>
      <c r="M13" s="15"/>
      <c r="N13" s="15"/>
      <c r="O13" s="15"/>
      <c r="P13" s="15"/>
      <c r="Q13" s="15"/>
      <c r="R13" s="15"/>
    </row>
    <row r="14">
      <c r="B14" s="56" t="s">
        <v>24</v>
      </c>
      <c r="C14" s="58" t="s">
        <v>52</v>
      </c>
      <c r="D14" s="59">
        <v>149066.0</v>
      </c>
      <c r="E14" s="59">
        <v>1266.0</v>
      </c>
      <c r="F14" s="60">
        <f t="shared" si="1"/>
        <v>20405.64476</v>
      </c>
      <c r="G14" s="60">
        <f t="shared" si="2"/>
        <v>24894.88661</v>
      </c>
      <c r="H14" s="62">
        <v>25019.36104055833</v>
      </c>
      <c r="I14" s="60">
        <f t="shared" si="3"/>
        <v>136.8900001</v>
      </c>
      <c r="J14" s="64">
        <f t="shared" si="4"/>
        <v>16.11820281</v>
      </c>
      <c r="K14" s="15"/>
      <c r="L14" s="15"/>
      <c r="M14" s="15"/>
      <c r="N14" s="15"/>
      <c r="O14" s="15"/>
      <c r="P14" s="15"/>
      <c r="Q14" s="15"/>
      <c r="R14" s="15"/>
    </row>
    <row r="15">
      <c r="A15" s="82" t="s">
        <v>39</v>
      </c>
      <c r="B15" s="24" t="s">
        <v>24</v>
      </c>
      <c r="C15" s="27" t="s">
        <v>36</v>
      </c>
      <c r="D15" s="30">
        <v>231756.0</v>
      </c>
      <c r="E15" s="30">
        <v>2266.0</v>
      </c>
      <c r="F15" s="37">
        <f t="shared" si="1"/>
        <v>34195.16</v>
      </c>
      <c r="G15" s="37">
        <f t="shared" si="2"/>
        <v>41718.0952</v>
      </c>
      <c r="H15" s="39">
        <v>41926.68567600001</v>
      </c>
      <c r="I15" s="37">
        <f t="shared" si="3"/>
        <v>147.5481109</v>
      </c>
      <c r="J15" s="41">
        <f t="shared" si="4"/>
        <v>15.09053839</v>
      </c>
      <c r="K15" s="42"/>
      <c r="L15" s="42"/>
      <c r="M15" s="42"/>
      <c r="N15" s="42"/>
      <c r="O15" s="42"/>
      <c r="P15" s="42"/>
      <c r="Q15" s="42"/>
      <c r="R15" s="42"/>
    </row>
    <row r="16">
      <c r="B16" s="18" t="s">
        <v>24</v>
      </c>
      <c r="C16" s="45" t="s">
        <v>48</v>
      </c>
      <c r="D16" s="21">
        <v>725420.0</v>
      </c>
      <c r="E16" s="21">
        <v>9973.0</v>
      </c>
      <c r="F16" s="38">
        <f t="shared" si="1"/>
        <v>116067.2</v>
      </c>
      <c r="G16" s="38">
        <f t="shared" si="2"/>
        <v>141601.984</v>
      </c>
      <c r="H16" s="44">
        <v>142309.99391999998</v>
      </c>
      <c r="I16" s="38">
        <f t="shared" si="3"/>
        <v>160</v>
      </c>
      <c r="J16" s="49">
        <f t="shared" si="4"/>
        <v>11.63814299</v>
      </c>
      <c r="K16" s="15"/>
      <c r="L16" s="15"/>
      <c r="M16" s="15"/>
      <c r="N16" s="15"/>
      <c r="O16" s="15"/>
      <c r="P16" s="15"/>
      <c r="Q16" s="15"/>
      <c r="R16" s="15"/>
    </row>
    <row r="17">
      <c r="B17" s="56" t="s">
        <v>24</v>
      </c>
      <c r="C17" s="58" t="s">
        <v>52</v>
      </c>
      <c r="D17" s="59">
        <v>977148.0</v>
      </c>
      <c r="E17" s="59">
        <v>13498.0</v>
      </c>
      <c r="F17" s="60">
        <f t="shared" si="1"/>
        <v>156316.6935</v>
      </c>
      <c r="G17" s="60">
        <f t="shared" si="2"/>
        <v>190706.3661</v>
      </c>
      <c r="H17" s="62">
        <v>191659.8979536603</v>
      </c>
      <c r="I17" s="60">
        <f t="shared" si="3"/>
        <v>159.9723824</v>
      </c>
      <c r="J17" s="64">
        <f t="shared" si="4"/>
        <v>11.58073</v>
      </c>
      <c r="K17" s="15"/>
      <c r="L17" s="15"/>
      <c r="M17" s="15"/>
      <c r="N17" s="15"/>
      <c r="O17" s="15"/>
      <c r="P17" s="15"/>
      <c r="Q17" s="15"/>
      <c r="R17" s="15"/>
    </row>
    <row r="18">
      <c r="A18" s="19" t="s">
        <v>41</v>
      </c>
      <c r="B18" s="24" t="s">
        <v>24</v>
      </c>
      <c r="C18" s="27" t="s">
        <v>28</v>
      </c>
      <c r="D18" s="30">
        <v>597017.0</v>
      </c>
      <c r="E18" s="30">
        <v>2278.0</v>
      </c>
      <c r="F18" s="37">
        <f t="shared" si="1"/>
        <v>109668.44</v>
      </c>
      <c r="G18" s="37">
        <f t="shared" si="2"/>
        <v>133795.4968</v>
      </c>
      <c r="H18" s="39">
        <v>134464.47428399997</v>
      </c>
      <c r="I18" s="37">
        <f t="shared" si="3"/>
        <v>183.6939987</v>
      </c>
      <c r="J18" s="41">
        <f t="shared" si="4"/>
        <v>48.14242318</v>
      </c>
      <c r="K18" s="42"/>
      <c r="L18" s="88"/>
      <c r="M18" s="89"/>
      <c r="N18" s="89"/>
      <c r="O18" s="89"/>
      <c r="P18" s="89"/>
      <c r="Q18" s="89"/>
      <c r="R18" s="89"/>
    </row>
    <row r="19">
      <c r="B19" s="18" t="s">
        <v>24</v>
      </c>
      <c r="C19" s="45" t="s">
        <v>34</v>
      </c>
      <c r="D19" s="21">
        <v>337370.0</v>
      </c>
      <c r="E19" s="21">
        <v>3466.0</v>
      </c>
      <c r="F19" s="38">
        <f t="shared" si="1"/>
        <v>102771.89</v>
      </c>
      <c r="G19" s="38">
        <f t="shared" si="2"/>
        <v>125381.7058</v>
      </c>
      <c r="H19" s="44">
        <v>126008.61432899999</v>
      </c>
      <c r="I19" s="38">
        <f t="shared" si="3"/>
        <v>304.6266414</v>
      </c>
      <c r="J19" s="49">
        <f t="shared" si="4"/>
        <v>29.6514397</v>
      </c>
      <c r="K19" s="15"/>
      <c r="L19" s="91"/>
      <c r="M19" s="92"/>
      <c r="N19" s="93"/>
      <c r="O19" s="93"/>
      <c r="P19" s="93"/>
      <c r="Q19" s="93"/>
      <c r="R19" s="93"/>
    </row>
    <row r="20">
      <c r="B20" s="18" t="s">
        <v>24</v>
      </c>
      <c r="C20" s="45" t="s">
        <v>36</v>
      </c>
      <c r="D20" s="21">
        <v>344523.0</v>
      </c>
      <c r="E20" s="21">
        <v>3637.0</v>
      </c>
      <c r="F20" s="38">
        <f t="shared" si="1"/>
        <v>104674.85</v>
      </c>
      <c r="G20" s="38">
        <f t="shared" si="2"/>
        <v>127703.317</v>
      </c>
      <c r="H20" s="44">
        <v>128341.833585</v>
      </c>
      <c r="I20" s="38">
        <f t="shared" si="3"/>
        <v>303.825434</v>
      </c>
      <c r="J20" s="49">
        <f t="shared" si="4"/>
        <v>28.78054715</v>
      </c>
      <c r="K20" s="15"/>
      <c r="L20" s="91"/>
      <c r="M20" s="92"/>
      <c r="N20" s="93"/>
      <c r="O20" s="93"/>
      <c r="P20" s="93"/>
      <c r="Q20" s="93"/>
      <c r="R20" s="93"/>
    </row>
    <row r="21">
      <c r="B21" s="18" t="s">
        <v>24</v>
      </c>
      <c r="C21" s="45" t="s">
        <v>48</v>
      </c>
      <c r="D21" s="21">
        <v>311387.0</v>
      </c>
      <c r="E21" s="21">
        <v>3524.0</v>
      </c>
      <c r="F21" s="38">
        <f t="shared" si="1"/>
        <v>89423.29</v>
      </c>
      <c r="G21" s="38">
        <f t="shared" si="2"/>
        <v>109096.4138</v>
      </c>
      <c r="H21" s="44">
        <v>109641.89586899999</v>
      </c>
      <c r="I21" s="38">
        <f t="shared" si="3"/>
        <v>287.1773388</v>
      </c>
      <c r="J21" s="49">
        <f t="shared" si="4"/>
        <v>25.37550795</v>
      </c>
      <c r="K21" s="15"/>
      <c r="L21" s="91"/>
      <c r="M21" s="92"/>
      <c r="N21" s="93"/>
      <c r="O21" s="93"/>
      <c r="P21" s="93"/>
      <c r="Q21" s="93"/>
      <c r="R21" s="93"/>
    </row>
    <row r="22">
      <c r="A22" s="96"/>
      <c r="B22" s="56" t="s">
        <v>24</v>
      </c>
      <c r="C22" s="58" t="s">
        <v>52</v>
      </c>
      <c r="D22" s="59">
        <v>85912.0</v>
      </c>
      <c r="E22" s="59">
        <v>1111.0</v>
      </c>
      <c r="F22" s="60">
        <f t="shared" si="1"/>
        <v>25310.54</v>
      </c>
      <c r="G22" s="60">
        <f t="shared" si="2"/>
        <v>30878.8588</v>
      </c>
      <c r="H22" s="62">
        <v>31033.253094</v>
      </c>
      <c r="I22" s="60">
        <f t="shared" si="3"/>
        <v>294.6100661</v>
      </c>
      <c r="J22" s="64">
        <f t="shared" si="4"/>
        <v>22.78176418</v>
      </c>
      <c r="K22" s="15"/>
      <c r="L22" s="91"/>
      <c r="M22" s="92"/>
      <c r="N22" s="93"/>
      <c r="O22" s="93"/>
      <c r="P22" s="93"/>
      <c r="Q22" s="93"/>
      <c r="R22" s="93"/>
    </row>
    <row r="23">
      <c r="A23" s="82" t="s">
        <v>40</v>
      </c>
      <c r="B23" s="24" t="s">
        <v>24</v>
      </c>
      <c r="C23" s="27" t="s">
        <v>28</v>
      </c>
      <c r="D23" s="30">
        <v>850642.0</v>
      </c>
      <c r="E23" s="30">
        <v>2834.0</v>
      </c>
      <c r="F23" s="37">
        <f t="shared" si="1"/>
        <v>51628.87</v>
      </c>
      <c r="G23" s="37">
        <f t="shared" si="2"/>
        <v>62987.2214</v>
      </c>
      <c r="H23" s="39">
        <v>63302.157506999996</v>
      </c>
      <c r="I23" s="37">
        <f t="shared" si="3"/>
        <v>60.69400523</v>
      </c>
      <c r="J23" s="41">
        <f t="shared" si="4"/>
        <v>18.21766761</v>
      </c>
      <c r="K23" s="42"/>
      <c r="L23" s="88"/>
      <c r="M23" s="89"/>
      <c r="N23" s="89"/>
      <c r="O23" s="42"/>
      <c r="P23" s="89"/>
      <c r="Q23" s="89"/>
      <c r="R23" s="89"/>
    </row>
    <row r="24">
      <c r="B24" s="18" t="s">
        <v>24</v>
      </c>
      <c r="C24" s="45" t="s">
        <v>34</v>
      </c>
      <c r="D24" s="21">
        <v>1011557.0</v>
      </c>
      <c r="E24" s="21">
        <v>2175.0</v>
      </c>
      <c r="F24" s="38">
        <f t="shared" si="1"/>
        <v>58332.92</v>
      </c>
      <c r="G24" s="38">
        <f t="shared" si="2"/>
        <v>71166.1624</v>
      </c>
      <c r="H24" s="44">
        <v>71521.993212</v>
      </c>
      <c r="I24" s="38">
        <f t="shared" si="3"/>
        <v>57.66646862</v>
      </c>
      <c r="J24" s="49">
        <f t="shared" si="4"/>
        <v>26.81973333</v>
      </c>
      <c r="K24" s="15"/>
      <c r="L24" s="91"/>
      <c r="M24" s="92"/>
      <c r="N24" s="93"/>
      <c r="O24" s="15"/>
      <c r="P24" s="93"/>
      <c r="Q24" s="93"/>
      <c r="R24" s="93"/>
    </row>
    <row r="25">
      <c r="B25" s="18" t="s">
        <v>24</v>
      </c>
      <c r="C25" s="45" t="s">
        <v>36</v>
      </c>
      <c r="D25" s="21">
        <v>848657.0</v>
      </c>
      <c r="E25" s="21">
        <v>1966.0</v>
      </c>
      <c r="F25" s="38">
        <f t="shared" si="1"/>
        <v>56697.55</v>
      </c>
      <c r="G25" s="38">
        <f t="shared" si="2"/>
        <v>69171.011</v>
      </c>
      <c r="H25" s="44">
        <v>69516.86605499999</v>
      </c>
      <c r="I25" s="38">
        <f t="shared" si="3"/>
        <v>66.80855752</v>
      </c>
      <c r="J25" s="49">
        <f t="shared" si="4"/>
        <v>28.83903866</v>
      </c>
      <c r="K25" s="15"/>
      <c r="L25" s="91"/>
      <c r="M25" s="92"/>
      <c r="N25" s="93"/>
      <c r="O25" s="15"/>
      <c r="P25" s="93"/>
      <c r="Q25" s="93"/>
      <c r="R25" s="93"/>
    </row>
    <row r="26">
      <c r="A26" s="61"/>
      <c r="B26" s="18" t="s">
        <v>24</v>
      </c>
      <c r="C26" s="45" t="s">
        <v>48</v>
      </c>
      <c r="D26" s="21">
        <v>656286.0</v>
      </c>
      <c r="E26" s="21">
        <v>1643.0</v>
      </c>
      <c r="F26" s="38">
        <f t="shared" si="1"/>
        <v>49020.63</v>
      </c>
      <c r="G26" s="38">
        <f t="shared" si="2"/>
        <v>59805.1686</v>
      </c>
      <c r="H26" s="44">
        <v>60104.194442999986</v>
      </c>
      <c r="I26" s="38">
        <f t="shared" si="3"/>
        <v>74.69400536</v>
      </c>
      <c r="J26" s="49">
        <f t="shared" si="4"/>
        <v>29.83604991</v>
      </c>
      <c r="K26" s="15"/>
      <c r="L26" s="91"/>
      <c r="M26" s="92"/>
      <c r="N26" s="93"/>
      <c r="O26" s="15"/>
      <c r="P26" s="93"/>
      <c r="Q26" s="93"/>
      <c r="R26" s="93"/>
    </row>
    <row r="27">
      <c r="A27" s="96"/>
      <c r="B27" s="56" t="s">
        <v>24</v>
      </c>
      <c r="C27" s="58" t="s">
        <v>52</v>
      </c>
      <c r="D27" s="59">
        <v>187189.0</v>
      </c>
      <c r="E27" s="59">
        <v>437.0</v>
      </c>
      <c r="F27" s="60">
        <f t="shared" si="1"/>
        <v>12860.03</v>
      </c>
      <c r="G27" s="60">
        <f t="shared" si="2"/>
        <v>15689.2366</v>
      </c>
      <c r="H27" s="62">
        <v>15767.682783</v>
      </c>
      <c r="I27" s="60">
        <f t="shared" si="3"/>
        <v>68.70077836</v>
      </c>
      <c r="J27" s="64">
        <f t="shared" si="4"/>
        <v>29.42798627</v>
      </c>
      <c r="K27" s="15"/>
      <c r="L27" s="91"/>
      <c r="M27" s="92"/>
      <c r="N27" s="93"/>
      <c r="O27" s="15"/>
      <c r="P27" s="93"/>
      <c r="Q27" s="93"/>
      <c r="R27" s="93"/>
    </row>
    <row r="28">
      <c r="A28" s="19" t="s">
        <v>42</v>
      </c>
      <c r="B28" s="24" t="s">
        <v>24</v>
      </c>
      <c r="C28" s="27" t="s">
        <v>36</v>
      </c>
      <c r="D28" s="30">
        <v>369629.0</v>
      </c>
      <c r="E28" s="30">
        <v>2762.0</v>
      </c>
      <c r="F28" s="37">
        <f t="shared" si="1"/>
        <v>206992.24</v>
      </c>
      <c r="G28" s="37">
        <f t="shared" si="2"/>
        <v>252530.5328</v>
      </c>
      <c r="H28" s="39">
        <v>253793.18546399995</v>
      </c>
      <c r="I28" s="37">
        <f t="shared" si="3"/>
        <v>560</v>
      </c>
      <c r="J28" s="41">
        <f t="shared" si="4"/>
        <v>74.94288197</v>
      </c>
      <c r="K28" s="42"/>
      <c r="L28" s="42"/>
      <c r="M28" s="42"/>
      <c r="N28" s="42"/>
      <c r="O28" s="42"/>
      <c r="P28" s="42"/>
      <c r="Q28" s="42"/>
      <c r="R28" s="42"/>
    </row>
    <row r="29">
      <c r="A29" s="61"/>
      <c r="B29" s="18" t="s">
        <v>24</v>
      </c>
      <c r="C29" s="45" t="s">
        <v>48</v>
      </c>
      <c r="D29" s="21">
        <v>508661.0</v>
      </c>
      <c r="E29" s="21">
        <v>3158.0</v>
      </c>
      <c r="F29" s="38">
        <f t="shared" si="1"/>
        <v>284850.16</v>
      </c>
      <c r="G29" s="38">
        <f t="shared" si="2"/>
        <v>347517.1952</v>
      </c>
      <c r="H29" s="44">
        <v>349254.7811759999</v>
      </c>
      <c r="I29" s="38">
        <f t="shared" si="3"/>
        <v>560</v>
      </c>
      <c r="J29" s="49">
        <f t="shared" si="4"/>
        <v>90.19954402</v>
      </c>
      <c r="K29" s="15"/>
      <c r="L29" s="15"/>
      <c r="M29" s="15"/>
      <c r="N29" s="15"/>
      <c r="O29" s="15"/>
      <c r="P29" s="15"/>
      <c r="Q29" s="15"/>
      <c r="R29" s="15"/>
    </row>
    <row r="30">
      <c r="A30" s="96"/>
      <c r="B30" s="56" t="s">
        <v>24</v>
      </c>
      <c r="C30" s="58" t="s">
        <v>52</v>
      </c>
      <c r="D30" s="59">
        <v>141515.0</v>
      </c>
      <c r="E30" s="59">
        <v>629.0</v>
      </c>
      <c r="F30" s="60">
        <f t="shared" si="1"/>
        <v>79248.4</v>
      </c>
      <c r="G30" s="60">
        <f t="shared" si="2"/>
        <v>96683.048</v>
      </c>
      <c r="H30" s="62">
        <v>97166.46323999998</v>
      </c>
      <c r="I30" s="60">
        <f t="shared" si="3"/>
        <v>560</v>
      </c>
      <c r="J30" s="64">
        <f t="shared" si="4"/>
        <v>125.991097</v>
      </c>
      <c r="K30" s="15"/>
      <c r="L30" s="15"/>
      <c r="M30" s="15"/>
      <c r="N30" s="15"/>
      <c r="O30" s="15"/>
      <c r="P30" s="15"/>
      <c r="Q30" s="15"/>
      <c r="R30" s="15"/>
    </row>
    <row r="31">
      <c r="A31" s="82" t="s">
        <v>45</v>
      </c>
      <c r="B31" s="24" t="s">
        <v>24</v>
      </c>
      <c r="C31" s="27" t="s">
        <v>28</v>
      </c>
      <c r="D31" s="30">
        <v>744069.0</v>
      </c>
      <c r="E31" s="30">
        <v>4958.0</v>
      </c>
      <c r="F31" s="37">
        <f t="shared" si="1"/>
        <v>115500</v>
      </c>
      <c r="G31" s="37">
        <f t="shared" si="2"/>
        <v>140910</v>
      </c>
      <c r="H31" s="39">
        <v>141614.55</v>
      </c>
      <c r="I31" s="37">
        <f t="shared" si="3"/>
        <v>155.2275394</v>
      </c>
      <c r="J31" s="41">
        <f t="shared" si="4"/>
        <v>23.29568374</v>
      </c>
      <c r="K31" s="42"/>
      <c r="L31" s="42"/>
      <c r="M31" s="42"/>
      <c r="N31" s="42"/>
      <c r="O31" s="42"/>
      <c r="P31" s="42"/>
      <c r="Q31" s="42"/>
      <c r="R31" s="42"/>
    </row>
    <row r="32">
      <c r="A32" s="61"/>
      <c r="B32" s="18" t="s">
        <v>24</v>
      </c>
      <c r="C32" s="45" t="s">
        <v>34</v>
      </c>
      <c r="D32" s="21">
        <v>523900.0</v>
      </c>
      <c r="E32" s="21">
        <v>2996.0</v>
      </c>
      <c r="F32" s="38">
        <f t="shared" si="1"/>
        <v>70381.99168</v>
      </c>
      <c r="G32" s="38">
        <f t="shared" si="2"/>
        <v>85866.02985</v>
      </c>
      <c r="H32" s="44">
        <v>86295.36</v>
      </c>
      <c r="I32" s="38">
        <f t="shared" si="3"/>
        <v>134.3424159</v>
      </c>
      <c r="J32" s="49">
        <f t="shared" si="4"/>
        <v>23.49198654</v>
      </c>
      <c r="K32" s="15"/>
      <c r="L32" s="15"/>
      <c r="M32" s="15"/>
      <c r="N32" s="15"/>
      <c r="O32" s="15"/>
      <c r="P32" s="15"/>
      <c r="Q32" s="15"/>
      <c r="R32" s="15"/>
    </row>
    <row r="33">
      <c r="A33" s="61"/>
      <c r="B33" s="18" t="s">
        <v>24</v>
      </c>
      <c r="C33" s="45" t="s">
        <v>36</v>
      </c>
      <c r="D33" s="21">
        <v>758219.0</v>
      </c>
      <c r="E33" s="21">
        <v>4722.0</v>
      </c>
      <c r="F33" s="38">
        <f t="shared" si="1"/>
        <v>106441.3996</v>
      </c>
      <c r="G33" s="38">
        <f t="shared" si="2"/>
        <v>129858.5075</v>
      </c>
      <c r="H33" s="44">
        <v>130507.8</v>
      </c>
      <c r="I33" s="38">
        <f t="shared" si="3"/>
        <v>140.3834506</v>
      </c>
      <c r="J33" s="49">
        <f t="shared" si="4"/>
        <v>22.54159245</v>
      </c>
      <c r="K33" s="15"/>
      <c r="L33" s="15"/>
      <c r="M33" s="15"/>
      <c r="N33" s="15"/>
      <c r="O33" s="15"/>
      <c r="P33" s="15"/>
      <c r="Q33" s="15"/>
      <c r="R33" s="15"/>
    </row>
    <row r="34">
      <c r="A34" s="61"/>
      <c r="B34" s="18" t="s">
        <v>24</v>
      </c>
      <c r="C34" s="45" t="s">
        <v>48</v>
      </c>
      <c r="D34" s="21">
        <v>395124.0</v>
      </c>
      <c r="E34" s="21">
        <v>2733.0</v>
      </c>
      <c r="F34" s="38">
        <f t="shared" si="1"/>
        <v>56331.18832</v>
      </c>
      <c r="G34" s="38">
        <f t="shared" si="2"/>
        <v>68724.04975</v>
      </c>
      <c r="H34" s="44">
        <v>69067.67</v>
      </c>
      <c r="I34" s="38">
        <f t="shared" si="3"/>
        <v>142.5658485</v>
      </c>
      <c r="J34" s="49">
        <f t="shared" si="4"/>
        <v>20.61148493</v>
      </c>
      <c r="K34" s="15"/>
      <c r="L34" s="15"/>
      <c r="M34" s="15"/>
      <c r="N34" s="15"/>
      <c r="O34" s="15"/>
      <c r="P34" s="15"/>
      <c r="Q34" s="15"/>
      <c r="R34" s="15"/>
    </row>
    <row r="35">
      <c r="A35" s="96"/>
      <c r="B35" s="56" t="s">
        <v>24</v>
      </c>
      <c r="C35" s="58" t="s">
        <v>52</v>
      </c>
      <c r="D35" s="59">
        <v>605650.0</v>
      </c>
      <c r="E35" s="59">
        <v>3960.0</v>
      </c>
      <c r="F35" s="60">
        <f t="shared" si="1"/>
        <v>90691.86853</v>
      </c>
      <c r="G35" s="60">
        <f t="shared" si="2"/>
        <v>110644.0796</v>
      </c>
      <c r="H35" s="62">
        <v>111197.3</v>
      </c>
      <c r="I35" s="60">
        <f t="shared" si="3"/>
        <v>149.743034</v>
      </c>
      <c r="J35" s="64">
        <f t="shared" si="4"/>
        <v>22.901987</v>
      </c>
      <c r="K35" s="15"/>
      <c r="L35" s="15"/>
      <c r="M35" s="15"/>
      <c r="N35" s="15"/>
      <c r="O35" s="15"/>
      <c r="P35" s="15"/>
      <c r="Q35" s="15"/>
      <c r="R35" s="15"/>
    </row>
    <row r="36">
      <c r="A36" s="110" t="s">
        <v>46</v>
      </c>
      <c r="B36" s="111"/>
      <c r="C36" s="112"/>
      <c r="D36" s="113">
        <f t="shared" ref="D36:E36" si="5">SUM(D2:D35)</f>
        <v>16963385</v>
      </c>
      <c r="E36" s="113">
        <f t="shared" si="5"/>
        <v>100245</v>
      </c>
      <c r="F36" s="114">
        <f t="shared" si="1"/>
        <v>528503.5234</v>
      </c>
      <c r="G36" s="114">
        <f>SUM(G2:G8)</f>
        <v>644774.2985</v>
      </c>
      <c r="H36" s="115">
        <f>SUM(H2:H35)</f>
        <v>3593278.881</v>
      </c>
      <c r="I36" s="114">
        <f>F36/(D36/1000)</f>
        <v>31.1555461</v>
      </c>
      <c r="J36" s="116">
        <f t="shared" si="4"/>
        <v>5.272118543</v>
      </c>
      <c r="K36" s="42"/>
      <c r="L36" s="42"/>
      <c r="M36" s="42"/>
      <c r="N36" s="42"/>
      <c r="O36" s="42"/>
      <c r="P36" s="42"/>
      <c r="Q36" s="42"/>
      <c r="R36" s="42"/>
    </row>
    <row r="37">
      <c r="A37" s="19" t="s">
        <v>23</v>
      </c>
      <c r="B37" s="24" t="s">
        <v>53</v>
      </c>
      <c r="C37" s="27" t="s">
        <v>28</v>
      </c>
      <c r="D37" s="30">
        <v>308110.0</v>
      </c>
      <c r="E37" s="30">
        <v>728.0</v>
      </c>
      <c r="F37" s="37">
        <f t="shared" si="1"/>
        <v>64632.5993</v>
      </c>
      <c r="G37" s="37">
        <f t="shared" ref="G37:G80" si="6">H37/1.005</f>
        <v>78851.77114</v>
      </c>
      <c r="H37" s="39">
        <v>79246.03</v>
      </c>
      <c r="I37" s="37">
        <f t="shared" ref="I37:I80" si="7">F37/D37*1000</f>
        <v>209.7711833</v>
      </c>
      <c r="J37" s="41">
        <f t="shared" si="4"/>
        <v>88.78104299</v>
      </c>
      <c r="K37" s="42"/>
      <c r="L37" s="42"/>
      <c r="M37" s="42"/>
      <c r="N37" s="42"/>
      <c r="O37" s="42"/>
      <c r="P37" s="42"/>
      <c r="Q37" s="42"/>
      <c r="R37" s="42"/>
    </row>
    <row r="38">
      <c r="B38" s="18" t="s">
        <v>53</v>
      </c>
      <c r="C38" s="45" t="s">
        <v>34</v>
      </c>
      <c r="D38" s="21">
        <v>276383.0</v>
      </c>
      <c r="E38" s="21">
        <v>634.0</v>
      </c>
      <c r="F38" s="38">
        <f t="shared" si="1"/>
        <v>64537.6152</v>
      </c>
      <c r="G38" s="38">
        <f t="shared" si="6"/>
        <v>78735.89055</v>
      </c>
      <c r="H38" s="44">
        <v>79129.57</v>
      </c>
      <c r="I38" s="38">
        <f t="shared" si="7"/>
        <v>233.5079046</v>
      </c>
      <c r="J38" s="49">
        <f t="shared" si="4"/>
        <v>101.7943457</v>
      </c>
      <c r="K38" s="15"/>
      <c r="L38" s="15"/>
      <c r="M38" s="15"/>
      <c r="N38" s="15"/>
      <c r="O38" s="15"/>
      <c r="P38" s="15"/>
      <c r="Q38" s="15"/>
      <c r="R38" s="15"/>
    </row>
    <row r="39">
      <c r="B39" s="18" t="s">
        <v>53</v>
      </c>
      <c r="C39" s="45" t="s">
        <v>36</v>
      </c>
      <c r="D39" s="21">
        <v>298329.0</v>
      </c>
      <c r="E39" s="21">
        <v>642.0</v>
      </c>
      <c r="F39" s="38">
        <f t="shared" si="1"/>
        <v>75577.75059</v>
      </c>
      <c r="G39" s="38">
        <f t="shared" si="6"/>
        <v>92204.85572</v>
      </c>
      <c r="H39" s="44">
        <v>92665.88</v>
      </c>
      <c r="I39" s="38">
        <f t="shared" si="7"/>
        <v>253.336922</v>
      </c>
      <c r="J39" s="49">
        <f t="shared" si="4"/>
        <v>117.7223529</v>
      </c>
      <c r="K39" s="15"/>
      <c r="L39" s="15"/>
      <c r="M39" s="15"/>
      <c r="N39" s="15"/>
      <c r="O39" s="15"/>
      <c r="P39" s="15"/>
      <c r="Q39" s="15"/>
      <c r="R39" s="15"/>
    </row>
    <row r="40">
      <c r="B40" s="56" t="s">
        <v>53</v>
      </c>
      <c r="C40" s="58" t="s">
        <v>38</v>
      </c>
      <c r="D40" s="59">
        <v>367718.0</v>
      </c>
      <c r="E40" s="59">
        <v>835.0</v>
      </c>
      <c r="F40" s="60">
        <f t="shared" si="1"/>
        <v>95972.36767</v>
      </c>
      <c r="G40" s="60">
        <f t="shared" si="6"/>
        <v>117086.2886</v>
      </c>
      <c r="H40" s="62">
        <v>117671.72</v>
      </c>
      <c r="I40" s="60">
        <f t="shared" si="7"/>
        <v>260.9944786</v>
      </c>
      <c r="J40" s="64">
        <f t="shared" si="4"/>
        <v>114.9369673</v>
      </c>
      <c r="K40" s="15"/>
      <c r="L40" s="15"/>
      <c r="M40" s="15"/>
      <c r="N40" s="15"/>
      <c r="O40" s="15"/>
      <c r="P40" s="15"/>
      <c r="Q40" s="15"/>
      <c r="R40" s="15"/>
    </row>
    <row r="41">
      <c r="A41" s="19" t="s">
        <v>55</v>
      </c>
      <c r="B41" s="24" t="s">
        <v>53</v>
      </c>
      <c r="C41" s="27" t="s">
        <v>34</v>
      </c>
      <c r="D41" s="30">
        <v>51270.0</v>
      </c>
      <c r="E41" s="30">
        <v>119.0</v>
      </c>
      <c r="F41" s="37">
        <f t="shared" si="1"/>
        <v>6305.676535</v>
      </c>
      <c r="G41" s="37">
        <f t="shared" si="6"/>
        <v>7692.925373</v>
      </c>
      <c r="H41" s="39">
        <v>7731.39</v>
      </c>
      <c r="I41" s="37">
        <f t="shared" si="7"/>
        <v>122.989595</v>
      </c>
      <c r="J41" s="41">
        <f t="shared" si="4"/>
        <v>52.98887845</v>
      </c>
      <c r="K41" s="42"/>
      <c r="L41" s="42"/>
      <c r="M41" s="42"/>
      <c r="N41" s="42"/>
      <c r="O41" s="42"/>
      <c r="P41" s="42"/>
      <c r="Q41" s="42"/>
      <c r="R41" s="42"/>
    </row>
    <row r="42">
      <c r="B42" s="18" t="s">
        <v>53</v>
      </c>
      <c r="C42" s="45" t="s">
        <v>36</v>
      </c>
      <c r="D42" s="21">
        <v>99607.0</v>
      </c>
      <c r="E42" s="21">
        <v>180.0</v>
      </c>
      <c r="F42" s="38">
        <f t="shared" si="1"/>
        <v>12250.61577</v>
      </c>
      <c r="G42" s="38">
        <f t="shared" si="6"/>
        <v>14945.75124</v>
      </c>
      <c r="H42" s="44">
        <v>15020.48</v>
      </c>
      <c r="I42" s="38">
        <f t="shared" si="7"/>
        <v>122.9895065</v>
      </c>
      <c r="J42" s="49">
        <f t="shared" si="4"/>
        <v>68.05897652</v>
      </c>
      <c r="K42" s="15"/>
      <c r="L42" s="15"/>
      <c r="M42" s="15"/>
      <c r="N42" s="15"/>
      <c r="O42" s="15"/>
      <c r="P42" s="15"/>
      <c r="Q42" s="15"/>
      <c r="R42" s="15"/>
    </row>
    <row r="43">
      <c r="B43" s="56" t="s">
        <v>53</v>
      </c>
      <c r="C43" s="58" t="s">
        <v>38</v>
      </c>
      <c r="D43" s="59">
        <v>107411.0</v>
      </c>
      <c r="E43" s="59">
        <v>173.0</v>
      </c>
      <c r="F43" s="60">
        <f t="shared" si="1"/>
        <v>557683.37</v>
      </c>
      <c r="G43" s="60">
        <f t="shared" si="6"/>
        <v>680373.7114</v>
      </c>
      <c r="H43" s="62">
        <v>683775.58</v>
      </c>
      <c r="I43" s="60">
        <f t="shared" si="7"/>
        <v>5192.050814</v>
      </c>
      <c r="J43" s="64">
        <f t="shared" si="4"/>
        <v>3223.603295</v>
      </c>
      <c r="K43" s="15"/>
      <c r="L43" s="15"/>
      <c r="M43" s="15"/>
      <c r="N43" s="15"/>
      <c r="O43" s="15"/>
      <c r="P43" s="15"/>
      <c r="Q43" s="15"/>
      <c r="R43" s="15"/>
    </row>
    <row r="44">
      <c r="A44" s="19" t="s">
        <v>56</v>
      </c>
      <c r="B44" s="24" t="s">
        <v>53</v>
      </c>
      <c r="C44" s="27" t="s">
        <v>28</v>
      </c>
      <c r="D44" s="30">
        <v>28113.0</v>
      </c>
      <c r="E44" s="30">
        <v>164.0</v>
      </c>
      <c r="F44" s="37">
        <f t="shared" si="1"/>
        <v>0</v>
      </c>
      <c r="G44" s="37">
        <f t="shared" si="6"/>
        <v>0</v>
      </c>
      <c r="H44" s="39">
        <v>0.0</v>
      </c>
      <c r="I44" s="37">
        <f t="shared" si="7"/>
        <v>0</v>
      </c>
      <c r="J44" s="41">
        <f t="shared" si="4"/>
        <v>0</v>
      </c>
      <c r="K44" s="42"/>
      <c r="L44" s="42"/>
      <c r="M44" s="42"/>
      <c r="N44" s="42"/>
      <c r="O44" s="42"/>
      <c r="P44" s="42"/>
      <c r="Q44" s="42"/>
      <c r="R44" s="42"/>
    </row>
    <row r="45">
      <c r="B45" s="18" t="s">
        <v>53</v>
      </c>
      <c r="C45" s="45" t="s">
        <v>34</v>
      </c>
      <c r="D45" s="21">
        <v>29227.0</v>
      </c>
      <c r="E45" s="21">
        <v>177.0</v>
      </c>
      <c r="F45" s="38">
        <f t="shared" si="1"/>
        <v>0</v>
      </c>
      <c r="G45" s="38">
        <f t="shared" si="6"/>
        <v>0</v>
      </c>
      <c r="H45" s="44">
        <v>0.0</v>
      </c>
      <c r="I45" s="38">
        <f t="shared" si="7"/>
        <v>0</v>
      </c>
      <c r="J45" s="49">
        <f t="shared" si="4"/>
        <v>0</v>
      </c>
      <c r="K45" s="15"/>
      <c r="L45" s="15"/>
      <c r="M45" s="15"/>
      <c r="N45" s="15"/>
      <c r="O45" s="15"/>
      <c r="P45" s="15"/>
      <c r="Q45" s="15"/>
      <c r="R45" s="15"/>
    </row>
    <row r="46">
      <c r="B46" s="18" t="s">
        <v>53</v>
      </c>
      <c r="C46" s="45" t="s">
        <v>36</v>
      </c>
      <c r="D46" s="21">
        <v>30875.0</v>
      </c>
      <c r="E46" s="21">
        <v>194.0</v>
      </c>
      <c r="F46" s="38">
        <f t="shared" si="1"/>
        <v>0</v>
      </c>
      <c r="G46" s="38">
        <f t="shared" si="6"/>
        <v>0</v>
      </c>
      <c r="H46" s="44">
        <v>0.0</v>
      </c>
      <c r="I46" s="38">
        <f t="shared" si="7"/>
        <v>0</v>
      </c>
      <c r="J46" s="49">
        <f t="shared" si="4"/>
        <v>0</v>
      </c>
      <c r="K46" s="15"/>
      <c r="L46" s="15"/>
      <c r="M46" s="15"/>
      <c r="N46" s="15"/>
      <c r="O46" s="15"/>
      <c r="P46" s="15"/>
      <c r="Q46" s="15"/>
      <c r="R46" s="15"/>
    </row>
    <row r="47">
      <c r="B47" s="56" t="s">
        <v>53</v>
      </c>
      <c r="C47" s="58" t="s">
        <v>38</v>
      </c>
      <c r="D47" s="59">
        <v>35551.0</v>
      </c>
      <c r="E47" s="59">
        <v>229.0</v>
      </c>
      <c r="F47" s="60">
        <f t="shared" si="1"/>
        <v>40800.09787</v>
      </c>
      <c r="G47" s="60">
        <f t="shared" si="6"/>
        <v>49776.1194</v>
      </c>
      <c r="H47" s="44">
        <v>50025.0</v>
      </c>
      <c r="I47" s="60">
        <f t="shared" si="7"/>
        <v>1147.649795</v>
      </c>
      <c r="J47" s="64">
        <f t="shared" si="4"/>
        <v>178.1663663</v>
      </c>
      <c r="K47" s="15"/>
      <c r="L47" s="15"/>
      <c r="M47" s="15"/>
      <c r="N47" s="15"/>
      <c r="O47" s="15"/>
      <c r="P47" s="15"/>
      <c r="Q47" s="15"/>
      <c r="R47" s="15"/>
    </row>
    <row r="48">
      <c r="A48" s="19" t="s">
        <v>57</v>
      </c>
      <c r="B48" s="24" t="s">
        <v>53</v>
      </c>
      <c r="C48" s="27" t="s">
        <v>28</v>
      </c>
      <c r="D48" s="30">
        <v>287906.0</v>
      </c>
      <c r="E48" s="30">
        <v>5869.0</v>
      </c>
      <c r="F48" s="37">
        <f t="shared" si="1"/>
        <v>71976.5</v>
      </c>
      <c r="G48" s="37">
        <f t="shared" si="6"/>
        <v>87811.33</v>
      </c>
      <c r="H48" s="39">
        <v>88250.38664999999</v>
      </c>
      <c r="I48" s="37">
        <f t="shared" si="7"/>
        <v>250</v>
      </c>
      <c r="J48" s="41">
        <f t="shared" si="4"/>
        <v>12.26384393</v>
      </c>
      <c r="K48" s="42"/>
      <c r="L48" s="42"/>
      <c r="M48" s="42"/>
      <c r="N48" s="42"/>
      <c r="O48" s="42"/>
      <c r="P48" s="42"/>
      <c r="Q48" s="42"/>
      <c r="R48" s="42"/>
    </row>
    <row r="49">
      <c r="B49" s="18" t="s">
        <v>53</v>
      </c>
      <c r="C49" s="45" t="s">
        <v>34</v>
      </c>
      <c r="D49" s="21">
        <v>268176.0</v>
      </c>
      <c r="E49" s="21">
        <v>5681.0</v>
      </c>
      <c r="F49" s="38">
        <f t="shared" si="1"/>
        <v>67044</v>
      </c>
      <c r="G49" s="38">
        <f t="shared" si="6"/>
        <v>81793.68</v>
      </c>
      <c r="H49" s="44">
        <v>82202.64839999999</v>
      </c>
      <c r="I49" s="38">
        <f t="shared" si="7"/>
        <v>250</v>
      </c>
      <c r="J49" s="49">
        <f t="shared" si="4"/>
        <v>11.80144341</v>
      </c>
      <c r="K49" s="15"/>
      <c r="L49" s="15"/>
      <c r="M49" s="15"/>
      <c r="N49" s="15"/>
      <c r="O49" s="15"/>
      <c r="P49" s="15"/>
      <c r="Q49" s="15"/>
      <c r="R49" s="15"/>
    </row>
    <row r="50">
      <c r="B50" s="18" t="s">
        <v>53</v>
      </c>
      <c r="C50" s="45" t="s">
        <v>36</v>
      </c>
      <c r="D50" s="21">
        <v>166392.0</v>
      </c>
      <c r="E50" s="21">
        <v>3310.0</v>
      </c>
      <c r="F50" s="38">
        <f t="shared" si="1"/>
        <v>41598</v>
      </c>
      <c r="G50" s="38">
        <f t="shared" si="6"/>
        <v>50749.56</v>
      </c>
      <c r="H50" s="44">
        <v>51003.307799999995</v>
      </c>
      <c r="I50" s="38">
        <f t="shared" si="7"/>
        <v>250</v>
      </c>
      <c r="J50" s="49">
        <f t="shared" si="4"/>
        <v>12.5673716</v>
      </c>
      <c r="K50" s="15"/>
      <c r="L50" s="15"/>
      <c r="M50" s="15"/>
      <c r="N50" s="15"/>
      <c r="O50" s="15"/>
      <c r="P50" s="15"/>
      <c r="Q50" s="15"/>
      <c r="R50" s="15"/>
    </row>
    <row r="51">
      <c r="B51" s="18" t="s">
        <v>53</v>
      </c>
      <c r="C51" s="45" t="s">
        <v>48</v>
      </c>
      <c r="D51" s="21">
        <v>293543.0</v>
      </c>
      <c r="E51" s="21">
        <v>3319.0</v>
      </c>
      <c r="F51" s="38">
        <f t="shared" si="1"/>
        <v>73385.75</v>
      </c>
      <c r="G51" s="38">
        <f t="shared" si="6"/>
        <v>89530.615</v>
      </c>
      <c r="H51" s="44">
        <v>89978.26807499999</v>
      </c>
      <c r="I51" s="38">
        <f t="shared" si="7"/>
        <v>250</v>
      </c>
      <c r="J51" s="49">
        <f t="shared" si="4"/>
        <v>22.11080145</v>
      </c>
      <c r="K51" s="15"/>
      <c r="L51" s="15"/>
      <c r="M51" s="15"/>
      <c r="N51" s="15"/>
      <c r="O51" s="15"/>
      <c r="P51" s="15"/>
      <c r="Q51" s="15"/>
      <c r="R51" s="15"/>
    </row>
    <row r="52">
      <c r="B52" s="56" t="s">
        <v>53</v>
      </c>
      <c r="C52" s="58" t="s">
        <v>52</v>
      </c>
      <c r="D52" s="59">
        <v>65662.0</v>
      </c>
      <c r="E52" s="59">
        <v>793.0</v>
      </c>
      <c r="F52" s="60">
        <f t="shared" si="1"/>
        <v>16415.5</v>
      </c>
      <c r="G52" s="60">
        <f t="shared" si="6"/>
        <v>20026.91</v>
      </c>
      <c r="H52" s="62">
        <v>20127.04455</v>
      </c>
      <c r="I52" s="60">
        <f t="shared" si="7"/>
        <v>250</v>
      </c>
      <c r="J52" s="64">
        <f t="shared" si="4"/>
        <v>20.70050441</v>
      </c>
      <c r="K52" s="15"/>
      <c r="L52" s="15"/>
      <c r="M52" s="15"/>
      <c r="N52" s="15"/>
      <c r="O52" s="15"/>
      <c r="P52" s="15"/>
      <c r="Q52" s="15"/>
      <c r="R52" s="15"/>
    </row>
    <row r="53">
      <c r="A53" s="19" t="s">
        <v>41</v>
      </c>
      <c r="B53" s="24" t="s">
        <v>53</v>
      </c>
      <c r="C53" s="27" t="s">
        <v>28</v>
      </c>
      <c r="D53" s="30">
        <v>437569.0</v>
      </c>
      <c r="E53" s="30">
        <v>1622.0</v>
      </c>
      <c r="F53" s="37">
        <f t="shared" si="1"/>
        <v>73312.6</v>
      </c>
      <c r="G53" s="37">
        <f t="shared" si="6"/>
        <v>89441.372</v>
      </c>
      <c r="H53" s="39">
        <v>89888.57885999998</v>
      </c>
      <c r="I53" s="37">
        <f t="shared" si="7"/>
        <v>167.5452329</v>
      </c>
      <c r="J53" s="41">
        <f t="shared" si="4"/>
        <v>45.19889026</v>
      </c>
      <c r="K53" s="42"/>
      <c r="L53" s="42"/>
      <c r="M53" s="42"/>
      <c r="N53" s="42"/>
      <c r="O53" s="42"/>
      <c r="P53" s="42"/>
      <c r="Q53" s="42"/>
      <c r="R53" s="42"/>
    </row>
    <row r="54">
      <c r="B54" s="18" t="s">
        <v>53</v>
      </c>
      <c r="C54" s="45" t="s">
        <v>34</v>
      </c>
      <c r="D54" s="21">
        <v>328584.0</v>
      </c>
      <c r="E54" s="21">
        <v>1466.0</v>
      </c>
      <c r="F54" s="38">
        <f t="shared" si="1"/>
        <v>78361.47</v>
      </c>
      <c r="G54" s="38">
        <f t="shared" si="6"/>
        <v>95600.9934</v>
      </c>
      <c r="H54" s="44">
        <v>96078.99836700001</v>
      </c>
      <c r="I54" s="38">
        <f t="shared" si="7"/>
        <v>238.4823059</v>
      </c>
      <c r="J54" s="49">
        <f t="shared" si="4"/>
        <v>53.45257162</v>
      </c>
      <c r="K54" s="15"/>
      <c r="L54" s="15"/>
      <c r="M54" s="15"/>
      <c r="N54" s="15"/>
      <c r="O54" s="15"/>
      <c r="P54" s="15"/>
      <c r="Q54" s="15"/>
      <c r="R54" s="15"/>
    </row>
    <row r="55">
      <c r="B55" s="18" t="s">
        <v>53</v>
      </c>
      <c r="C55" s="45" t="s">
        <v>36</v>
      </c>
      <c r="D55" s="21">
        <v>340557.0</v>
      </c>
      <c r="E55" s="21">
        <v>1348.0</v>
      </c>
      <c r="F55" s="38">
        <f t="shared" si="1"/>
        <v>75490.04</v>
      </c>
      <c r="G55" s="38">
        <f t="shared" si="6"/>
        <v>92097.8488</v>
      </c>
      <c r="H55" s="44">
        <v>92558.33804399999</v>
      </c>
      <c r="I55" s="38">
        <f t="shared" si="7"/>
        <v>221.6663877</v>
      </c>
      <c r="J55" s="49">
        <f t="shared" si="4"/>
        <v>56.00151335</v>
      </c>
      <c r="K55" s="15"/>
      <c r="L55" s="15"/>
      <c r="M55" s="15"/>
      <c r="N55" s="15"/>
      <c r="O55" s="15"/>
      <c r="P55" s="15"/>
      <c r="Q55" s="15"/>
      <c r="R55" s="15"/>
    </row>
    <row r="56">
      <c r="B56" s="18" t="s">
        <v>53</v>
      </c>
      <c r="C56" s="45" t="s">
        <v>48</v>
      </c>
      <c r="D56" s="21">
        <v>311305.0</v>
      </c>
      <c r="E56" s="21">
        <v>1474.0</v>
      </c>
      <c r="F56" s="38">
        <f t="shared" si="1"/>
        <v>66215.28</v>
      </c>
      <c r="G56" s="38">
        <f t="shared" si="6"/>
        <v>80782.6416</v>
      </c>
      <c r="H56" s="44">
        <v>81186.554808</v>
      </c>
      <c r="I56" s="38">
        <f t="shared" si="7"/>
        <v>212.7022695</v>
      </c>
      <c r="J56" s="49">
        <f t="shared" si="4"/>
        <v>44.92217096</v>
      </c>
      <c r="K56" s="15"/>
      <c r="L56" s="15"/>
      <c r="M56" s="15"/>
      <c r="N56" s="15"/>
      <c r="O56" s="15"/>
      <c r="P56" s="15"/>
      <c r="Q56" s="15"/>
      <c r="R56" s="15"/>
    </row>
    <row r="57">
      <c r="B57" s="56" t="s">
        <v>53</v>
      </c>
      <c r="C57" s="58" t="s">
        <v>52</v>
      </c>
      <c r="D57" s="59">
        <v>84478.0</v>
      </c>
      <c r="E57" s="59">
        <v>448.0</v>
      </c>
      <c r="F57" s="60">
        <f t="shared" si="1"/>
        <v>18118.04</v>
      </c>
      <c r="G57" s="60">
        <f t="shared" si="6"/>
        <v>22104.0088</v>
      </c>
      <c r="H57" s="62">
        <v>22214.528843999997</v>
      </c>
      <c r="I57" s="60">
        <f t="shared" si="7"/>
        <v>214.470513</v>
      </c>
      <c r="J57" s="64">
        <f t="shared" si="4"/>
        <v>40.44205357</v>
      </c>
      <c r="K57" s="15"/>
      <c r="L57" s="15"/>
      <c r="M57" s="15"/>
      <c r="N57" s="15"/>
      <c r="O57" s="15"/>
      <c r="P57" s="15"/>
      <c r="Q57" s="15"/>
      <c r="R57" s="15"/>
    </row>
    <row r="58">
      <c r="A58" s="19" t="s">
        <v>58</v>
      </c>
      <c r="B58" s="24" t="s">
        <v>53</v>
      </c>
      <c r="C58" s="27" t="s">
        <v>28</v>
      </c>
      <c r="D58" s="30">
        <v>522040.0</v>
      </c>
      <c r="E58" s="30">
        <v>6826.0</v>
      </c>
      <c r="F58" s="37">
        <f t="shared" si="1"/>
        <v>164442.6</v>
      </c>
      <c r="G58" s="37">
        <f t="shared" si="6"/>
        <v>200619.972</v>
      </c>
      <c r="H58" s="39">
        <v>201623.07186000003</v>
      </c>
      <c r="I58" s="37">
        <f t="shared" si="7"/>
        <v>315</v>
      </c>
      <c r="J58" s="41">
        <f t="shared" si="4"/>
        <v>24.09062408</v>
      </c>
      <c r="K58" s="42"/>
      <c r="L58" s="42"/>
      <c r="M58" s="42"/>
      <c r="N58" s="42"/>
      <c r="O58" s="42"/>
      <c r="P58" s="42"/>
      <c r="Q58" s="42"/>
      <c r="R58" s="42"/>
    </row>
    <row r="59">
      <c r="B59" s="18" t="s">
        <v>53</v>
      </c>
      <c r="C59" s="45" t="s">
        <v>34</v>
      </c>
      <c r="D59" s="21">
        <v>573841.0</v>
      </c>
      <c r="E59" s="21">
        <v>10232.0</v>
      </c>
      <c r="F59" s="38">
        <f t="shared" si="1"/>
        <v>180759.915</v>
      </c>
      <c r="G59" s="38">
        <f t="shared" si="6"/>
        <v>220527.0963</v>
      </c>
      <c r="H59" s="44">
        <v>221629.73178150004</v>
      </c>
      <c r="I59" s="38">
        <f t="shared" si="7"/>
        <v>315</v>
      </c>
      <c r="J59" s="49">
        <f t="shared" si="4"/>
        <v>17.66613712</v>
      </c>
      <c r="K59" s="15"/>
      <c r="L59" s="15"/>
      <c r="M59" s="15"/>
      <c r="N59" s="15"/>
      <c r="O59" s="15"/>
      <c r="P59" s="15"/>
      <c r="Q59" s="15"/>
      <c r="R59" s="15"/>
    </row>
    <row r="60">
      <c r="B60" s="18" t="s">
        <v>53</v>
      </c>
      <c r="C60" s="45" t="s">
        <v>36</v>
      </c>
      <c r="D60" s="21">
        <v>528034.0</v>
      </c>
      <c r="E60" s="21">
        <v>9817.0</v>
      </c>
      <c r="F60" s="38">
        <f t="shared" si="1"/>
        <v>166330.71</v>
      </c>
      <c r="G60" s="38">
        <f t="shared" si="6"/>
        <v>202923.4662</v>
      </c>
      <c r="H60" s="44">
        <v>203938.083531</v>
      </c>
      <c r="I60" s="38">
        <f t="shared" si="7"/>
        <v>315</v>
      </c>
      <c r="J60" s="49">
        <f t="shared" si="4"/>
        <v>16.94313028</v>
      </c>
      <c r="K60" s="15"/>
      <c r="L60" s="15"/>
      <c r="M60" s="15"/>
      <c r="N60" s="15"/>
      <c r="O60" s="15"/>
      <c r="P60" s="15"/>
      <c r="Q60" s="15"/>
      <c r="R60" s="15"/>
    </row>
    <row r="61">
      <c r="B61" s="18" t="s">
        <v>53</v>
      </c>
      <c r="C61" s="45" t="s">
        <v>48</v>
      </c>
      <c r="D61" s="21">
        <v>561517.0</v>
      </c>
      <c r="E61" s="21">
        <v>9586.0</v>
      </c>
      <c r="F61" s="38">
        <f t="shared" si="1"/>
        <v>176877.855</v>
      </c>
      <c r="G61" s="38">
        <f t="shared" si="6"/>
        <v>215790.9831</v>
      </c>
      <c r="H61" s="44">
        <v>216869.93801550003</v>
      </c>
      <c r="I61" s="38">
        <f t="shared" si="7"/>
        <v>315</v>
      </c>
      <c r="J61" s="49">
        <f t="shared" si="4"/>
        <v>18.45168527</v>
      </c>
      <c r="K61" s="15"/>
      <c r="L61" s="15"/>
      <c r="M61" s="15"/>
      <c r="N61" s="15"/>
      <c r="O61" s="15"/>
      <c r="P61" s="15"/>
      <c r="Q61" s="15"/>
      <c r="R61" s="15"/>
    </row>
    <row r="62">
      <c r="B62" s="56" t="s">
        <v>53</v>
      </c>
      <c r="C62" s="58" t="s">
        <v>52</v>
      </c>
      <c r="D62" s="59">
        <v>157209.0</v>
      </c>
      <c r="E62" s="59">
        <v>2608.0</v>
      </c>
      <c r="F62" s="60">
        <f t="shared" si="1"/>
        <v>49520.835</v>
      </c>
      <c r="G62" s="60">
        <f t="shared" si="6"/>
        <v>60415.4187</v>
      </c>
      <c r="H62" s="62">
        <v>60717.495793500006</v>
      </c>
      <c r="I62" s="60">
        <f t="shared" si="7"/>
        <v>315</v>
      </c>
      <c r="J62" s="64">
        <f t="shared" si="4"/>
        <v>18.98805023</v>
      </c>
      <c r="K62" s="15"/>
      <c r="L62" s="15"/>
      <c r="M62" s="15"/>
      <c r="N62" s="15"/>
      <c r="O62" s="15"/>
      <c r="P62" s="15"/>
      <c r="Q62" s="15"/>
      <c r="R62" s="15"/>
    </row>
    <row r="63">
      <c r="A63" s="19" t="s">
        <v>59</v>
      </c>
      <c r="B63" s="24" t="s">
        <v>53</v>
      </c>
      <c r="C63" s="27" t="s">
        <v>28</v>
      </c>
      <c r="D63" s="30">
        <v>537425.0</v>
      </c>
      <c r="E63" s="30">
        <v>8180.0</v>
      </c>
      <c r="F63" s="37">
        <f t="shared" si="1"/>
        <v>56401.13368</v>
      </c>
      <c r="G63" s="37">
        <f t="shared" si="6"/>
        <v>68809.38308</v>
      </c>
      <c r="H63" s="39">
        <v>69153.43</v>
      </c>
      <c r="I63" s="37">
        <f t="shared" si="7"/>
        <v>104.9469855</v>
      </c>
      <c r="J63" s="41">
        <f t="shared" si="4"/>
        <v>6.895004117</v>
      </c>
      <c r="K63" s="42"/>
      <c r="L63" s="42"/>
      <c r="M63" s="42"/>
      <c r="N63" s="42"/>
      <c r="O63" s="42"/>
      <c r="P63" s="42"/>
      <c r="Q63" s="42"/>
      <c r="R63" s="42"/>
    </row>
    <row r="64">
      <c r="B64" s="18" t="s">
        <v>53</v>
      </c>
      <c r="C64" s="45" t="s">
        <v>34</v>
      </c>
      <c r="D64" s="21">
        <v>205158.0</v>
      </c>
      <c r="E64" s="21">
        <v>3327.0</v>
      </c>
      <c r="F64" s="38">
        <f t="shared" si="1"/>
        <v>24217.14379</v>
      </c>
      <c r="G64" s="38">
        <f t="shared" si="6"/>
        <v>29544.91542</v>
      </c>
      <c r="H64" s="44">
        <v>29692.64</v>
      </c>
      <c r="I64" s="38">
        <f t="shared" si="7"/>
        <v>118.0414305</v>
      </c>
      <c r="J64" s="49">
        <f t="shared" si="4"/>
        <v>7.278973186</v>
      </c>
      <c r="K64" s="15"/>
      <c r="L64" s="15"/>
      <c r="M64" s="15"/>
      <c r="N64" s="15"/>
      <c r="O64" s="15"/>
      <c r="P64" s="15"/>
      <c r="Q64" s="15"/>
      <c r="R64" s="15"/>
    </row>
    <row r="65">
      <c r="B65" s="18" t="s">
        <v>53</v>
      </c>
      <c r="C65" s="45" t="s">
        <v>36</v>
      </c>
      <c r="D65" s="21">
        <v>522620.0</v>
      </c>
      <c r="E65" s="21">
        <v>7501.0</v>
      </c>
      <c r="F65" s="38">
        <f t="shared" si="1"/>
        <v>64656.83876</v>
      </c>
      <c r="G65" s="38">
        <f t="shared" si="6"/>
        <v>78881.34328</v>
      </c>
      <c r="H65" s="44">
        <v>79275.75</v>
      </c>
      <c r="I65" s="38">
        <f t="shared" si="7"/>
        <v>123.7167325</v>
      </c>
      <c r="J65" s="49">
        <f t="shared" si="4"/>
        <v>8.619762533</v>
      </c>
      <c r="K65" s="15"/>
      <c r="L65" s="15"/>
      <c r="M65" s="15"/>
      <c r="N65" s="15"/>
      <c r="O65" s="15"/>
      <c r="P65" s="15"/>
      <c r="Q65" s="15"/>
      <c r="R65" s="15"/>
    </row>
    <row r="66">
      <c r="B66" s="18" t="s">
        <v>53</v>
      </c>
      <c r="C66" s="45" t="s">
        <v>48</v>
      </c>
      <c r="D66" s="21">
        <v>471484.0</v>
      </c>
      <c r="E66" s="21">
        <v>6373.0</v>
      </c>
      <c r="F66" s="38">
        <f t="shared" si="1"/>
        <v>57654.1473</v>
      </c>
      <c r="G66" s="38">
        <f t="shared" si="6"/>
        <v>70338.0597</v>
      </c>
      <c r="H66" s="44">
        <v>70689.75</v>
      </c>
      <c r="I66" s="38">
        <f t="shared" si="7"/>
        <v>122.2822986</v>
      </c>
      <c r="J66" s="49">
        <f t="shared" si="4"/>
        <v>9.046625968</v>
      </c>
      <c r="K66" s="15"/>
      <c r="L66" s="15"/>
      <c r="M66" s="15"/>
      <c r="N66" s="15"/>
      <c r="O66" s="15"/>
      <c r="P66" s="15"/>
      <c r="Q66" s="15"/>
      <c r="R66" s="15"/>
    </row>
    <row r="67">
      <c r="A67" s="96"/>
      <c r="B67" s="56" t="s">
        <v>53</v>
      </c>
      <c r="C67" s="58" t="s">
        <v>52</v>
      </c>
      <c r="D67" s="59">
        <v>298042.0</v>
      </c>
      <c r="E67" s="59">
        <v>4112.0</v>
      </c>
      <c r="F67" s="60">
        <f t="shared" si="1"/>
        <v>42579.87929</v>
      </c>
      <c r="G67" s="60">
        <f t="shared" si="6"/>
        <v>51947.45274</v>
      </c>
      <c r="H67" s="62">
        <v>52207.19</v>
      </c>
      <c r="I67" s="60">
        <f t="shared" si="7"/>
        <v>142.8653656</v>
      </c>
      <c r="J67" s="64">
        <f t="shared" si="4"/>
        <v>10.35502901</v>
      </c>
      <c r="K67" s="15"/>
      <c r="L67" s="15"/>
      <c r="M67" s="15"/>
      <c r="N67" s="15"/>
      <c r="O67" s="15"/>
      <c r="P67" s="15"/>
      <c r="Q67" s="15"/>
      <c r="R67" s="15"/>
    </row>
    <row r="68">
      <c r="A68" s="19" t="s">
        <v>60</v>
      </c>
      <c r="B68" s="24" t="s">
        <v>53</v>
      </c>
      <c r="C68" s="27" t="s">
        <v>28</v>
      </c>
      <c r="D68" s="30">
        <v>213837.0</v>
      </c>
      <c r="E68" s="30">
        <v>848.0</v>
      </c>
      <c r="F68" s="37">
        <f t="shared" si="1"/>
        <v>30545.3715</v>
      </c>
      <c r="G68" s="37">
        <f t="shared" si="6"/>
        <v>37265.35323</v>
      </c>
      <c r="H68" s="39">
        <v>37451.68</v>
      </c>
      <c r="I68" s="37">
        <f t="shared" si="7"/>
        <v>142.8441827</v>
      </c>
      <c r="J68" s="41">
        <f t="shared" si="4"/>
        <v>36.02048526</v>
      </c>
      <c r="K68" s="42"/>
      <c r="L68" s="42"/>
      <c r="M68" s="42"/>
      <c r="N68" s="42"/>
      <c r="O68" s="42"/>
      <c r="P68" s="42"/>
      <c r="Q68" s="42"/>
      <c r="R68" s="42"/>
    </row>
    <row r="69">
      <c r="B69" s="18" t="s">
        <v>53</v>
      </c>
      <c r="C69" s="45" t="s">
        <v>34</v>
      </c>
      <c r="D69" s="21">
        <v>69222.0</v>
      </c>
      <c r="E69" s="21">
        <v>267.0</v>
      </c>
      <c r="F69" s="38">
        <f t="shared" si="1"/>
        <v>7043.724003</v>
      </c>
      <c r="G69" s="38">
        <f t="shared" si="6"/>
        <v>8593.343284</v>
      </c>
      <c r="H69" s="44">
        <v>8636.31</v>
      </c>
      <c r="I69" s="38">
        <f t="shared" si="7"/>
        <v>101.7555691</v>
      </c>
      <c r="J69" s="49">
        <f t="shared" si="4"/>
        <v>26.38098878</v>
      </c>
      <c r="K69" s="15"/>
      <c r="L69" s="15"/>
      <c r="M69" s="15"/>
      <c r="N69" s="15"/>
      <c r="O69" s="15"/>
      <c r="P69" s="15"/>
      <c r="Q69" s="15"/>
      <c r="R69" s="15"/>
    </row>
    <row r="70">
      <c r="B70" s="18" t="s">
        <v>53</v>
      </c>
      <c r="C70" s="45" t="s">
        <v>36</v>
      </c>
      <c r="D70" s="21">
        <v>299591.0</v>
      </c>
      <c r="E70" s="21">
        <v>1116.0</v>
      </c>
      <c r="F70" s="38">
        <f t="shared" si="1"/>
        <v>27365.32909</v>
      </c>
      <c r="G70" s="38">
        <f t="shared" si="6"/>
        <v>33385.70149</v>
      </c>
      <c r="H70" s="44">
        <v>33552.63</v>
      </c>
      <c r="I70" s="38">
        <f t="shared" si="7"/>
        <v>91.34229363</v>
      </c>
      <c r="J70" s="49">
        <f t="shared" si="4"/>
        <v>24.5209042</v>
      </c>
      <c r="K70" s="15"/>
      <c r="L70" s="15"/>
      <c r="M70" s="15"/>
      <c r="N70" s="15"/>
      <c r="O70" s="15"/>
      <c r="P70" s="15"/>
      <c r="Q70" s="15"/>
      <c r="R70" s="15"/>
    </row>
    <row r="71">
      <c r="A71" s="61"/>
      <c r="B71" s="18" t="s">
        <v>53</v>
      </c>
      <c r="C71" s="45" t="s">
        <v>48</v>
      </c>
      <c r="D71" s="21">
        <v>279272.0</v>
      </c>
      <c r="E71" s="21">
        <v>969.0</v>
      </c>
      <c r="F71" s="38">
        <f t="shared" si="1"/>
        <v>30173.90914</v>
      </c>
      <c r="G71" s="38">
        <f t="shared" si="6"/>
        <v>36812.16915</v>
      </c>
      <c r="H71" s="44">
        <v>36996.23</v>
      </c>
      <c r="I71" s="38">
        <f t="shared" si="7"/>
        <v>108.0448779</v>
      </c>
      <c r="J71" s="49">
        <f t="shared" si="4"/>
        <v>31.13922512</v>
      </c>
      <c r="K71" s="15"/>
      <c r="L71" s="15"/>
      <c r="M71" s="15"/>
      <c r="N71" s="15"/>
      <c r="O71" s="15"/>
      <c r="P71" s="15"/>
      <c r="Q71" s="15"/>
      <c r="R71" s="15"/>
    </row>
    <row r="72">
      <c r="A72" s="96"/>
      <c r="B72" s="56" t="s">
        <v>53</v>
      </c>
      <c r="C72" s="58" t="s">
        <v>52</v>
      </c>
      <c r="D72" s="59">
        <v>68319.0</v>
      </c>
      <c r="E72" s="59">
        <v>209.0</v>
      </c>
      <c r="F72" s="60">
        <f t="shared" si="1"/>
        <v>13580.26262</v>
      </c>
      <c r="G72" s="60">
        <f t="shared" si="6"/>
        <v>16567.9204</v>
      </c>
      <c r="H72" s="62">
        <v>16650.76</v>
      </c>
      <c r="I72" s="60">
        <f t="shared" si="7"/>
        <v>198.7772453</v>
      </c>
      <c r="J72" s="64">
        <f t="shared" si="4"/>
        <v>64.97733312</v>
      </c>
      <c r="K72" s="15"/>
      <c r="L72" s="15"/>
      <c r="M72" s="15"/>
      <c r="N72" s="15"/>
      <c r="O72" s="15"/>
      <c r="P72" s="15"/>
      <c r="Q72" s="15"/>
      <c r="R72" s="15"/>
    </row>
    <row r="73">
      <c r="A73" s="82" t="s">
        <v>45</v>
      </c>
      <c r="B73" s="24" t="s">
        <v>53</v>
      </c>
      <c r="C73" s="27" t="s">
        <v>28</v>
      </c>
      <c r="D73" s="30">
        <v>1967714.0</v>
      </c>
      <c r="E73" s="30">
        <v>21916.0</v>
      </c>
      <c r="F73" s="37">
        <f t="shared" si="1"/>
        <v>326910.6924</v>
      </c>
      <c r="G73" s="37">
        <f t="shared" si="6"/>
        <v>398831.0448</v>
      </c>
      <c r="H73" s="39">
        <v>400825.2</v>
      </c>
      <c r="I73" s="37">
        <f t="shared" si="7"/>
        <v>166.1373007</v>
      </c>
      <c r="J73" s="41">
        <f t="shared" si="4"/>
        <v>14.91653096</v>
      </c>
      <c r="K73" s="42"/>
      <c r="L73" s="150"/>
      <c r="M73" s="151"/>
      <c r="N73" s="151"/>
      <c r="O73" s="42"/>
      <c r="P73" s="42"/>
      <c r="Q73" s="42"/>
      <c r="R73" s="42"/>
    </row>
    <row r="74">
      <c r="B74" s="18" t="s">
        <v>53</v>
      </c>
      <c r="C74" s="45" t="s">
        <v>34</v>
      </c>
      <c r="D74" s="21">
        <v>2065964.0</v>
      </c>
      <c r="E74" s="21">
        <v>20015.0</v>
      </c>
      <c r="F74" s="38">
        <f t="shared" si="1"/>
        <v>306619.7292</v>
      </c>
      <c r="G74" s="38">
        <f t="shared" si="6"/>
        <v>374076.0697</v>
      </c>
      <c r="H74" s="44">
        <v>375946.44999999995</v>
      </c>
      <c r="I74" s="38">
        <f t="shared" si="7"/>
        <v>148.4148462</v>
      </c>
      <c r="J74" s="49">
        <f t="shared" si="4"/>
        <v>15.31949684</v>
      </c>
      <c r="K74" s="15"/>
      <c r="L74" s="153"/>
      <c r="M74" s="154"/>
      <c r="N74" s="154"/>
      <c r="O74" s="15"/>
      <c r="P74" s="15"/>
      <c r="Q74" s="15"/>
      <c r="R74" s="15"/>
    </row>
    <row r="75">
      <c r="A75" s="61"/>
      <c r="B75" s="18" t="s">
        <v>53</v>
      </c>
      <c r="C75" s="45" t="s">
        <v>36</v>
      </c>
      <c r="D75" s="21">
        <v>3634002.0</v>
      </c>
      <c r="E75" s="21">
        <v>39396.0</v>
      </c>
      <c r="F75" s="38">
        <f t="shared" si="1"/>
        <v>690729.9078</v>
      </c>
      <c r="G75" s="38">
        <f t="shared" si="6"/>
        <v>842690.4876</v>
      </c>
      <c r="H75" s="44">
        <v>846903.94</v>
      </c>
      <c r="I75" s="38">
        <f t="shared" si="7"/>
        <v>190.0741683</v>
      </c>
      <c r="J75" s="49">
        <f t="shared" si="4"/>
        <v>17.53299593</v>
      </c>
      <c r="K75" s="15"/>
      <c r="L75" s="153"/>
      <c r="M75" s="154"/>
      <c r="N75" s="154"/>
      <c r="O75" s="15"/>
      <c r="P75" s="15"/>
      <c r="Q75" s="15"/>
      <c r="R75" s="15"/>
    </row>
    <row r="76">
      <c r="A76" s="61"/>
      <c r="B76" s="18" t="s">
        <v>53</v>
      </c>
      <c r="C76" s="45" t="s">
        <v>48</v>
      </c>
      <c r="D76" s="21">
        <v>2237919.0</v>
      </c>
      <c r="E76" s="21">
        <v>27272.0</v>
      </c>
      <c r="F76" s="38">
        <f t="shared" si="1"/>
        <v>477447.6307</v>
      </c>
      <c r="G76" s="38">
        <f t="shared" si="6"/>
        <v>582486.1095</v>
      </c>
      <c r="H76" s="44">
        <v>585398.54</v>
      </c>
      <c r="I76" s="38">
        <f t="shared" si="7"/>
        <v>213.3444645</v>
      </c>
      <c r="J76" s="49">
        <f t="shared" si="4"/>
        <v>17.50687998</v>
      </c>
      <c r="K76" s="15"/>
      <c r="L76" s="153"/>
      <c r="M76" s="154"/>
      <c r="N76" s="154"/>
      <c r="O76" s="15"/>
      <c r="P76" s="15"/>
      <c r="Q76" s="15"/>
      <c r="R76" s="15"/>
    </row>
    <row r="77">
      <c r="A77" s="96"/>
      <c r="B77" s="56" t="s">
        <v>53</v>
      </c>
      <c r="C77" s="58" t="s">
        <v>52</v>
      </c>
      <c r="D77" s="59">
        <v>513555.0</v>
      </c>
      <c r="E77" s="59">
        <v>7706.0</v>
      </c>
      <c r="F77" s="60">
        <f t="shared" si="1"/>
        <v>128723.4565</v>
      </c>
      <c r="G77" s="60">
        <f t="shared" si="6"/>
        <v>157042.6169</v>
      </c>
      <c r="H77" s="62">
        <v>157827.83000000002</v>
      </c>
      <c r="I77" s="60">
        <f t="shared" si="7"/>
        <v>250.6517442</v>
      </c>
      <c r="J77" s="64">
        <f t="shared" si="4"/>
        <v>16.70431566</v>
      </c>
      <c r="K77" s="15"/>
      <c r="L77" s="153"/>
      <c r="M77" s="154"/>
      <c r="N77" s="154"/>
      <c r="O77" s="15"/>
      <c r="P77" s="15"/>
      <c r="Q77" s="15"/>
      <c r="R77" s="15"/>
    </row>
    <row r="78">
      <c r="A78" s="82" t="s">
        <v>61</v>
      </c>
      <c r="B78" s="24" t="s">
        <v>53</v>
      </c>
      <c r="C78" s="27" t="s">
        <v>28</v>
      </c>
      <c r="D78" s="30">
        <v>232711.0</v>
      </c>
      <c r="E78" s="30">
        <v>830.0</v>
      </c>
      <c r="F78" s="37">
        <f t="shared" si="1"/>
        <v>39372.77</v>
      </c>
      <c r="G78" s="37">
        <f t="shared" si="6"/>
        <v>48034.7794</v>
      </c>
      <c r="H78" s="39">
        <v>48274.95329699999</v>
      </c>
      <c r="I78" s="37">
        <f t="shared" si="7"/>
        <v>169.1917013</v>
      </c>
      <c r="J78" s="41">
        <f t="shared" si="4"/>
        <v>47.43707229</v>
      </c>
      <c r="K78" s="42"/>
      <c r="L78" s="42"/>
      <c r="M78" s="42"/>
      <c r="N78" s="42"/>
      <c r="O78" s="42"/>
      <c r="P78" s="42"/>
      <c r="Q78" s="42"/>
      <c r="R78" s="42"/>
    </row>
    <row r="79">
      <c r="A79" s="61"/>
      <c r="B79" s="18" t="s">
        <v>53</v>
      </c>
      <c r="C79" s="45" t="s">
        <v>34</v>
      </c>
      <c r="D79" s="21">
        <v>80414.0</v>
      </c>
      <c r="E79" s="21">
        <v>483.0</v>
      </c>
      <c r="F79" s="38">
        <f t="shared" si="1"/>
        <v>23389.97</v>
      </c>
      <c r="G79" s="38">
        <f t="shared" si="6"/>
        <v>28535.7634</v>
      </c>
      <c r="H79" s="44">
        <v>28678.442217</v>
      </c>
      <c r="I79" s="38">
        <f t="shared" si="7"/>
        <v>290.869376</v>
      </c>
      <c r="J79" s="49">
        <f t="shared" si="4"/>
        <v>48.42643892</v>
      </c>
      <c r="K79" s="15"/>
      <c r="L79" s="15"/>
      <c r="M79" s="15"/>
      <c r="N79" s="15"/>
      <c r="O79" s="15"/>
      <c r="P79" s="15"/>
      <c r="Q79" s="15"/>
      <c r="R79" s="15"/>
    </row>
    <row r="80">
      <c r="A80" s="96"/>
      <c r="B80" s="56" t="s">
        <v>53</v>
      </c>
      <c r="C80" s="58" t="s">
        <v>36</v>
      </c>
      <c r="D80" s="59">
        <v>97497.0</v>
      </c>
      <c r="E80" s="59">
        <v>438.0</v>
      </c>
      <c r="F80" s="60">
        <f t="shared" si="1"/>
        <v>22693.16</v>
      </c>
      <c r="G80" s="60">
        <f t="shared" si="6"/>
        <v>27685.6552</v>
      </c>
      <c r="H80" s="62">
        <v>27824.083475999996</v>
      </c>
      <c r="I80" s="60">
        <f t="shared" si="7"/>
        <v>232.7575207</v>
      </c>
      <c r="J80" s="64">
        <f t="shared" si="4"/>
        <v>51.81086758</v>
      </c>
      <c r="K80" s="15"/>
      <c r="L80" s="15"/>
      <c r="M80" s="15"/>
      <c r="N80" s="15"/>
      <c r="O80" s="15"/>
      <c r="P80" s="15"/>
      <c r="Q80" s="15"/>
      <c r="R80" s="15"/>
    </row>
    <row r="81">
      <c r="A81" s="110" t="s">
        <v>46</v>
      </c>
      <c r="B81" s="111"/>
      <c r="C81" s="156"/>
      <c r="D81" s="113">
        <f t="shared" ref="D81:E81" si="8">SUM(D37:D80)</f>
        <v>20354153</v>
      </c>
      <c r="E81" s="113">
        <f t="shared" si="8"/>
        <v>219432</v>
      </c>
      <c r="F81" s="114">
        <f t="shared" si="1"/>
        <v>876959.9951</v>
      </c>
      <c r="G81" s="114">
        <f>SUM(G37:G43)</f>
        <v>1069891.194</v>
      </c>
      <c r="H81" s="115">
        <f>SUM(H37:H80)</f>
        <v>5649518.434</v>
      </c>
      <c r="I81" s="114">
        <f>F81/(D81/1000)</f>
        <v>43.08506451</v>
      </c>
      <c r="J81" s="116">
        <f t="shared" si="4"/>
        <v>3.996500032</v>
      </c>
      <c r="K81" s="42"/>
      <c r="L81" s="42"/>
      <c r="M81" s="42"/>
      <c r="N81" s="42"/>
      <c r="O81" s="42"/>
      <c r="P81" s="42"/>
      <c r="Q81" s="42"/>
      <c r="R81" s="42"/>
    </row>
    <row r="82">
      <c r="A82" s="19" t="s">
        <v>51</v>
      </c>
      <c r="B82" s="24" t="s">
        <v>62</v>
      </c>
      <c r="C82" s="27" t="s">
        <v>28</v>
      </c>
      <c r="D82" s="30">
        <v>23686.0</v>
      </c>
      <c r="E82" s="30">
        <v>51.0</v>
      </c>
      <c r="F82" s="37">
        <f t="shared" si="1"/>
        <v>7177.318326</v>
      </c>
      <c r="G82" s="37">
        <f t="shared" ref="G82:G118" si="9">H82/1.005</f>
        <v>8756.328358</v>
      </c>
      <c r="H82" s="39">
        <v>8800.11</v>
      </c>
      <c r="I82" s="37">
        <f t="shared" ref="I82:I118" si="10">F82/D82*1000</f>
        <v>303.0194345</v>
      </c>
      <c r="J82" s="41">
        <f t="shared" si="4"/>
        <v>140.7317319</v>
      </c>
      <c r="K82" s="42"/>
      <c r="L82" s="42"/>
      <c r="M82" s="42"/>
      <c r="N82" s="42"/>
      <c r="O82" s="42"/>
      <c r="P82" s="42"/>
      <c r="Q82" s="42"/>
      <c r="R82" s="42"/>
    </row>
    <row r="83">
      <c r="B83" s="18" t="s">
        <v>62</v>
      </c>
      <c r="C83" s="45" t="s">
        <v>34</v>
      </c>
      <c r="D83" s="21">
        <v>415470.0</v>
      </c>
      <c r="E83" s="21">
        <v>1264.0</v>
      </c>
      <c r="F83" s="38">
        <f t="shared" si="1"/>
        <v>126091.9419</v>
      </c>
      <c r="G83" s="38">
        <f t="shared" si="9"/>
        <v>153832.1692</v>
      </c>
      <c r="H83" s="44">
        <v>154601.33000000002</v>
      </c>
      <c r="I83" s="38">
        <f t="shared" si="10"/>
        <v>303.4922905</v>
      </c>
      <c r="J83" s="49">
        <f t="shared" si="4"/>
        <v>99.75628317</v>
      </c>
      <c r="K83" s="15"/>
      <c r="L83" s="15"/>
      <c r="M83" s="15"/>
      <c r="N83" s="15"/>
      <c r="O83" s="15"/>
      <c r="P83" s="15"/>
      <c r="Q83" s="15"/>
      <c r="R83" s="15"/>
    </row>
    <row r="84">
      <c r="B84" s="18" t="s">
        <v>62</v>
      </c>
      <c r="C84" s="45" t="s">
        <v>36</v>
      </c>
      <c r="D84" s="21">
        <v>328175.0</v>
      </c>
      <c r="E84" s="21">
        <v>462.0</v>
      </c>
      <c r="F84" s="38">
        <f t="shared" si="1"/>
        <v>99976.3233</v>
      </c>
      <c r="G84" s="38">
        <f t="shared" si="9"/>
        <v>121971.1144</v>
      </c>
      <c r="H84" s="44">
        <v>122580.96999999996</v>
      </c>
      <c r="I84" s="38">
        <f t="shared" si="10"/>
        <v>304.6433254</v>
      </c>
      <c r="J84" s="49">
        <f t="shared" si="4"/>
        <v>216.3989682</v>
      </c>
      <c r="K84" s="15"/>
      <c r="L84" s="15"/>
      <c r="M84" s="15"/>
      <c r="N84" s="15"/>
      <c r="O84" s="15"/>
      <c r="P84" s="15"/>
      <c r="Q84" s="15"/>
      <c r="R84" s="15"/>
    </row>
    <row r="85">
      <c r="B85" s="56" t="s">
        <v>62</v>
      </c>
      <c r="C85" s="58" t="s">
        <v>38</v>
      </c>
      <c r="D85" s="59">
        <v>637295.0</v>
      </c>
      <c r="E85" s="59">
        <v>1679.0</v>
      </c>
      <c r="F85" s="60">
        <f t="shared" si="1"/>
        <v>193387.9781</v>
      </c>
      <c r="G85" s="60">
        <f t="shared" si="9"/>
        <v>235933.3333</v>
      </c>
      <c r="H85" s="62">
        <v>237113.0</v>
      </c>
      <c r="I85" s="60">
        <f t="shared" si="10"/>
        <v>303.4512716</v>
      </c>
      <c r="J85" s="64">
        <f t="shared" si="4"/>
        <v>115.1804515</v>
      </c>
      <c r="K85" s="15"/>
      <c r="L85" s="15"/>
      <c r="M85" s="15"/>
      <c r="N85" s="15"/>
      <c r="O85" s="15"/>
      <c r="P85" s="15"/>
      <c r="Q85" s="15"/>
      <c r="R85" s="15"/>
    </row>
    <row r="86">
      <c r="A86" s="19" t="s">
        <v>23</v>
      </c>
      <c r="B86" s="24" t="s">
        <v>62</v>
      </c>
      <c r="C86" s="27" t="s">
        <v>36</v>
      </c>
      <c r="D86" s="30">
        <v>208794.0</v>
      </c>
      <c r="E86" s="30">
        <v>471.0</v>
      </c>
      <c r="F86" s="37">
        <f t="shared" si="1"/>
        <v>70915.81437</v>
      </c>
      <c r="G86" s="37">
        <f t="shared" si="9"/>
        <v>86517.29353</v>
      </c>
      <c r="H86" s="39">
        <v>86949.88</v>
      </c>
      <c r="I86" s="37">
        <f t="shared" si="10"/>
        <v>339.6448862</v>
      </c>
      <c r="J86" s="41">
        <f t="shared" si="4"/>
        <v>150.5643617</v>
      </c>
      <c r="K86" s="42"/>
      <c r="L86" s="42"/>
      <c r="M86" s="42"/>
      <c r="N86" s="42"/>
      <c r="O86" s="42"/>
      <c r="P86" s="42"/>
      <c r="Q86" s="42"/>
      <c r="R86" s="42"/>
    </row>
    <row r="87">
      <c r="B87" s="56" t="s">
        <v>62</v>
      </c>
      <c r="C87" s="58" t="s">
        <v>38</v>
      </c>
      <c r="D87" s="59">
        <v>322367.0</v>
      </c>
      <c r="E87" s="59">
        <v>705.0</v>
      </c>
      <c r="F87" s="60">
        <f t="shared" si="1"/>
        <v>112817.78</v>
      </c>
      <c r="G87" s="60">
        <f t="shared" si="9"/>
        <v>137637.6915</v>
      </c>
      <c r="H87" s="62">
        <v>138325.88</v>
      </c>
      <c r="I87" s="60">
        <f t="shared" si="10"/>
        <v>349.9669009</v>
      </c>
      <c r="J87" s="64">
        <f t="shared" si="4"/>
        <v>160.0252198</v>
      </c>
      <c r="K87" s="15"/>
      <c r="L87" s="15"/>
      <c r="M87" s="15"/>
      <c r="N87" s="15"/>
      <c r="O87" s="15"/>
      <c r="P87" s="15"/>
      <c r="Q87" s="15"/>
      <c r="R87" s="15"/>
    </row>
    <row r="88">
      <c r="A88" s="19" t="s">
        <v>54</v>
      </c>
      <c r="B88" s="24" t="s">
        <v>62</v>
      </c>
      <c r="C88" s="27" t="s">
        <v>36</v>
      </c>
      <c r="D88" s="30">
        <v>223784.0</v>
      </c>
      <c r="E88" s="30">
        <v>619.0</v>
      </c>
      <c r="F88" s="37">
        <f t="shared" si="1"/>
        <v>77274.51268</v>
      </c>
      <c r="G88" s="37">
        <f t="shared" si="9"/>
        <v>94274.90547</v>
      </c>
      <c r="H88" s="39">
        <v>94746.28</v>
      </c>
      <c r="I88" s="37">
        <f t="shared" si="10"/>
        <v>345.3084791</v>
      </c>
      <c r="J88" s="41">
        <f t="shared" si="4"/>
        <v>124.8376618</v>
      </c>
      <c r="K88" s="42"/>
      <c r="L88" s="42"/>
      <c r="M88" s="42"/>
      <c r="N88" s="42"/>
      <c r="O88" s="42"/>
      <c r="P88" s="42"/>
      <c r="Q88" s="42"/>
      <c r="R88" s="42"/>
    </row>
    <row r="89">
      <c r="B89" s="56" t="s">
        <v>62</v>
      </c>
      <c r="C89" s="58" t="s">
        <v>38</v>
      </c>
      <c r="D89" s="59">
        <v>427665.0</v>
      </c>
      <c r="E89" s="59">
        <v>1029.0</v>
      </c>
      <c r="F89" s="60">
        <f t="shared" si="1"/>
        <v>148422.1678</v>
      </c>
      <c r="G89" s="60">
        <f t="shared" si="9"/>
        <v>181075.0448</v>
      </c>
      <c r="H89" s="62">
        <v>181980.42</v>
      </c>
      <c r="I89" s="60">
        <f t="shared" si="10"/>
        <v>347.0524075</v>
      </c>
      <c r="J89" s="64">
        <f t="shared" si="4"/>
        <v>144.2392302</v>
      </c>
      <c r="K89" s="15"/>
      <c r="L89" s="15"/>
      <c r="M89" s="15"/>
      <c r="N89" s="15"/>
      <c r="O89" s="15"/>
      <c r="P89" s="15"/>
      <c r="Q89" s="15"/>
      <c r="R89" s="15"/>
    </row>
    <row r="90">
      <c r="A90" s="19" t="s">
        <v>35</v>
      </c>
      <c r="B90" s="24" t="s">
        <v>62</v>
      </c>
      <c r="C90" s="27" t="s">
        <v>36</v>
      </c>
      <c r="D90" s="30">
        <v>449372.0</v>
      </c>
      <c r="E90" s="30">
        <v>502.0</v>
      </c>
      <c r="F90" s="37">
        <f t="shared" si="1"/>
        <v>84526.22951</v>
      </c>
      <c r="G90" s="37">
        <f t="shared" si="9"/>
        <v>103122</v>
      </c>
      <c r="H90" s="39">
        <v>103637.61</v>
      </c>
      <c r="I90" s="37">
        <f t="shared" si="10"/>
        <v>188.0985676</v>
      </c>
      <c r="J90" s="41">
        <f t="shared" si="4"/>
        <v>168.3789432</v>
      </c>
      <c r="K90" s="42"/>
      <c r="L90" s="42"/>
      <c r="M90" s="42"/>
      <c r="N90" s="42"/>
      <c r="O90" s="42"/>
      <c r="P90" s="42"/>
      <c r="Q90" s="42"/>
      <c r="R90" s="42"/>
    </row>
    <row r="91">
      <c r="B91" s="56" t="s">
        <v>62</v>
      </c>
      <c r="C91" s="58" t="s">
        <v>38</v>
      </c>
      <c r="D91" s="59">
        <v>1291558.0</v>
      </c>
      <c r="E91" s="59">
        <v>1567.0</v>
      </c>
      <c r="F91" s="60">
        <f t="shared" si="1"/>
        <v>242977.302</v>
      </c>
      <c r="G91" s="60">
        <f t="shared" si="9"/>
        <v>296432.3085</v>
      </c>
      <c r="H91" s="62">
        <v>297914.47000000003</v>
      </c>
      <c r="I91" s="60">
        <f t="shared" si="10"/>
        <v>188.1272866</v>
      </c>
      <c r="J91" s="64">
        <f t="shared" si="4"/>
        <v>155.0589036</v>
      </c>
      <c r="K91" s="15"/>
      <c r="L91" s="15"/>
      <c r="M91" s="15"/>
      <c r="N91" s="15"/>
      <c r="O91" s="15"/>
      <c r="P91" s="15"/>
      <c r="Q91" s="15"/>
      <c r="R91" s="15"/>
    </row>
    <row r="92">
      <c r="A92" s="19" t="s">
        <v>63</v>
      </c>
      <c r="B92" s="24" t="s">
        <v>62</v>
      </c>
      <c r="C92" s="27" t="s">
        <v>48</v>
      </c>
      <c r="D92" s="30">
        <v>1524757.0</v>
      </c>
      <c r="E92" s="30">
        <v>8912.0</v>
      </c>
      <c r="F92" s="37">
        <f t="shared" si="1"/>
        <v>1280795.881</v>
      </c>
      <c r="G92" s="37">
        <f t="shared" si="9"/>
        <v>1562570.975</v>
      </c>
      <c r="H92" s="39">
        <v>1570383.83</v>
      </c>
      <c r="I92" s="37">
        <f t="shared" si="10"/>
        <v>840.0000008</v>
      </c>
      <c r="J92" s="41">
        <f t="shared" si="4"/>
        <v>143.7158754</v>
      </c>
      <c r="K92" s="42"/>
      <c r="L92" s="42"/>
      <c r="M92" s="42"/>
      <c r="N92" s="42"/>
      <c r="O92" s="42"/>
      <c r="P92" s="42"/>
      <c r="Q92" s="42"/>
      <c r="R92" s="42"/>
    </row>
    <row r="93">
      <c r="B93" s="56" t="s">
        <v>62</v>
      </c>
      <c r="C93" s="58" t="s">
        <v>52</v>
      </c>
      <c r="D93" s="59">
        <v>650176.0</v>
      </c>
      <c r="E93" s="59">
        <v>2769.0</v>
      </c>
      <c r="F93" s="60">
        <f t="shared" si="1"/>
        <v>546147.8428</v>
      </c>
      <c r="G93" s="60">
        <f t="shared" si="9"/>
        <v>666300.3682</v>
      </c>
      <c r="H93" s="62">
        <v>669631.87</v>
      </c>
      <c r="I93" s="60">
        <f t="shared" si="10"/>
        <v>840.0000042</v>
      </c>
      <c r="J93" s="64">
        <f t="shared" si="4"/>
        <v>197.2364907</v>
      </c>
      <c r="K93" s="15"/>
      <c r="L93" s="15"/>
      <c r="M93" s="15"/>
      <c r="N93" s="15"/>
      <c r="O93" s="15"/>
      <c r="P93" s="15"/>
      <c r="Q93" s="15"/>
      <c r="R93" s="15"/>
    </row>
    <row r="94">
      <c r="A94" s="19" t="s">
        <v>58</v>
      </c>
      <c r="B94" s="24" t="s">
        <v>62</v>
      </c>
      <c r="C94" s="27" t="s">
        <v>28</v>
      </c>
      <c r="D94" s="30">
        <v>564158.0</v>
      </c>
      <c r="E94" s="30">
        <v>627.0</v>
      </c>
      <c r="F94" s="37">
        <f t="shared" si="1"/>
        <v>93086.07</v>
      </c>
      <c r="G94" s="37">
        <f t="shared" si="9"/>
        <v>113565.0054</v>
      </c>
      <c r="H94" s="39">
        <v>114132.83042700004</v>
      </c>
      <c r="I94" s="37">
        <f t="shared" si="10"/>
        <v>165</v>
      </c>
      <c r="J94" s="41">
        <f t="shared" si="4"/>
        <v>148.4626316</v>
      </c>
      <c r="K94" s="42"/>
      <c r="L94" s="42"/>
      <c r="M94" s="42"/>
      <c r="N94" s="42"/>
      <c r="O94" s="42"/>
      <c r="P94" s="42"/>
      <c r="Q94" s="42"/>
      <c r="R94" s="42"/>
    </row>
    <row r="95">
      <c r="B95" s="18" t="s">
        <v>62</v>
      </c>
      <c r="C95" s="45" t="s">
        <v>34</v>
      </c>
      <c r="D95" s="21">
        <v>603882.0</v>
      </c>
      <c r="E95" s="21">
        <v>820.0</v>
      </c>
      <c r="F95" s="38">
        <f t="shared" si="1"/>
        <v>99640.53</v>
      </c>
      <c r="G95" s="38">
        <f t="shared" si="9"/>
        <v>121561.4466</v>
      </c>
      <c r="H95" s="44">
        <v>122169.25383300004</v>
      </c>
      <c r="I95" s="38">
        <f t="shared" si="10"/>
        <v>165</v>
      </c>
      <c r="J95" s="49">
        <f t="shared" si="4"/>
        <v>121.5128415</v>
      </c>
      <c r="K95" s="15"/>
      <c r="L95" s="15"/>
      <c r="M95" s="15"/>
      <c r="N95" s="15"/>
      <c r="O95" s="15"/>
      <c r="P95" s="15"/>
      <c r="Q95" s="15"/>
      <c r="R95" s="15"/>
    </row>
    <row r="96">
      <c r="B96" s="18" t="s">
        <v>62</v>
      </c>
      <c r="C96" s="45" t="s">
        <v>36</v>
      </c>
      <c r="D96" s="21">
        <v>590215.0</v>
      </c>
      <c r="E96" s="21">
        <v>773.0</v>
      </c>
      <c r="F96" s="38">
        <f t="shared" si="1"/>
        <v>97385.475</v>
      </c>
      <c r="G96" s="38">
        <f t="shared" si="9"/>
        <v>118810.2795</v>
      </c>
      <c r="H96" s="44">
        <v>119404.33089750004</v>
      </c>
      <c r="I96" s="38">
        <f t="shared" si="10"/>
        <v>165</v>
      </c>
      <c r="J96" s="49">
        <f t="shared" si="4"/>
        <v>125.9837969</v>
      </c>
      <c r="K96" s="15"/>
      <c r="L96" s="15"/>
      <c r="M96" s="15"/>
      <c r="N96" s="15"/>
      <c r="O96" s="15"/>
      <c r="P96" s="15"/>
      <c r="Q96" s="15"/>
      <c r="R96" s="15"/>
    </row>
    <row r="97">
      <c r="B97" s="18" t="s">
        <v>62</v>
      </c>
      <c r="C97" s="45" t="s">
        <v>48</v>
      </c>
      <c r="D97" s="21">
        <v>560989.0</v>
      </c>
      <c r="E97" s="21">
        <v>837.0</v>
      </c>
      <c r="F97" s="38">
        <f t="shared" si="1"/>
        <v>92563.185</v>
      </c>
      <c r="G97" s="38">
        <f t="shared" si="9"/>
        <v>112927.0857</v>
      </c>
      <c r="H97" s="44">
        <v>113491.72112850002</v>
      </c>
      <c r="I97" s="38">
        <f t="shared" si="10"/>
        <v>165</v>
      </c>
      <c r="J97" s="49">
        <f t="shared" si="4"/>
        <v>110.5892294</v>
      </c>
      <c r="K97" s="15"/>
      <c r="L97" s="15"/>
      <c r="M97" s="15"/>
      <c r="N97" s="15"/>
      <c r="O97" s="15"/>
      <c r="P97" s="15"/>
      <c r="Q97" s="15"/>
      <c r="R97" s="15"/>
    </row>
    <row r="98">
      <c r="B98" s="56" t="s">
        <v>62</v>
      </c>
      <c r="C98" s="58" t="s">
        <v>52</v>
      </c>
      <c r="D98" s="59">
        <v>150857.0</v>
      </c>
      <c r="E98" s="59">
        <v>221.0</v>
      </c>
      <c r="F98" s="60">
        <f t="shared" si="1"/>
        <v>24891.405</v>
      </c>
      <c r="G98" s="60">
        <f t="shared" si="9"/>
        <v>30367.5141</v>
      </c>
      <c r="H98" s="62">
        <v>30519.351670500004</v>
      </c>
      <c r="I98" s="60">
        <f t="shared" si="10"/>
        <v>165</v>
      </c>
      <c r="J98" s="64">
        <f t="shared" si="4"/>
        <v>112.6307919</v>
      </c>
      <c r="K98" s="15"/>
      <c r="L98" s="15"/>
      <c r="M98" s="15"/>
      <c r="N98" s="15"/>
      <c r="O98" s="15"/>
      <c r="P98" s="15"/>
      <c r="Q98" s="15"/>
      <c r="R98" s="15"/>
    </row>
    <row r="99">
      <c r="A99" s="82" t="s">
        <v>39</v>
      </c>
      <c r="B99" s="24" t="s">
        <v>62</v>
      </c>
      <c r="C99" s="27" t="s">
        <v>28</v>
      </c>
      <c r="D99" s="30">
        <v>59984.0</v>
      </c>
      <c r="E99" s="30">
        <v>96.0</v>
      </c>
      <c r="F99" s="37">
        <f t="shared" si="1"/>
        <v>5618.309212</v>
      </c>
      <c r="G99" s="37">
        <f t="shared" si="9"/>
        <v>6854.337239</v>
      </c>
      <c r="H99" s="39">
        <v>6888.6089249999995</v>
      </c>
      <c r="I99" s="37">
        <f t="shared" si="10"/>
        <v>93.66346379</v>
      </c>
      <c r="J99" s="41">
        <f t="shared" si="4"/>
        <v>58.52405429</v>
      </c>
      <c r="K99" s="42"/>
      <c r="L99" s="88"/>
      <c r="M99" s="162"/>
      <c r="N99" s="89"/>
      <c r="O99" s="42"/>
      <c r="P99" s="42"/>
      <c r="Q99" s="42"/>
      <c r="R99" s="42"/>
    </row>
    <row r="100">
      <c r="B100" s="18" t="s">
        <v>62</v>
      </c>
      <c r="C100" s="45" t="s">
        <v>34</v>
      </c>
      <c r="D100" s="21">
        <v>87258.0</v>
      </c>
      <c r="E100" s="21">
        <v>199.0</v>
      </c>
      <c r="F100" s="38">
        <f t="shared" si="1"/>
        <v>9598.38</v>
      </c>
      <c r="G100" s="38">
        <f t="shared" si="9"/>
        <v>11710.0236</v>
      </c>
      <c r="H100" s="44">
        <v>11768.573717999998</v>
      </c>
      <c r="I100" s="38">
        <f t="shared" si="10"/>
        <v>110</v>
      </c>
      <c r="J100" s="49">
        <f t="shared" si="4"/>
        <v>48.23306533</v>
      </c>
      <c r="K100" s="15"/>
      <c r="L100" s="91"/>
      <c r="M100" s="92"/>
      <c r="N100" s="93"/>
      <c r="O100" s="15"/>
      <c r="P100" s="15"/>
      <c r="Q100" s="15"/>
      <c r="R100" s="15"/>
    </row>
    <row r="101">
      <c r="A101" s="163"/>
      <c r="B101" s="18" t="s">
        <v>62</v>
      </c>
      <c r="C101" s="45" t="s">
        <v>36</v>
      </c>
      <c r="D101" s="21">
        <v>632475.0</v>
      </c>
      <c r="E101" s="21">
        <v>7917.0</v>
      </c>
      <c r="F101" s="38">
        <f t="shared" si="1"/>
        <v>98870.45</v>
      </c>
      <c r="G101" s="38">
        <f t="shared" si="9"/>
        <v>120621.949</v>
      </c>
      <c r="H101" s="44">
        <v>121225.05874499999</v>
      </c>
      <c r="I101" s="38">
        <f t="shared" si="10"/>
        <v>156.3230958</v>
      </c>
      <c r="J101" s="49">
        <f t="shared" si="4"/>
        <v>12.48837312</v>
      </c>
      <c r="K101" s="15"/>
      <c r="L101" s="91"/>
      <c r="M101" s="92"/>
      <c r="N101" s="93"/>
      <c r="O101" s="15"/>
      <c r="P101" s="15"/>
      <c r="Q101" s="15"/>
      <c r="R101" s="15"/>
    </row>
    <row r="102">
      <c r="A102" s="163"/>
      <c r="B102" s="18" t="s">
        <v>62</v>
      </c>
      <c r="C102" s="45" t="s">
        <v>48</v>
      </c>
      <c r="D102" s="21">
        <v>1384522.0</v>
      </c>
      <c r="E102" s="21">
        <v>21244.0</v>
      </c>
      <c r="F102" s="38">
        <f t="shared" si="1"/>
        <v>221523.52</v>
      </c>
      <c r="G102" s="38">
        <f t="shared" si="9"/>
        <v>270258.6944</v>
      </c>
      <c r="H102" s="44">
        <v>271609.98787199997</v>
      </c>
      <c r="I102" s="38">
        <f t="shared" si="10"/>
        <v>160</v>
      </c>
      <c r="J102" s="49">
        <f t="shared" si="4"/>
        <v>10.42758049</v>
      </c>
      <c r="K102" s="15"/>
      <c r="L102" s="91"/>
      <c r="M102" s="92"/>
      <c r="N102" s="93"/>
      <c r="O102" s="15"/>
      <c r="P102" s="15"/>
      <c r="Q102" s="15"/>
      <c r="R102" s="15"/>
    </row>
    <row r="103">
      <c r="A103" s="163"/>
      <c r="B103" s="56" t="s">
        <v>62</v>
      </c>
      <c r="C103" s="58" t="s">
        <v>52</v>
      </c>
      <c r="D103" s="59">
        <v>454574.0</v>
      </c>
      <c r="E103" s="59">
        <v>4948.0</v>
      </c>
      <c r="F103" s="60">
        <f t="shared" si="1"/>
        <v>72731.84</v>
      </c>
      <c r="G103" s="60">
        <f t="shared" si="9"/>
        <v>88732.8448</v>
      </c>
      <c r="H103" s="62">
        <v>89176.509024</v>
      </c>
      <c r="I103" s="60">
        <f t="shared" si="10"/>
        <v>160</v>
      </c>
      <c r="J103" s="64">
        <f t="shared" si="4"/>
        <v>14.6992401</v>
      </c>
      <c r="K103" s="15"/>
      <c r="L103" s="91"/>
      <c r="M103" s="92"/>
      <c r="N103" s="93"/>
      <c r="O103" s="15"/>
      <c r="P103" s="15"/>
      <c r="Q103" s="15"/>
      <c r="R103" s="15"/>
    </row>
    <row r="104">
      <c r="A104" s="171" t="s">
        <v>44</v>
      </c>
      <c r="B104" s="24" t="s">
        <v>62</v>
      </c>
      <c r="C104" s="27" t="s">
        <v>28</v>
      </c>
      <c r="D104" s="30">
        <v>33874.0</v>
      </c>
      <c r="E104" s="30">
        <v>59.0</v>
      </c>
      <c r="F104" s="37">
        <f t="shared" si="1"/>
        <v>801.81</v>
      </c>
      <c r="G104" s="37">
        <f t="shared" si="9"/>
        <v>978.2082</v>
      </c>
      <c r="H104" s="39">
        <v>983.0992409999999</v>
      </c>
      <c r="I104" s="37">
        <f t="shared" si="10"/>
        <v>23.67036665</v>
      </c>
      <c r="J104" s="41">
        <f t="shared" si="4"/>
        <v>13.59</v>
      </c>
      <c r="K104" s="42"/>
      <c r="L104" s="42"/>
      <c r="M104" s="42"/>
      <c r="N104" s="42"/>
      <c r="O104" s="42"/>
      <c r="P104" s="42"/>
      <c r="Q104" s="42"/>
      <c r="R104" s="42"/>
    </row>
    <row r="105">
      <c r="B105" s="56" t="s">
        <v>62</v>
      </c>
      <c r="C105" s="58" t="s">
        <v>34</v>
      </c>
      <c r="D105" s="59">
        <v>19425.0</v>
      </c>
      <c r="E105" s="59">
        <v>75.0</v>
      </c>
      <c r="F105" s="60">
        <f t="shared" si="1"/>
        <v>1019.25</v>
      </c>
      <c r="G105" s="60">
        <f t="shared" si="9"/>
        <v>1243.485</v>
      </c>
      <c r="H105" s="62">
        <v>1249.7024249999997</v>
      </c>
      <c r="I105" s="60">
        <f t="shared" si="10"/>
        <v>52.47104247</v>
      </c>
      <c r="J105" s="64">
        <f t="shared" si="4"/>
        <v>13.59</v>
      </c>
      <c r="K105" s="15"/>
      <c r="L105" s="15"/>
      <c r="M105" s="15"/>
      <c r="N105" s="15"/>
      <c r="O105" s="15"/>
      <c r="P105" s="15"/>
      <c r="Q105" s="15"/>
      <c r="R105" s="15"/>
    </row>
    <row r="106">
      <c r="A106" s="82" t="s">
        <v>40</v>
      </c>
      <c r="B106" s="24" t="s">
        <v>62</v>
      </c>
      <c r="C106" s="27" t="s">
        <v>36</v>
      </c>
      <c r="D106" s="30">
        <v>691072.0</v>
      </c>
      <c r="E106" s="30">
        <v>1945.0</v>
      </c>
      <c r="F106" s="37">
        <f t="shared" si="1"/>
        <v>62196.48</v>
      </c>
      <c r="G106" s="37">
        <f t="shared" si="9"/>
        <v>75879.7056</v>
      </c>
      <c r="H106" s="39">
        <v>76259.104128</v>
      </c>
      <c r="I106" s="37">
        <f t="shared" si="10"/>
        <v>90</v>
      </c>
      <c r="J106" s="41">
        <f t="shared" si="4"/>
        <v>31.97762468</v>
      </c>
      <c r="K106" s="42"/>
      <c r="L106" s="42"/>
      <c r="M106" s="42"/>
      <c r="N106" s="42"/>
      <c r="O106" s="42"/>
      <c r="P106" s="42"/>
      <c r="Q106" s="42"/>
      <c r="R106" s="42"/>
    </row>
    <row r="107">
      <c r="A107" s="61"/>
      <c r="B107" s="18" t="s">
        <v>62</v>
      </c>
      <c r="C107" s="45" t="s">
        <v>48</v>
      </c>
      <c r="D107" s="21">
        <v>1972629.0</v>
      </c>
      <c r="E107" s="21">
        <v>5373.0</v>
      </c>
      <c r="F107" s="38">
        <f t="shared" si="1"/>
        <v>177536.61</v>
      </c>
      <c r="G107" s="38">
        <f t="shared" si="9"/>
        <v>216594.6642</v>
      </c>
      <c r="H107" s="44">
        <v>217677.637521</v>
      </c>
      <c r="I107" s="38">
        <f t="shared" si="10"/>
        <v>90</v>
      </c>
      <c r="J107" s="49">
        <f t="shared" si="4"/>
        <v>33.04236181</v>
      </c>
      <c r="K107" s="15"/>
      <c r="L107" s="15"/>
      <c r="M107" s="15"/>
      <c r="N107" s="15"/>
      <c r="O107" s="15"/>
      <c r="P107" s="15"/>
      <c r="Q107" s="15"/>
      <c r="R107" s="15"/>
    </row>
    <row r="108">
      <c r="A108" s="96"/>
      <c r="B108" s="56" t="s">
        <v>62</v>
      </c>
      <c r="C108" s="58" t="s">
        <v>52</v>
      </c>
      <c r="D108" s="59">
        <v>620487.0</v>
      </c>
      <c r="E108" s="59">
        <v>1189.0</v>
      </c>
      <c r="F108" s="60">
        <f t="shared" si="1"/>
        <v>55840.65</v>
      </c>
      <c r="G108" s="60">
        <f t="shared" si="9"/>
        <v>68125.593</v>
      </c>
      <c r="H108" s="62">
        <v>68466.22096499999</v>
      </c>
      <c r="I108" s="60">
        <f t="shared" si="10"/>
        <v>89.99487499</v>
      </c>
      <c r="J108" s="64">
        <f t="shared" si="4"/>
        <v>46.96438183</v>
      </c>
      <c r="K108" s="15"/>
      <c r="L108" s="15"/>
      <c r="M108" s="15"/>
      <c r="N108" s="15"/>
      <c r="O108" s="15"/>
      <c r="P108" s="15"/>
      <c r="Q108" s="15"/>
      <c r="R108" s="15"/>
    </row>
    <row r="109">
      <c r="A109" s="173" t="s">
        <v>41</v>
      </c>
      <c r="B109" s="24" t="s">
        <v>62</v>
      </c>
      <c r="C109" s="27" t="s">
        <v>28</v>
      </c>
      <c r="D109" s="30">
        <v>775988.0</v>
      </c>
      <c r="E109" s="30">
        <v>2923.0</v>
      </c>
      <c r="F109" s="37">
        <f t="shared" si="1"/>
        <v>184134.91</v>
      </c>
      <c r="G109" s="37">
        <f t="shared" si="9"/>
        <v>224644.5902</v>
      </c>
      <c r="H109" s="39">
        <v>225767.813151</v>
      </c>
      <c r="I109" s="37">
        <f t="shared" si="10"/>
        <v>237.2909246</v>
      </c>
      <c r="J109" s="41">
        <f t="shared" si="4"/>
        <v>62.99517961</v>
      </c>
      <c r="K109" s="42"/>
      <c r="L109" s="88"/>
      <c r="M109" s="162"/>
      <c r="N109" s="89"/>
      <c r="O109" s="42"/>
      <c r="P109" s="42"/>
      <c r="Q109" s="42"/>
      <c r="R109" s="42"/>
    </row>
    <row r="110">
      <c r="B110" s="18" t="s">
        <v>62</v>
      </c>
      <c r="C110" s="45" t="s">
        <v>34</v>
      </c>
      <c r="D110" s="21">
        <v>584854.0</v>
      </c>
      <c r="E110" s="21">
        <v>3539.0</v>
      </c>
      <c r="F110" s="38">
        <f t="shared" si="1"/>
        <v>161526.33</v>
      </c>
      <c r="G110" s="38">
        <f t="shared" si="9"/>
        <v>197062.1226</v>
      </c>
      <c r="H110" s="44">
        <v>198047.43321299995</v>
      </c>
      <c r="I110" s="38">
        <f t="shared" si="10"/>
        <v>276.1823122</v>
      </c>
      <c r="J110" s="49">
        <f t="shared" si="4"/>
        <v>45.64179994</v>
      </c>
      <c r="K110" s="15"/>
      <c r="L110" s="91"/>
      <c r="M110" s="92"/>
      <c r="N110" s="93"/>
      <c r="O110" s="15"/>
      <c r="P110" s="15"/>
      <c r="Q110" s="15"/>
      <c r="R110" s="15"/>
    </row>
    <row r="111">
      <c r="A111" s="61"/>
      <c r="B111" s="18" t="s">
        <v>62</v>
      </c>
      <c r="C111" s="45" t="s">
        <v>36</v>
      </c>
      <c r="D111" s="21">
        <v>567725.0</v>
      </c>
      <c r="E111" s="21">
        <v>3665.0</v>
      </c>
      <c r="F111" s="38">
        <f t="shared" si="1"/>
        <v>161741.32</v>
      </c>
      <c r="G111" s="38">
        <f t="shared" si="9"/>
        <v>197324.4104</v>
      </c>
      <c r="H111" s="44">
        <v>198311.03245199996</v>
      </c>
      <c r="I111" s="38">
        <f t="shared" si="10"/>
        <v>284.8937778</v>
      </c>
      <c r="J111" s="49">
        <f t="shared" si="4"/>
        <v>44.13132879</v>
      </c>
      <c r="K111" s="15"/>
      <c r="L111" s="91"/>
      <c r="M111" s="92"/>
      <c r="N111" s="93"/>
      <c r="O111" s="15"/>
      <c r="P111" s="15"/>
      <c r="Q111" s="15"/>
      <c r="R111" s="15"/>
    </row>
    <row r="112">
      <c r="A112" s="61"/>
      <c r="B112" s="18" t="s">
        <v>62</v>
      </c>
      <c r="C112" s="45" t="s">
        <v>48</v>
      </c>
      <c r="D112" s="21">
        <v>547340.0</v>
      </c>
      <c r="E112" s="21">
        <v>3393.0</v>
      </c>
      <c r="F112" s="38">
        <f t="shared" si="1"/>
        <v>147130.83</v>
      </c>
      <c r="G112" s="38">
        <f t="shared" si="9"/>
        <v>179499.6126</v>
      </c>
      <c r="H112" s="44">
        <v>180397.110663</v>
      </c>
      <c r="I112" s="38">
        <f t="shared" si="10"/>
        <v>268.8106661</v>
      </c>
      <c r="J112" s="49">
        <f t="shared" si="4"/>
        <v>43.3630504</v>
      </c>
      <c r="K112" s="15"/>
      <c r="L112" s="91"/>
      <c r="M112" s="92"/>
      <c r="N112" s="93"/>
      <c r="O112" s="15"/>
      <c r="P112" s="15"/>
      <c r="Q112" s="15"/>
      <c r="R112" s="15"/>
    </row>
    <row r="113">
      <c r="A113" s="96"/>
      <c r="B113" s="56" t="s">
        <v>62</v>
      </c>
      <c r="C113" s="58" t="s">
        <v>52</v>
      </c>
      <c r="D113" s="59">
        <v>193311.0</v>
      </c>
      <c r="E113" s="59">
        <v>1082.0</v>
      </c>
      <c r="F113" s="60">
        <f t="shared" si="1"/>
        <v>51277.75</v>
      </c>
      <c r="G113" s="60">
        <f t="shared" si="9"/>
        <v>62558.855</v>
      </c>
      <c r="H113" s="62">
        <v>62871.64927499999</v>
      </c>
      <c r="I113" s="60">
        <f t="shared" si="10"/>
        <v>265.2603835</v>
      </c>
      <c r="J113" s="64">
        <f t="shared" si="4"/>
        <v>47.39163586</v>
      </c>
      <c r="K113" s="15"/>
      <c r="L113" s="91"/>
      <c r="M113" s="92"/>
      <c r="N113" s="93"/>
      <c r="O113" s="15"/>
      <c r="P113" s="15"/>
      <c r="Q113" s="15"/>
      <c r="R113" s="15"/>
    </row>
    <row r="114">
      <c r="A114" s="82" t="s">
        <v>45</v>
      </c>
      <c r="B114" s="24" t="s">
        <v>62</v>
      </c>
      <c r="C114" s="27" t="s">
        <v>28</v>
      </c>
      <c r="D114" s="30">
        <v>630825.0</v>
      </c>
      <c r="E114" s="30">
        <v>7076.0</v>
      </c>
      <c r="F114" s="37">
        <f t="shared" si="1"/>
        <v>135200.7911</v>
      </c>
      <c r="G114" s="37">
        <f t="shared" si="9"/>
        <v>164944.9652</v>
      </c>
      <c r="H114" s="39">
        <v>165769.69</v>
      </c>
      <c r="I114" s="37">
        <f t="shared" si="10"/>
        <v>214.3237683</v>
      </c>
      <c r="J114" s="41">
        <f t="shared" si="4"/>
        <v>19.10695183</v>
      </c>
      <c r="K114" s="42"/>
      <c r="L114" s="42"/>
      <c r="M114" s="42"/>
      <c r="N114" s="42"/>
      <c r="O114" s="42"/>
      <c r="P114" s="42"/>
      <c r="Q114" s="42"/>
      <c r="R114" s="42"/>
    </row>
    <row r="115">
      <c r="A115" s="61"/>
      <c r="B115" s="18" t="s">
        <v>62</v>
      </c>
      <c r="C115" s="45" t="s">
        <v>34</v>
      </c>
      <c r="D115" s="21">
        <v>723905.0</v>
      </c>
      <c r="E115" s="21">
        <v>7241.0</v>
      </c>
      <c r="F115" s="38">
        <f t="shared" si="1"/>
        <v>139636.2695</v>
      </c>
      <c r="G115" s="38">
        <f t="shared" si="9"/>
        <v>170356.2488</v>
      </c>
      <c r="H115" s="44">
        <v>171208.03</v>
      </c>
      <c r="I115" s="38">
        <f t="shared" si="10"/>
        <v>192.8930861</v>
      </c>
      <c r="J115" s="49">
        <f t="shared" si="4"/>
        <v>19.284114</v>
      </c>
      <c r="K115" s="15"/>
      <c r="L115" s="15"/>
      <c r="M115" s="15"/>
      <c r="N115" s="15"/>
      <c r="O115" s="15"/>
      <c r="P115" s="15"/>
      <c r="Q115" s="15"/>
      <c r="R115" s="15"/>
    </row>
    <row r="116">
      <c r="A116" s="61"/>
      <c r="B116" s="18" t="s">
        <v>62</v>
      </c>
      <c r="C116" s="45" t="s">
        <v>36</v>
      </c>
      <c r="D116" s="21">
        <v>1632220.0</v>
      </c>
      <c r="E116" s="21">
        <v>16718.0</v>
      </c>
      <c r="F116" s="38">
        <f t="shared" si="1"/>
        <v>333554.3104</v>
      </c>
      <c r="G116" s="38">
        <f t="shared" si="9"/>
        <v>406936.2587</v>
      </c>
      <c r="H116" s="44">
        <v>408970.94</v>
      </c>
      <c r="I116" s="38">
        <f t="shared" si="10"/>
        <v>204.3562206</v>
      </c>
      <c r="J116" s="49">
        <f t="shared" si="4"/>
        <v>19.95180706</v>
      </c>
      <c r="K116" s="15"/>
      <c r="L116" s="15"/>
      <c r="M116" s="15"/>
      <c r="N116" s="15"/>
      <c r="O116" s="15"/>
      <c r="P116" s="15"/>
      <c r="Q116" s="15"/>
      <c r="R116" s="15"/>
    </row>
    <row r="117">
      <c r="A117" s="61"/>
      <c r="B117" s="18" t="s">
        <v>62</v>
      </c>
      <c r="C117" s="45" t="s">
        <v>48</v>
      </c>
      <c r="D117" s="21">
        <v>1285424.0</v>
      </c>
      <c r="E117" s="21">
        <v>13855.0</v>
      </c>
      <c r="F117" s="38">
        <f t="shared" si="1"/>
        <v>254445.4775</v>
      </c>
      <c r="G117" s="38">
        <f t="shared" si="9"/>
        <v>310423.4826</v>
      </c>
      <c r="H117" s="44">
        <v>311975.6</v>
      </c>
      <c r="I117" s="38">
        <f t="shared" si="10"/>
        <v>197.9467301</v>
      </c>
      <c r="J117" s="49">
        <f t="shared" si="4"/>
        <v>18.3648847</v>
      </c>
      <c r="K117" s="15"/>
      <c r="L117" s="15"/>
      <c r="M117" s="15"/>
      <c r="N117" s="15"/>
      <c r="O117" s="15"/>
      <c r="P117" s="15"/>
      <c r="Q117" s="15"/>
      <c r="R117" s="15"/>
    </row>
    <row r="118">
      <c r="A118" s="96"/>
      <c r="B118" s="56" t="s">
        <v>62</v>
      </c>
      <c r="C118" s="58" t="s">
        <v>52</v>
      </c>
      <c r="D118" s="59">
        <v>759725.0</v>
      </c>
      <c r="E118" s="59">
        <v>8466.0</v>
      </c>
      <c r="F118" s="60">
        <f t="shared" si="1"/>
        <v>137163.5103</v>
      </c>
      <c r="G118" s="60">
        <f t="shared" si="9"/>
        <v>167339.4826</v>
      </c>
      <c r="H118" s="62">
        <v>168176.18</v>
      </c>
      <c r="I118" s="60">
        <f t="shared" si="10"/>
        <v>180.5436313</v>
      </c>
      <c r="J118" s="64">
        <f t="shared" si="4"/>
        <v>16.20169033</v>
      </c>
      <c r="K118" s="15"/>
      <c r="L118" s="15"/>
      <c r="M118" s="15"/>
      <c r="N118" s="15"/>
      <c r="O118" s="15"/>
      <c r="P118" s="15"/>
      <c r="Q118" s="15"/>
      <c r="R118" s="15"/>
    </row>
    <row r="119">
      <c r="A119" s="110" t="s">
        <v>46</v>
      </c>
      <c r="B119" s="111"/>
      <c r="C119" s="112"/>
      <c r="D119" s="113">
        <f t="shared" ref="D119:E119" si="11">SUM(D82:D118)</f>
        <v>22630817</v>
      </c>
      <c r="E119" s="113">
        <f t="shared" si="11"/>
        <v>134311</v>
      </c>
      <c r="F119" s="114">
        <f t="shared" si="1"/>
        <v>610367.156</v>
      </c>
      <c r="G119" s="114">
        <f>SUM(G82:G87)</f>
        <v>744647.9303</v>
      </c>
      <c r="H119" s="115">
        <f>SUM(H82:H118)</f>
        <v>7123183.119</v>
      </c>
      <c r="I119" s="114">
        <f>F119/(D119/1000)</f>
        <v>26.97061958</v>
      </c>
      <c r="J119" s="116">
        <f t="shared" si="4"/>
        <v>4.544431625</v>
      </c>
      <c r="K119" s="42"/>
      <c r="L119" s="42"/>
      <c r="M119" s="42"/>
      <c r="N119" s="42"/>
      <c r="O119" s="42"/>
      <c r="P119" s="42"/>
      <c r="Q119" s="42"/>
      <c r="R119" s="42"/>
    </row>
    <row r="120">
      <c r="A120" s="19" t="s">
        <v>105</v>
      </c>
      <c r="B120" s="24" t="s">
        <v>65</v>
      </c>
      <c r="C120" s="27" t="s">
        <v>28</v>
      </c>
      <c r="D120" s="30">
        <v>258336.0</v>
      </c>
      <c r="E120" s="30">
        <v>731.0</v>
      </c>
      <c r="F120" s="37">
        <f t="shared" si="1"/>
        <v>84588.72033</v>
      </c>
      <c r="G120" s="37">
        <f t="shared" ref="G120:G156" si="12">H120/1.005</f>
        <v>103198.2388</v>
      </c>
      <c r="H120" s="39">
        <v>103714.23</v>
      </c>
      <c r="I120" s="37">
        <f t="shared" ref="I120:I156" si="13">F120/D120*1000</f>
        <v>327.4368277</v>
      </c>
      <c r="J120" s="41">
        <f t="shared" si="4"/>
        <v>115.7164437</v>
      </c>
      <c r="K120" s="42"/>
      <c r="L120" s="42"/>
      <c r="M120" s="42"/>
      <c r="N120" s="42"/>
      <c r="O120" s="42"/>
      <c r="P120" s="42"/>
      <c r="Q120" s="42"/>
      <c r="R120" s="42"/>
    </row>
    <row r="121">
      <c r="B121" s="18" t="s">
        <v>65</v>
      </c>
      <c r="C121" s="45" t="s">
        <v>34</v>
      </c>
      <c r="D121" s="21">
        <v>268009.0</v>
      </c>
      <c r="E121" s="21">
        <v>868.0</v>
      </c>
      <c r="F121" s="38">
        <f t="shared" si="1"/>
        <v>88428.08091</v>
      </c>
      <c r="G121" s="38">
        <f t="shared" si="12"/>
        <v>107882.2587</v>
      </c>
      <c r="H121" s="44">
        <v>108421.67</v>
      </c>
      <c r="I121" s="38">
        <f t="shared" si="13"/>
        <v>329.9444455</v>
      </c>
      <c r="J121" s="49">
        <f t="shared" si="4"/>
        <v>101.8756692</v>
      </c>
      <c r="K121" s="15"/>
      <c r="L121" s="15"/>
      <c r="M121" s="15"/>
      <c r="N121" s="15"/>
      <c r="O121" s="15"/>
      <c r="P121" s="15"/>
      <c r="Q121" s="15"/>
      <c r="R121" s="15"/>
    </row>
    <row r="122">
      <c r="B122" s="18" t="s">
        <v>65</v>
      </c>
      <c r="C122" s="45" t="s">
        <v>36</v>
      </c>
      <c r="D122" s="21">
        <v>572753.0</v>
      </c>
      <c r="E122" s="21">
        <v>1711.0</v>
      </c>
      <c r="F122" s="38">
        <f t="shared" si="1"/>
        <v>190151.5537</v>
      </c>
      <c r="G122" s="38">
        <f t="shared" si="12"/>
        <v>231984.8955</v>
      </c>
      <c r="H122" s="44">
        <v>233144.82</v>
      </c>
      <c r="I122" s="38">
        <f t="shared" si="13"/>
        <v>331.9957359</v>
      </c>
      <c r="J122" s="49">
        <f t="shared" si="4"/>
        <v>111.1347479</v>
      </c>
      <c r="K122" s="15"/>
      <c r="L122" s="15"/>
      <c r="M122" s="15"/>
      <c r="N122" s="15"/>
      <c r="O122" s="15"/>
      <c r="P122" s="15"/>
      <c r="Q122" s="15"/>
      <c r="R122" s="15"/>
    </row>
    <row r="123">
      <c r="B123" s="56" t="s">
        <v>65</v>
      </c>
      <c r="C123" s="58" t="s">
        <v>38</v>
      </c>
      <c r="D123" s="59">
        <v>131678.0</v>
      </c>
      <c r="E123" s="59">
        <v>358.0</v>
      </c>
      <c r="F123" s="60">
        <f t="shared" si="1"/>
        <v>51563.72237</v>
      </c>
      <c r="G123" s="60">
        <f t="shared" si="12"/>
        <v>62907.74129</v>
      </c>
      <c r="H123" s="62">
        <v>63222.28000000001</v>
      </c>
      <c r="I123" s="60">
        <f t="shared" si="13"/>
        <v>391.5895014</v>
      </c>
      <c r="J123" s="64">
        <f t="shared" si="4"/>
        <v>144.0327441</v>
      </c>
      <c r="K123" s="15"/>
      <c r="L123" s="15"/>
      <c r="M123" s="15"/>
      <c r="N123" s="15"/>
      <c r="O123" s="15"/>
      <c r="P123" s="15"/>
      <c r="Q123" s="15"/>
      <c r="R123" s="15"/>
    </row>
    <row r="124">
      <c r="A124" s="19" t="s">
        <v>35</v>
      </c>
      <c r="B124" s="24" t="s">
        <v>65</v>
      </c>
      <c r="C124" s="27" t="s">
        <v>36</v>
      </c>
      <c r="D124" s="30">
        <v>369273.0</v>
      </c>
      <c r="E124" s="30">
        <v>518.0</v>
      </c>
      <c r="F124" s="37">
        <f t="shared" si="1"/>
        <v>81016.22217</v>
      </c>
      <c r="G124" s="37">
        <f t="shared" si="12"/>
        <v>98839.79104</v>
      </c>
      <c r="H124" s="39">
        <v>99333.99</v>
      </c>
      <c r="I124" s="37">
        <f t="shared" si="13"/>
        <v>219.3938419</v>
      </c>
      <c r="J124" s="41">
        <f t="shared" si="4"/>
        <v>156.4019733</v>
      </c>
      <c r="K124" s="42"/>
      <c r="L124" s="42"/>
      <c r="M124" s="42"/>
      <c r="N124" s="42"/>
      <c r="O124" s="42"/>
      <c r="P124" s="42"/>
      <c r="Q124" s="42"/>
      <c r="R124" s="42"/>
    </row>
    <row r="125">
      <c r="B125" s="56" t="s">
        <v>65</v>
      </c>
      <c r="C125" s="58" t="s">
        <v>38</v>
      </c>
      <c r="D125" s="59">
        <v>1116715.0</v>
      </c>
      <c r="E125" s="59">
        <v>1504.0</v>
      </c>
      <c r="F125" s="60">
        <f t="shared" si="1"/>
        <v>245209.0776</v>
      </c>
      <c r="G125" s="60">
        <f t="shared" si="12"/>
        <v>299155.0746</v>
      </c>
      <c r="H125" s="62">
        <v>300650.85000000003</v>
      </c>
      <c r="I125" s="60">
        <f t="shared" si="13"/>
        <v>219.5807145</v>
      </c>
      <c r="J125" s="64">
        <f t="shared" si="4"/>
        <v>163.0379505</v>
      </c>
      <c r="K125" s="15"/>
      <c r="L125" s="15"/>
      <c r="M125" s="15"/>
      <c r="N125" s="15"/>
      <c r="O125" s="15"/>
      <c r="P125" s="15"/>
      <c r="Q125" s="15"/>
      <c r="R125" s="15"/>
    </row>
    <row r="126">
      <c r="A126" s="19" t="s">
        <v>51</v>
      </c>
      <c r="B126" s="24" t="s">
        <v>65</v>
      </c>
      <c r="C126" s="27" t="s">
        <v>36</v>
      </c>
      <c r="D126" s="30">
        <v>203964.0</v>
      </c>
      <c r="E126" s="30">
        <v>416.0</v>
      </c>
      <c r="F126" s="37">
        <f t="shared" si="1"/>
        <v>57293.14901</v>
      </c>
      <c r="G126" s="37">
        <f t="shared" si="12"/>
        <v>69897.64179</v>
      </c>
      <c r="H126" s="39">
        <v>70247.13</v>
      </c>
      <c r="I126" s="37">
        <f t="shared" si="13"/>
        <v>280.8983399</v>
      </c>
      <c r="J126" s="41">
        <f t="shared" si="4"/>
        <v>137.7239159</v>
      </c>
      <c r="K126" s="42"/>
      <c r="L126" s="42"/>
      <c r="M126" s="42"/>
      <c r="N126" s="42"/>
      <c r="O126" s="42"/>
      <c r="P126" s="42"/>
      <c r="Q126" s="42"/>
      <c r="R126" s="42"/>
    </row>
    <row r="127">
      <c r="B127" s="56" t="s">
        <v>65</v>
      </c>
      <c r="C127" s="58" t="s">
        <v>38</v>
      </c>
      <c r="D127" s="59">
        <v>1411645.0</v>
      </c>
      <c r="E127" s="59">
        <v>3135.0</v>
      </c>
      <c r="F127" s="60">
        <f t="shared" si="1"/>
        <v>439123.3015</v>
      </c>
      <c r="G127" s="60">
        <f t="shared" si="12"/>
        <v>535730.4279</v>
      </c>
      <c r="H127" s="62">
        <v>538409.08</v>
      </c>
      <c r="I127" s="60">
        <f t="shared" si="13"/>
        <v>311.0720482</v>
      </c>
      <c r="J127" s="64">
        <f t="shared" si="4"/>
        <v>140.0712286</v>
      </c>
      <c r="K127" s="15"/>
      <c r="L127" s="15"/>
      <c r="M127" s="15"/>
      <c r="N127" s="15"/>
      <c r="O127" s="15"/>
      <c r="P127" s="15"/>
      <c r="Q127" s="15"/>
      <c r="R127" s="15"/>
    </row>
    <row r="128">
      <c r="A128" s="173" t="s">
        <v>41</v>
      </c>
      <c r="B128" s="24" t="s">
        <v>65</v>
      </c>
      <c r="C128" s="27" t="s">
        <v>36</v>
      </c>
      <c r="D128" s="30">
        <v>470023.0</v>
      </c>
      <c r="E128" s="30">
        <v>2998.0</v>
      </c>
      <c r="F128" s="37">
        <f t="shared" si="1"/>
        <v>126907.78</v>
      </c>
      <c r="G128" s="37">
        <f t="shared" si="12"/>
        <v>154827.4916</v>
      </c>
      <c r="H128" s="39">
        <v>155601.62905799996</v>
      </c>
      <c r="I128" s="37">
        <f t="shared" si="13"/>
        <v>270.0033403</v>
      </c>
      <c r="J128" s="41">
        <f t="shared" si="4"/>
        <v>42.33081388</v>
      </c>
      <c r="K128" s="42"/>
      <c r="L128" s="42"/>
      <c r="M128" s="42"/>
      <c r="N128" s="42"/>
      <c r="O128" s="42"/>
      <c r="P128" s="42"/>
      <c r="Q128" s="42"/>
      <c r="R128" s="42"/>
    </row>
    <row r="129">
      <c r="B129" s="18" t="s">
        <v>65</v>
      </c>
      <c r="C129" s="45" t="s">
        <v>48</v>
      </c>
      <c r="D129" s="21">
        <v>1151623.0</v>
      </c>
      <c r="E129" s="21">
        <v>5837.0</v>
      </c>
      <c r="F129" s="38">
        <f t="shared" si="1"/>
        <v>310966.34</v>
      </c>
      <c r="G129" s="38">
        <f t="shared" si="12"/>
        <v>379378.9348</v>
      </c>
      <c r="H129" s="44">
        <v>381275.8294739999</v>
      </c>
      <c r="I129" s="38">
        <f t="shared" si="13"/>
        <v>270.0244264</v>
      </c>
      <c r="J129" s="49">
        <f t="shared" si="4"/>
        <v>53.27502827</v>
      </c>
      <c r="K129" s="15"/>
      <c r="L129" s="15"/>
      <c r="M129" s="15"/>
      <c r="N129" s="15"/>
      <c r="O129" s="15"/>
      <c r="P129" s="15"/>
      <c r="Q129" s="15"/>
      <c r="R129" s="15"/>
    </row>
    <row r="130">
      <c r="B130" s="56" t="s">
        <v>65</v>
      </c>
      <c r="C130" s="58" t="s">
        <v>52</v>
      </c>
      <c r="D130" s="59">
        <v>218590.0</v>
      </c>
      <c r="E130" s="59">
        <v>1369.0</v>
      </c>
      <c r="F130" s="60">
        <f t="shared" si="1"/>
        <v>59019.3</v>
      </c>
      <c r="G130" s="60">
        <f t="shared" si="12"/>
        <v>72003.546</v>
      </c>
      <c r="H130" s="62">
        <v>72363.56373000001</v>
      </c>
      <c r="I130" s="60">
        <f t="shared" si="13"/>
        <v>270</v>
      </c>
      <c r="J130" s="64">
        <f t="shared" si="4"/>
        <v>43.11124909</v>
      </c>
      <c r="K130" s="15"/>
      <c r="L130" s="15"/>
      <c r="M130" s="15"/>
      <c r="N130" s="15"/>
      <c r="O130" s="15"/>
      <c r="P130" s="15"/>
      <c r="Q130" s="15"/>
      <c r="R130" s="15"/>
    </row>
    <row r="131">
      <c r="A131" s="82" t="s">
        <v>40</v>
      </c>
      <c r="B131" s="24" t="s">
        <v>65</v>
      </c>
      <c r="C131" s="27" t="s">
        <v>36</v>
      </c>
      <c r="D131" s="30">
        <v>1905280.0</v>
      </c>
      <c r="E131" s="30">
        <v>4120.0</v>
      </c>
      <c r="F131" s="37">
        <f t="shared" si="1"/>
        <v>37094.14</v>
      </c>
      <c r="G131" s="37">
        <f t="shared" si="12"/>
        <v>45254.8508</v>
      </c>
      <c r="H131" s="39">
        <v>45481.125054</v>
      </c>
      <c r="I131" s="37">
        <f t="shared" si="13"/>
        <v>19.4691279</v>
      </c>
      <c r="J131" s="41">
        <f t="shared" si="4"/>
        <v>9.003432039</v>
      </c>
      <c r="K131" s="42"/>
      <c r="L131" s="42"/>
      <c r="M131" s="42"/>
      <c r="N131" s="42"/>
      <c r="O131" s="42"/>
      <c r="P131" s="42"/>
      <c r="Q131" s="42"/>
      <c r="R131" s="42"/>
    </row>
    <row r="132">
      <c r="B132" s="18" t="s">
        <v>65</v>
      </c>
      <c r="C132" s="45" t="s">
        <v>48</v>
      </c>
      <c r="D132" s="21">
        <v>6825492.0</v>
      </c>
      <c r="E132" s="21">
        <v>12716.0</v>
      </c>
      <c r="F132" s="38">
        <f t="shared" si="1"/>
        <v>95944.72</v>
      </c>
      <c r="G132" s="38">
        <f t="shared" si="12"/>
        <v>117052.5584</v>
      </c>
      <c r="H132" s="44">
        <v>117637.82119199999</v>
      </c>
      <c r="I132" s="38">
        <f t="shared" si="13"/>
        <v>14.05682111</v>
      </c>
      <c r="J132" s="49">
        <f t="shared" si="4"/>
        <v>7.545196603</v>
      </c>
      <c r="K132" s="15"/>
      <c r="L132" s="15"/>
      <c r="M132" s="15"/>
      <c r="N132" s="15"/>
      <c r="O132" s="15"/>
      <c r="P132" s="15"/>
      <c r="Q132" s="15"/>
      <c r="R132" s="15"/>
    </row>
    <row r="133">
      <c r="B133" s="56" t="s">
        <v>65</v>
      </c>
      <c r="C133" s="58" t="s">
        <v>52</v>
      </c>
      <c r="D133" s="59">
        <v>249830.0</v>
      </c>
      <c r="E133" s="59">
        <v>1015.0</v>
      </c>
      <c r="F133" s="60">
        <f t="shared" si="1"/>
        <v>19986.4</v>
      </c>
      <c r="G133" s="60">
        <f t="shared" si="12"/>
        <v>24383.408</v>
      </c>
      <c r="H133" s="62">
        <v>24505.325040000003</v>
      </c>
      <c r="I133" s="60">
        <f t="shared" si="13"/>
        <v>80</v>
      </c>
      <c r="J133" s="64">
        <f t="shared" si="4"/>
        <v>19.69103448</v>
      </c>
      <c r="K133" s="15"/>
      <c r="L133" s="15"/>
      <c r="M133" s="15"/>
      <c r="N133" s="15"/>
      <c r="O133" s="15"/>
      <c r="P133" s="15"/>
      <c r="Q133" s="15"/>
      <c r="R133" s="15"/>
    </row>
    <row r="134">
      <c r="A134" s="19" t="s">
        <v>69</v>
      </c>
      <c r="B134" s="24" t="s">
        <v>65</v>
      </c>
      <c r="C134" s="27" t="s">
        <v>36</v>
      </c>
      <c r="D134" s="30">
        <v>506392.0</v>
      </c>
      <c r="E134" s="30">
        <v>3524.0</v>
      </c>
      <c r="F134" s="37">
        <f t="shared" si="1"/>
        <v>172173.28</v>
      </c>
      <c r="G134" s="37">
        <f t="shared" si="12"/>
        <v>210051.4016</v>
      </c>
      <c r="H134" s="39">
        <v>211101.658608</v>
      </c>
      <c r="I134" s="37">
        <f t="shared" si="13"/>
        <v>340</v>
      </c>
      <c r="J134" s="41">
        <f t="shared" si="4"/>
        <v>48.85734393</v>
      </c>
      <c r="K134" s="42"/>
      <c r="L134" s="42"/>
      <c r="M134" s="42"/>
      <c r="N134" s="42"/>
      <c r="O134" s="42"/>
      <c r="P134" s="42"/>
      <c r="Q134" s="42"/>
      <c r="R134" s="42"/>
    </row>
    <row r="135">
      <c r="B135" s="18" t="s">
        <v>65</v>
      </c>
      <c r="C135" s="45" t="s">
        <v>48</v>
      </c>
      <c r="D135" s="21">
        <v>1270332.0</v>
      </c>
      <c r="E135" s="21">
        <v>9164.0</v>
      </c>
      <c r="F135" s="38">
        <f t="shared" si="1"/>
        <v>431912.88</v>
      </c>
      <c r="G135" s="38">
        <f t="shared" si="12"/>
        <v>526933.7136</v>
      </c>
      <c r="H135" s="44">
        <v>529568.3821680001</v>
      </c>
      <c r="I135" s="38">
        <f t="shared" si="13"/>
        <v>340</v>
      </c>
      <c r="J135" s="49">
        <f t="shared" si="4"/>
        <v>47.1314797</v>
      </c>
      <c r="K135" s="15"/>
      <c r="L135" s="15"/>
      <c r="M135" s="15"/>
      <c r="N135" s="15"/>
      <c r="O135" s="15"/>
      <c r="P135" s="15"/>
      <c r="Q135" s="15"/>
      <c r="R135" s="15"/>
    </row>
    <row r="136">
      <c r="B136" s="56" t="s">
        <v>65</v>
      </c>
      <c r="C136" s="58" t="s">
        <v>52</v>
      </c>
      <c r="D136" s="59">
        <v>382538.0</v>
      </c>
      <c r="E136" s="59">
        <v>2663.0</v>
      </c>
      <c r="F136" s="60">
        <f t="shared" si="1"/>
        <v>130062.92</v>
      </c>
      <c r="G136" s="60">
        <f t="shared" si="12"/>
        <v>158676.7624</v>
      </c>
      <c r="H136" s="62">
        <v>159470.14621200002</v>
      </c>
      <c r="I136" s="60">
        <f t="shared" si="13"/>
        <v>340</v>
      </c>
      <c r="J136" s="64" t="str">
        <f>F136/#REF!</f>
        <v>#REF!</v>
      </c>
      <c r="K136" s="15"/>
      <c r="L136" s="15"/>
      <c r="M136" s="15"/>
      <c r="N136" s="15"/>
      <c r="O136" s="15"/>
      <c r="P136" s="15"/>
      <c r="Q136" s="15"/>
      <c r="R136" s="15"/>
    </row>
    <row r="137">
      <c r="A137" s="19" t="s">
        <v>42</v>
      </c>
      <c r="B137" s="24" t="s">
        <v>65</v>
      </c>
      <c r="C137" s="27" t="s">
        <v>48</v>
      </c>
      <c r="D137" s="30">
        <v>565348.0</v>
      </c>
      <c r="E137" s="30">
        <v>3416.0</v>
      </c>
      <c r="F137" s="37">
        <f t="shared" si="1"/>
        <v>316594.88</v>
      </c>
      <c r="G137" s="37">
        <f t="shared" si="12"/>
        <v>386245.7536</v>
      </c>
      <c r="H137" s="39">
        <v>388176.98236799997</v>
      </c>
      <c r="I137" s="37">
        <f t="shared" si="13"/>
        <v>560</v>
      </c>
      <c r="J137" s="41">
        <f>F137/E136</f>
        <v>118.886549</v>
      </c>
      <c r="K137" s="42"/>
      <c r="L137" s="42"/>
      <c r="M137" s="42"/>
      <c r="N137" s="42"/>
      <c r="O137" s="42"/>
      <c r="P137" s="42"/>
      <c r="Q137" s="42"/>
      <c r="R137" s="42"/>
    </row>
    <row r="138">
      <c r="B138" s="56" t="s">
        <v>65</v>
      </c>
      <c r="C138" s="58" t="s">
        <v>52</v>
      </c>
      <c r="D138" s="59">
        <v>161443.0</v>
      </c>
      <c r="E138" s="59">
        <v>959.0</v>
      </c>
      <c r="F138" s="60">
        <f t="shared" si="1"/>
        <v>90408.08</v>
      </c>
      <c r="G138" s="60">
        <f t="shared" si="12"/>
        <v>110297.8576</v>
      </c>
      <c r="H138" s="62">
        <v>110849.346888</v>
      </c>
      <c r="I138" s="60">
        <f t="shared" si="13"/>
        <v>560</v>
      </c>
      <c r="J138" s="64">
        <f t="shared" ref="J138:J390" si="14">F138/E138</f>
        <v>94.27328467</v>
      </c>
      <c r="K138" s="15"/>
      <c r="L138" s="15"/>
      <c r="M138" s="15"/>
      <c r="N138" s="15"/>
      <c r="O138" s="15"/>
      <c r="P138" s="15"/>
      <c r="Q138" s="15"/>
      <c r="R138" s="15"/>
    </row>
    <row r="139">
      <c r="A139" s="19" t="s">
        <v>57</v>
      </c>
      <c r="B139" s="24" t="s">
        <v>65</v>
      </c>
      <c r="C139" s="27" t="s">
        <v>36</v>
      </c>
      <c r="D139" s="30">
        <v>398695.0</v>
      </c>
      <c r="E139" s="30">
        <v>6083.0</v>
      </c>
      <c r="F139" s="37">
        <f t="shared" si="1"/>
        <v>99673.75</v>
      </c>
      <c r="G139" s="37">
        <f t="shared" si="12"/>
        <v>121601.975</v>
      </c>
      <c r="H139" s="39">
        <v>122209.98487499998</v>
      </c>
      <c r="I139" s="37">
        <f t="shared" si="13"/>
        <v>250</v>
      </c>
      <c r="J139" s="41">
        <f t="shared" si="14"/>
        <v>16.38562387</v>
      </c>
      <c r="K139" s="42"/>
      <c r="L139" s="42"/>
      <c r="M139" s="42"/>
      <c r="N139" s="42"/>
      <c r="O139" s="42"/>
      <c r="P139" s="42"/>
      <c r="Q139" s="42"/>
      <c r="R139" s="42"/>
    </row>
    <row r="140">
      <c r="B140" s="18" t="s">
        <v>65</v>
      </c>
      <c r="C140" s="45" t="s">
        <v>48</v>
      </c>
      <c r="D140" s="21">
        <v>1269963.0</v>
      </c>
      <c r="E140" s="21">
        <v>33734.0</v>
      </c>
      <c r="F140" s="38">
        <f t="shared" si="1"/>
        <v>317490.75</v>
      </c>
      <c r="G140" s="38">
        <f t="shared" si="12"/>
        <v>387338.715</v>
      </c>
      <c r="H140" s="44">
        <v>389275.40857500007</v>
      </c>
      <c r="I140" s="38">
        <f t="shared" si="13"/>
        <v>250</v>
      </c>
      <c r="J140" s="49">
        <f t="shared" si="14"/>
        <v>9.411595127</v>
      </c>
      <c r="K140" s="15"/>
      <c r="L140" s="15"/>
      <c r="M140" s="15"/>
      <c r="N140" s="15"/>
      <c r="O140" s="15"/>
      <c r="P140" s="15"/>
      <c r="Q140" s="15"/>
      <c r="R140" s="15"/>
    </row>
    <row r="141">
      <c r="A141" s="196"/>
      <c r="B141" s="56" t="s">
        <v>65</v>
      </c>
      <c r="C141" s="58" t="s">
        <v>52</v>
      </c>
      <c r="D141" s="59">
        <v>331368.0</v>
      </c>
      <c r="E141" s="59">
        <v>8886.0</v>
      </c>
      <c r="F141" s="60">
        <f t="shared" si="1"/>
        <v>82842</v>
      </c>
      <c r="G141" s="60">
        <f t="shared" si="12"/>
        <v>101067.24</v>
      </c>
      <c r="H141" s="62">
        <v>101572.57619999998</v>
      </c>
      <c r="I141" s="60">
        <f t="shared" si="13"/>
        <v>250</v>
      </c>
      <c r="J141" s="64">
        <f t="shared" si="14"/>
        <v>9.322754895</v>
      </c>
      <c r="K141" s="15"/>
      <c r="L141" s="15"/>
      <c r="M141" s="15"/>
      <c r="N141" s="15"/>
      <c r="O141" s="15"/>
      <c r="P141" s="15"/>
      <c r="Q141" s="15"/>
      <c r="R141" s="15"/>
    </row>
    <row r="142">
      <c r="A142" s="82" t="s">
        <v>39</v>
      </c>
      <c r="B142" s="24" t="s">
        <v>65</v>
      </c>
      <c r="C142" s="27" t="s">
        <v>28</v>
      </c>
      <c r="D142" s="30">
        <v>77163.0</v>
      </c>
      <c r="E142" s="30">
        <v>191.0</v>
      </c>
      <c r="F142" s="37">
        <f t="shared" si="1"/>
        <v>8487.93</v>
      </c>
      <c r="G142" s="37">
        <f t="shared" si="12"/>
        <v>10355.2746</v>
      </c>
      <c r="H142" s="39">
        <v>10407.050973</v>
      </c>
      <c r="I142" s="37">
        <f t="shared" si="13"/>
        <v>110</v>
      </c>
      <c r="J142" s="41">
        <f t="shared" si="14"/>
        <v>44.43942408</v>
      </c>
      <c r="K142" s="42"/>
      <c r="L142" s="42"/>
      <c r="M142" s="42"/>
      <c r="N142" s="42"/>
      <c r="O142" s="42"/>
      <c r="P142" s="42"/>
      <c r="Q142" s="42"/>
      <c r="R142" s="42"/>
    </row>
    <row r="143">
      <c r="B143" s="18" t="s">
        <v>65</v>
      </c>
      <c r="C143" s="45" t="s">
        <v>34</v>
      </c>
      <c r="D143" s="21">
        <v>174231.0</v>
      </c>
      <c r="E143" s="21">
        <v>895.0</v>
      </c>
      <c r="F143" s="38">
        <f t="shared" si="1"/>
        <v>19165.41</v>
      </c>
      <c r="G143" s="38">
        <f t="shared" si="12"/>
        <v>23381.8002</v>
      </c>
      <c r="H143" s="44">
        <v>23498.709200999994</v>
      </c>
      <c r="I143" s="38">
        <f t="shared" si="13"/>
        <v>110</v>
      </c>
      <c r="J143" s="49">
        <f t="shared" si="14"/>
        <v>21.41386592</v>
      </c>
      <c r="K143" s="15"/>
      <c r="L143" s="15"/>
      <c r="M143" s="15"/>
      <c r="N143" s="15"/>
      <c r="O143" s="15"/>
      <c r="P143" s="15"/>
      <c r="Q143" s="15"/>
      <c r="R143" s="15"/>
    </row>
    <row r="144">
      <c r="B144" s="18" t="s">
        <v>65</v>
      </c>
      <c r="C144" s="45" t="s">
        <v>36</v>
      </c>
      <c r="D144" s="21">
        <v>581122.0</v>
      </c>
      <c r="E144" s="21">
        <v>7933.0</v>
      </c>
      <c r="F144" s="38">
        <f t="shared" si="1"/>
        <v>85735.92</v>
      </c>
      <c r="G144" s="38">
        <f t="shared" si="12"/>
        <v>104597.8224</v>
      </c>
      <c r="H144" s="44">
        <v>105120.81151199999</v>
      </c>
      <c r="I144" s="38">
        <f t="shared" si="13"/>
        <v>147.5351475</v>
      </c>
      <c r="J144" s="49">
        <f t="shared" si="14"/>
        <v>10.80750284</v>
      </c>
      <c r="K144" s="15"/>
      <c r="L144" s="15"/>
      <c r="M144" s="15"/>
      <c r="N144" s="15"/>
      <c r="O144" s="15"/>
      <c r="P144" s="15"/>
      <c r="Q144" s="15"/>
      <c r="R144" s="15"/>
    </row>
    <row r="145">
      <c r="A145" s="17"/>
      <c r="B145" s="18" t="s">
        <v>65</v>
      </c>
      <c r="C145" s="45" t="s">
        <v>48</v>
      </c>
      <c r="D145" s="21">
        <v>778271.0</v>
      </c>
      <c r="E145" s="21">
        <v>12140.0</v>
      </c>
      <c r="F145" s="38">
        <f t="shared" si="1"/>
        <v>124523.36</v>
      </c>
      <c r="G145" s="38">
        <f t="shared" si="12"/>
        <v>151918.4992</v>
      </c>
      <c r="H145" s="44">
        <v>152678.091696</v>
      </c>
      <c r="I145" s="38">
        <f t="shared" si="13"/>
        <v>160</v>
      </c>
      <c r="J145" s="49">
        <f t="shared" si="14"/>
        <v>10.25727842</v>
      </c>
      <c r="K145" s="15"/>
      <c r="L145" s="15"/>
      <c r="M145" s="15"/>
      <c r="N145" s="15"/>
      <c r="O145" s="15"/>
      <c r="P145" s="15"/>
      <c r="Q145" s="15"/>
      <c r="R145" s="15"/>
    </row>
    <row r="146">
      <c r="A146" s="196"/>
      <c r="B146" s="56" t="s">
        <v>65</v>
      </c>
      <c r="C146" s="58" t="s">
        <v>52</v>
      </c>
      <c r="D146" s="59">
        <v>195053.0</v>
      </c>
      <c r="E146" s="59">
        <v>1455.0</v>
      </c>
      <c r="F146" s="60">
        <f t="shared" si="1"/>
        <v>31208.48</v>
      </c>
      <c r="G146" s="60">
        <f t="shared" si="12"/>
        <v>38074.3456</v>
      </c>
      <c r="H146" s="62">
        <v>38264.717328</v>
      </c>
      <c r="I146" s="60">
        <f t="shared" si="13"/>
        <v>160</v>
      </c>
      <c r="J146" s="64">
        <f t="shared" si="14"/>
        <v>21.44912715</v>
      </c>
      <c r="K146" s="15"/>
      <c r="L146" s="15"/>
      <c r="M146" s="15"/>
      <c r="N146" s="15"/>
      <c r="O146" s="15"/>
      <c r="P146" s="15"/>
      <c r="Q146" s="15"/>
      <c r="R146" s="15"/>
    </row>
    <row r="147">
      <c r="A147" s="171" t="s">
        <v>44</v>
      </c>
      <c r="B147" s="24" t="s">
        <v>65</v>
      </c>
      <c r="C147" s="27" t="s">
        <v>28</v>
      </c>
      <c r="D147" s="30">
        <v>84037.0</v>
      </c>
      <c r="E147" s="30">
        <v>145.0</v>
      </c>
      <c r="F147" s="37">
        <f t="shared" si="1"/>
        <v>1970.55</v>
      </c>
      <c r="G147" s="37">
        <f t="shared" si="12"/>
        <v>2404.071</v>
      </c>
      <c r="H147" s="39">
        <v>2416.091354999999</v>
      </c>
      <c r="I147" s="37">
        <f t="shared" si="13"/>
        <v>23.44860002</v>
      </c>
      <c r="J147" s="41">
        <f t="shared" si="14"/>
        <v>13.59</v>
      </c>
      <c r="K147" s="42"/>
      <c r="L147" s="42"/>
      <c r="M147" s="42"/>
      <c r="N147" s="42"/>
      <c r="O147" s="42"/>
      <c r="P147" s="42"/>
      <c r="Q147" s="42"/>
      <c r="R147" s="42"/>
    </row>
    <row r="148">
      <c r="B148" s="18" t="s">
        <v>65</v>
      </c>
      <c r="C148" s="45" t="s">
        <v>34</v>
      </c>
      <c r="D148" s="21">
        <v>72376.0</v>
      </c>
      <c r="E148" s="21">
        <v>583.0</v>
      </c>
      <c r="F148" s="38">
        <f t="shared" si="1"/>
        <v>7922.97</v>
      </c>
      <c r="G148" s="38">
        <f t="shared" si="12"/>
        <v>9666.0234</v>
      </c>
      <c r="H148" s="44">
        <v>9714.353516999998</v>
      </c>
      <c r="I148" s="38">
        <f t="shared" si="13"/>
        <v>109.4695755</v>
      </c>
      <c r="J148" s="49">
        <f t="shared" si="14"/>
        <v>13.59</v>
      </c>
      <c r="K148" s="15"/>
      <c r="L148" s="15"/>
      <c r="M148" s="15"/>
      <c r="N148" s="15"/>
      <c r="O148" s="15"/>
      <c r="P148" s="15"/>
      <c r="Q148" s="15"/>
      <c r="R148" s="15"/>
    </row>
    <row r="149">
      <c r="A149" s="17"/>
      <c r="B149" s="18" t="s">
        <v>65</v>
      </c>
      <c r="C149" s="45" t="s">
        <v>36</v>
      </c>
      <c r="D149" s="21">
        <v>97364.0</v>
      </c>
      <c r="E149" s="21">
        <v>1040.0</v>
      </c>
      <c r="F149" s="38">
        <f t="shared" si="1"/>
        <v>19979.52</v>
      </c>
      <c r="G149" s="38">
        <f t="shared" si="12"/>
        <v>24375.0144</v>
      </c>
      <c r="H149" s="44">
        <v>24496.889472</v>
      </c>
      <c r="I149" s="38">
        <f t="shared" si="13"/>
        <v>205.2043877</v>
      </c>
      <c r="J149" s="49">
        <f t="shared" si="14"/>
        <v>19.21107692</v>
      </c>
      <c r="K149" s="15"/>
      <c r="L149" s="15"/>
      <c r="M149" s="15"/>
      <c r="N149" s="15"/>
      <c r="O149" s="15"/>
      <c r="P149" s="15"/>
      <c r="Q149" s="15"/>
      <c r="R149" s="15"/>
    </row>
    <row r="150">
      <c r="A150" s="17"/>
      <c r="B150" s="18" t="s">
        <v>65</v>
      </c>
      <c r="C150" s="45" t="s">
        <v>48</v>
      </c>
      <c r="D150" s="21">
        <v>204538.0</v>
      </c>
      <c r="E150" s="21">
        <v>1169.0</v>
      </c>
      <c r="F150" s="38">
        <f t="shared" si="1"/>
        <v>23380</v>
      </c>
      <c r="G150" s="38">
        <f t="shared" si="12"/>
        <v>28523.6</v>
      </c>
      <c r="H150" s="44">
        <v>28666.217999999997</v>
      </c>
      <c r="I150" s="38">
        <f t="shared" si="13"/>
        <v>114.3063881</v>
      </c>
      <c r="J150" s="49">
        <f t="shared" si="14"/>
        <v>20</v>
      </c>
      <c r="K150" s="15"/>
      <c r="L150" s="15"/>
      <c r="M150" s="15"/>
      <c r="N150" s="15"/>
      <c r="O150" s="15"/>
      <c r="P150" s="15"/>
      <c r="Q150" s="15"/>
      <c r="R150" s="15"/>
    </row>
    <row r="151">
      <c r="A151" s="196"/>
      <c r="B151" s="56" t="s">
        <v>65</v>
      </c>
      <c r="C151" s="58" t="s">
        <v>52</v>
      </c>
      <c r="D151" s="59">
        <v>186974.0</v>
      </c>
      <c r="E151" s="59">
        <v>470.0</v>
      </c>
      <c r="F151" s="60">
        <f t="shared" si="1"/>
        <v>9400</v>
      </c>
      <c r="G151" s="60">
        <f t="shared" si="12"/>
        <v>11468</v>
      </c>
      <c r="H151" s="62">
        <v>11525.339999999998</v>
      </c>
      <c r="I151" s="60">
        <f t="shared" si="13"/>
        <v>50.2743697</v>
      </c>
      <c r="J151" s="64">
        <f t="shared" si="14"/>
        <v>20</v>
      </c>
      <c r="K151" s="15"/>
      <c r="L151" s="15"/>
      <c r="M151" s="15"/>
      <c r="N151" s="15"/>
      <c r="O151" s="15"/>
      <c r="P151" s="15"/>
      <c r="Q151" s="15"/>
      <c r="R151" s="15"/>
    </row>
    <row r="152">
      <c r="A152" s="19" t="s">
        <v>72</v>
      </c>
      <c r="B152" s="24" t="s">
        <v>65</v>
      </c>
      <c r="C152" s="27" t="s">
        <v>28</v>
      </c>
      <c r="D152" s="30">
        <v>1173618.0</v>
      </c>
      <c r="E152" s="30">
        <v>5763.0</v>
      </c>
      <c r="F152" s="37">
        <f t="shared" si="1"/>
        <v>77914.52573</v>
      </c>
      <c r="G152" s="37">
        <f t="shared" si="12"/>
        <v>95055.72139</v>
      </c>
      <c r="H152" s="39">
        <v>95531.0</v>
      </c>
      <c r="I152" s="37">
        <f t="shared" si="13"/>
        <v>66.38831863</v>
      </c>
      <c r="J152" s="41">
        <f t="shared" si="14"/>
        <v>13.51978583</v>
      </c>
      <c r="K152" s="42"/>
      <c r="L152" s="42"/>
      <c r="M152" s="42"/>
      <c r="N152" s="42"/>
      <c r="O152" s="42"/>
      <c r="P152" s="42"/>
      <c r="Q152" s="42"/>
      <c r="R152" s="42"/>
    </row>
    <row r="153">
      <c r="A153" s="17"/>
      <c r="B153" s="18" t="s">
        <v>65</v>
      </c>
      <c r="C153" s="45" t="s">
        <v>34</v>
      </c>
      <c r="D153" s="21">
        <v>946774.0</v>
      </c>
      <c r="E153" s="21">
        <v>6042.0</v>
      </c>
      <c r="F153" s="38">
        <f t="shared" si="1"/>
        <v>49959.22029</v>
      </c>
      <c r="G153" s="38">
        <f t="shared" si="12"/>
        <v>60950.24876</v>
      </c>
      <c r="H153" s="44">
        <v>61255.0</v>
      </c>
      <c r="I153" s="38">
        <f t="shared" si="13"/>
        <v>52.76784142</v>
      </c>
      <c r="J153" s="49">
        <f t="shared" si="14"/>
        <v>8.268656122</v>
      </c>
      <c r="K153" s="15"/>
      <c r="L153" s="15"/>
      <c r="M153" s="15"/>
      <c r="N153" s="15"/>
      <c r="O153" s="15"/>
      <c r="P153" s="15"/>
      <c r="Q153" s="15"/>
      <c r="R153" s="15"/>
    </row>
    <row r="154">
      <c r="A154" s="17"/>
      <c r="B154" s="18" t="s">
        <v>65</v>
      </c>
      <c r="C154" s="45" t="s">
        <v>36</v>
      </c>
      <c r="D154" s="21">
        <v>914074.0</v>
      </c>
      <c r="E154" s="21">
        <v>6308.0</v>
      </c>
      <c r="F154" s="38">
        <f t="shared" si="1"/>
        <v>51089.6338</v>
      </c>
      <c r="G154" s="38">
        <f t="shared" si="12"/>
        <v>62329.35323</v>
      </c>
      <c r="H154" s="44">
        <v>62641.0</v>
      </c>
      <c r="I154" s="38">
        <f t="shared" si="13"/>
        <v>55.89222951</v>
      </c>
      <c r="J154" s="49">
        <f t="shared" si="14"/>
        <v>8.099181008</v>
      </c>
      <c r="K154" s="15"/>
      <c r="L154" s="15"/>
      <c r="M154" s="15"/>
      <c r="N154" s="15"/>
      <c r="O154" s="15"/>
      <c r="P154" s="15"/>
      <c r="Q154" s="15"/>
      <c r="R154" s="15"/>
    </row>
    <row r="155">
      <c r="A155" s="17"/>
      <c r="B155" s="18" t="s">
        <v>65</v>
      </c>
      <c r="C155" s="45" t="s">
        <v>48</v>
      </c>
      <c r="D155" s="21">
        <v>1176265.0</v>
      </c>
      <c r="E155" s="21">
        <v>6952.0</v>
      </c>
      <c r="F155" s="38">
        <f t="shared" si="1"/>
        <v>66634.0429</v>
      </c>
      <c r="G155" s="38">
        <f t="shared" si="12"/>
        <v>81293.53234</v>
      </c>
      <c r="H155" s="44">
        <v>81700.0</v>
      </c>
      <c r="I155" s="38">
        <f t="shared" si="13"/>
        <v>56.64883585</v>
      </c>
      <c r="J155" s="49">
        <f t="shared" si="14"/>
        <v>9.584873835</v>
      </c>
      <c r="K155" s="15"/>
      <c r="L155" s="15"/>
      <c r="M155" s="15"/>
      <c r="N155" s="15"/>
      <c r="O155" s="15"/>
      <c r="P155" s="15"/>
      <c r="Q155" s="15"/>
      <c r="R155" s="15"/>
    </row>
    <row r="156">
      <c r="A156" s="196"/>
      <c r="B156" s="56" t="s">
        <v>65</v>
      </c>
      <c r="C156" s="58" t="s">
        <v>52</v>
      </c>
      <c r="D156" s="59">
        <v>472676.0</v>
      </c>
      <c r="E156" s="59">
        <v>3991.0</v>
      </c>
      <c r="F156" s="60">
        <f t="shared" si="1"/>
        <v>35890.22103</v>
      </c>
      <c r="G156" s="60">
        <f t="shared" si="12"/>
        <v>43786.06965</v>
      </c>
      <c r="H156" s="62">
        <v>44005.0</v>
      </c>
      <c r="I156" s="60">
        <f t="shared" si="13"/>
        <v>75.92985687</v>
      </c>
      <c r="J156" s="64">
        <f t="shared" si="14"/>
        <v>8.992789032</v>
      </c>
      <c r="K156" s="15"/>
      <c r="L156" s="15"/>
      <c r="M156" s="15"/>
      <c r="N156" s="15"/>
      <c r="O156" s="15"/>
      <c r="P156" s="15"/>
      <c r="Q156" s="15"/>
      <c r="R156" s="15"/>
    </row>
    <row r="157">
      <c r="A157" s="110" t="s">
        <v>46</v>
      </c>
      <c r="B157" s="111"/>
      <c r="C157" s="112"/>
      <c r="D157" s="113">
        <f t="shared" ref="D157:E157" si="15">SUM(D120:D156)</f>
        <v>27173826</v>
      </c>
      <c r="E157" s="113">
        <f t="shared" si="15"/>
        <v>160802</v>
      </c>
      <c r="F157" s="114">
        <f t="shared" si="1"/>
        <v>740957.377</v>
      </c>
      <c r="G157" s="114">
        <f>SUM(G120:G125)</f>
        <v>903968</v>
      </c>
      <c r="H157" s="115">
        <f>SUM(H120:H156)</f>
        <v>5078154.102</v>
      </c>
      <c r="I157" s="114">
        <f>F157/(D157/1000)</f>
        <v>27.26731882</v>
      </c>
      <c r="J157" s="116">
        <f t="shared" si="14"/>
        <v>4.607886575</v>
      </c>
      <c r="K157" s="42"/>
      <c r="L157" s="42"/>
      <c r="M157" s="42"/>
      <c r="N157" s="42"/>
      <c r="O157" s="42"/>
      <c r="P157" s="42"/>
      <c r="Q157" s="42"/>
      <c r="R157" s="42"/>
    </row>
    <row r="158">
      <c r="A158" s="19" t="s">
        <v>51</v>
      </c>
      <c r="B158" s="27" t="s">
        <v>75</v>
      </c>
      <c r="C158" s="27" t="s">
        <v>28</v>
      </c>
      <c r="D158" s="30">
        <v>182852.0</v>
      </c>
      <c r="E158" s="30">
        <v>332.0</v>
      </c>
      <c r="F158" s="37">
        <f t="shared" si="1"/>
        <v>53011.16548</v>
      </c>
      <c r="G158" s="37">
        <f t="shared" ref="G158:G180" si="16">H158/1.005</f>
        <v>64673.62189</v>
      </c>
      <c r="H158" s="39">
        <v>64996.99</v>
      </c>
      <c r="I158" s="37">
        <f t="shared" ref="I158:I180" si="17">F158/D158*1000</f>
        <v>289.912965</v>
      </c>
      <c r="J158" s="41">
        <f t="shared" si="14"/>
        <v>159.6721852</v>
      </c>
      <c r="K158" s="42"/>
      <c r="L158" s="42"/>
      <c r="M158" s="42"/>
      <c r="N158" s="42"/>
      <c r="O158" s="42"/>
      <c r="P158" s="42"/>
      <c r="Q158" s="42"/>
      <c r="R158" s="42"/>
    </row>
    <row r="159">
      <c r="B159" s="45" t="s">
        <v>75</v>
      </c>
      <c r="C159" s="45" t="s">
        <v>34</v>
      </c>
      <c r="D159" s="21">
        <v>245437.0</v>
      </c>
      <c r="E159" s="21">
        <v>618.0</v>
      </c>
      <c r="F159" s="38">
        <f t="shared" si="1"/>
        <v>74303.58046</v>
      </c>
      <c r="G159" s="38">
        <f t="shared" si="16"/>
        <v>90650.36816</v>
      </c>
      <c r="H159" s="44">
        <v>91103.62</v>
      </c>
      <c r="I159" s="38">
        <f t="shared" si="17"/>
        <v>302.7399311</v>
      </c>
      <c r="J159" s="49">
        <f t="shared" si="14"/>
        <v>120.2323308</v>
      </c>
      <c r="K159" s="15"/>
      <c r="L159" s="15"/>
      <c r="M159" s="15"/>
      <c r="N159" s="15"/>
      <c r="O159" s="15"/>
      <c r="P159" s="15"/>
      <c r="Q159" s="15"/>
      <c r="R159" s="15"/>
    </row>
    <row r="160">
      <c r="B160" s="45" t="s">
        <v>75</v>
      </c>
      <c r="C160" s="45" t="s">
        <v>36</v>
      </c>
      <c r="D160" s="21">
        <v>265829.0</v>
      </c>
      <c r="E160" s="21">
        <v>331.0</v>
      </c>
      <c r="F160" s="38">
        <f t="shared" si="1"/>
        <v>78014.76225</v>
      </c>
      <c r="G160" s="38">
        <f t="shared" si="16"/>
        <v>95178.00995</v>
      </c>
      <c r="H160" s="44">
        <v>95653.90000000002</v>
      </c>
      <c r="I160" s="38">
        <f t="shared" si="17"/>
        <v>293.4772438</v>
      </c>
      <c r="J160" s="49">
        <f t="shared" si="14"/>
        <v>235.6941458</v>
      </c>
      <c r="K160" s="15"/>
      <c r="L160" s="15"/>
      <c r="M160" s="15"/>
      <c r="N160" s="15"/>
      <c r="O160" s="15"/>
      <c r="P160" s="15"/>
      <c r="Q160" s="15"/>
      <c r="R160" s="15"/>
    </row>
    <row r="161">
      <c r="B161" s="58" t="s">
        <v>75</v>
      </c>
      <c r="C161" s="58" t="s">
        <v>38</v>
      </c>
      <c r="D161" s="59">
        <v>368318.0</v>
      </c>
      <c r="E161" s="59">
        <v>645.0</v>
      </c>
      <c r="F161" s="60">
        <f t="shared" si="1"/>
        <v>110364.9702</v>
      </c>
      <c r="G161" s="60">
        <f t="shared" si="16"/>
        <v>134645.2637</v>
      </c>
      <c r="H161" s="62">
        <v>135318.49</v>
      </c>
      <c r="I161" s="60">
        <f t="shared" si="17"/>
        <v>299.6458773</v>
      </c>
      <c r="J161" s="64">
        <f t="shared" si="14"/>
        <v>171.108481</v>
      </c>
      <c r="K161" s="15"/>
      <c r="L161" s="15"/>
      <c r="M161" s="15"/>
      <c r="N161" s="15"/>
      <c r="O161" s="15"/>
      <c r="P161" s="15"/>
      <c r="Q161" s="15"/>
      <c r="R161" s="15"/>
    </row>
    <row r="162">
      <c r="A162" s="19" t="s">
        <v>35</v>
      </c>
      <c r="B162" s="27" t="s">
        <v>75</v>
      </c>
      <c r="C162" s="27" t="s">
        <v>28</v>
      </c>
      <c r="D162" s="30">
        <v>280994.0</v>
      </c>
      <c r="E162" s="30">
        <v>268.0</v>
      </c>
      <c r="F162" s="37">
        <f t="shared" si="1"/>
        <v>55748.42183</v>
      </c>
      <c r="G162" s="37">
        <f t="shared" si="16"/>
        <v>68013.07463</v>
      </c>
      <c r="H162" s="39">
        <v>68353.14</v>
      </c>
      <c r="I162" s="37">
        <f t="shared" si="17"/>
        <v>198.3971965</v>
      </c>
      <c r="J162" s="41">
        <f t="shared" si="14"/>
        <v>208.0164993</v>
      </c>
      <c r="K162" s="42"/>
      <c r="L162" s="42"/>
      <c r="M162" s="42"/>
      <c r="N162" s="42"/>
      <c r="O162" s="42"/>
      <c r="P162" s="42"/>
      <c r="Q162" s="42"/>
      <c r="R162" s="42"/>
    </row>
    <row r="163">
      <c r="B163" s="45" t="s">
        <v>75</v>
      </c>
      <c r="C163" s="45" t="s">
        <v>34</v>
      </c>
      <c r="D163" s="21">
        <v>389263.0</v>
      </c>
      <c r="E163" s="21">
        <v>460.0</v>
      </c>
      <c r="F163" s="38">
        <f t="shared" si="1"/>
        <v>77867.71063</v>
      </c>
      <c r="G163" s="38">
        <f t="shared" si="16"/>
        <v>94998.60697</v>
      </c>
      <c r="H163" s="44">
        <v>95473.59999999999</v>
      </c>
      <c r="I163" s="38">
        <f t="shared" si="17"/>
        <v>200.0388186</v>
      </c>
      <c r="J163" s="49">
        <f t="shared" si="14"/>
        <v>169.2776318</v>
      </c>
      <c r="K163" s="15"/>
      <c r="L163" s="15"/>
      <c r="M163" s="15"/>
      <c r="N163" s="15"/>
      <c r="O163" s="15"/>
      <c r="P163" s="15"/>
      <c r="Q163" s="15"/>
      <c r="R163" s="15"/>
    </row>
    <row r="164">
      <c r="B164" s="45" t="s">
        <v>75</v>
      </c>
      <c r="C164" s="45" t="s">
        <v>36</v>
      </c>
      <c r="D164" s="21">
        <v>362494.0</v>
      </c>
      <c r="E164" s="21">
        <v>483.0</v>
      </c>
      <c r="F164" s="38">
        <f t="shared" si="1"/>
        <v>78378.38675</v>
      </c>
      <c r="G164" s="38">
        <f t="shared" si="16"/>
        <v>95621.63184</v>
      </c>
      <c r="H164" s="44">
        <v>96099.74</v>
      </c>
      <c r="I164" s="38">
        <f t="shared" si="17"/>
        <v>216.2198181</v>
      </c>
      <c r="J164" s="49">
        <f t="shared" si="14"/>
        <v>162.2740927</v>
      </c>
      <c r="K164" s="15"/>
      <c r="L164" s="15"/>
      <c r="M164" s="15"/>
      <c r="N164" s="15"/>
      <c r="O164" s="15"/>
      <c r="P164" s="15"/>
      <c r="Q164" s="15"/>
      <c r="R164" s="15"/>
    </row>
    <row r="165">
      <c r="B165" s="58" t="s">
        <v>75</v>
      </c>
      <c r="C165" s="58" t="s">
        <v>38</v>
      </c>
      <c r="D165" s="59">
        <v>452733.0</v>
      </c>
      <c r="E165" s="59">
        <v>575.0</v>
      </c>
      <c r="F165" s="60">
        <f t="shared" si="1"/>
        <v>99972.83256</v>
      </c>
      <c r="G165" s="60">
        <f t="shared" si="16"/>
        <v>121966.8557</v>
      </c>
      <c r="H165" s="62">
        <v>122576.69000000002</v>
      </c>
      <c r="I165" s="60">
        <f t="shared" si="17"/>
        <v>220.8207322</v>
      </c>
      <c r="J165" s="64">
        <f t="shared" si="14"/>
        <v>173.8657958</v>
      </c>
      <c r="K165" s="15"/>
      <c r="L165" s="15"/>
      <c r="M165" s="15"/>
      <c r="N165" s="15"/>
      <c r="O165" s="15"/>
      <c r="P165" s="15"/>
      <c r="Q165" s="15"/>
      <c r="R165" s="15"/>
    </row>
    <row r="166">
      <c r="A166" s="82" t="s">
        <v>39</v>
      </c>
      <c r="B166" s="27" t="s">
        <v>75</v>
      </c>
      <c r="C166" s="27" t="s">
        <v>28</v>
      </c>
      <c r="D166" s="30">
        <v>508946.0</v>
      </c>
      <c r="E166" s="30">
        <v>1908.0</v>
      </c>
      <c r="F166" s="37">
        <f t="shared" si="1"/>
        <v>55984.06</v>
      </c>
      <c r="G166" s="37">
        <f t="shared" si="16"/>
        <v>68300.5532</v>
      </c>
      <c r="H166" s="39">
        <v>68642.05596599999</v>
      </c>
      <c r="I166" s="37">
        <f t="shared" si="17"/>
        <v>110</v>
      </c>
      <c r="J166" s="41">
        <f t="shared" si="14"/>
        <v>29.34175052</v>
      </c>
      <c r="K166" s="42"/>
      <c r="L166" s="88"/>
      <c r="M166" s="162"/>
      <c r="N166" s="89"/>
      <c r="O166" s="42"/>
      <c r="P166" s="42"/>
      <c r="Q166" s="42"/>
      <c r="R166" s="42"/>
    </row>
    <row r="167">
      <c r="B167" s="45" t="s">
        <v>75</v>
      </c>
      <c r="C167" s="45" t="s">
        <v>34</v>
      </c>
      <c r="D167" s="21">
        <v>421948.0</v>
      </c>
      <c r="E167" s="21">
        <v>1813.0</v>
      </c>
      <c r="F167" s="38">
        <f t="shared" si="1"/>
        <v>46414.28</v>
      </c>
      <c r="G167" s="38">
        <f t="shared" si="16"/>
        <v>56625.4216</v>
      </c>
      <c r="H167" s="44">
        <v>56908.54870799999</v>
      </c>
      <c r="I167" s="38">
        <f t="shared" si="17"/>
        <v>110</v>
      </c>
      <c r="J167" s="49">
        <f t="shared" si="14"/>
        <v>25.60081633</v>
      </c>
      <c r="K167" s="15"/>
      <c r="L167" s="91"/>
      <c r="M167" s="92"/>
      <c r="N167" s="93"/>
      <c r="O167" s="15"/>
      <c r="P167" s="15"/>
      <c r="Q167" s="15"/>
      <c r="R167" s="15"/>
    </row>
    <row r="168">
      <c r="B168" s="45" t="s">
        <v>75</v>
      </c>
      <c r="C168" s="45" t="s">
        <v>36</v>
      </c>
      <c r="D168" s="21">
        <v>675344.0</v>
      </c>
      <c r="E168" s="21">
        <v>4626.0</v>
      </c>
      <c r="F168" s="38">
        <f t="shared" si="1"/>
        <v>84536.99</v>
      </c>
      <c r="G168" s="38">
        <f t="shared" si="16"/>
        <v>103135.1278</v>
      </c>
      <c r="H168" s="44">
        <v>103650.80343899998</v>
      </c>
      <c r="I168" s="38">
        <f t="shared" si="17"/>
        <v>125.1761917</v>
      </c>
      <c r="J168" s="49">
        <f t="shared" si="14"/>
        <v>18.2743169</v>
      </c>
      <c r="K168" s="15"/>
      <c r="L168" s="91"/>
      <c r="M168" s="92"/>
      <c r="N168" s="93"/>
      <c r="O168" s="15"/>
      <c r="P168" s="15"/>
      <c r="Q168" s="15"/>
      <c r="R168" s="15"/>
    </row>
    <row r="169">
      <c r="B169" s="45" t="s">
        <v>75</v>
      </c>
      <c r="C169" s="45" t="s">
        <v>48</v>
      </c>
      <c r="D169" s="21">
        <v>647597.0</v>
      </c>
      <c r="E169" s="21">
        <v>12310.0</v>
      </c>
      <c r="F169" s="38">
        <f t="shared" si="1"/>
        <v>103576.97</v>
      </c>
      <c r="G169" s="38">
        <f t="shared" si="16"/>
        <v>126363.9034</v>
      </c>
      <c r="H169" s="44">
        <v>126995.72291699995</v>
      </c>
      <c r="I169" s="38">
        <f t="shared" si="17"/>
        <v>159.9404722</v>
      </c>
      <c r="J169" s="49">
        <f t="shared" si="14"/>
        <v>8.414051178</v>
      </c>
      <c r="K169" s="15"/>
      <c r="L169" s="91"/>
      <c r="M169" s="92"/>
      <c r="N169" s="93"/>
      <c r="O169" s="15"/>
      <c r="P169" s="15"/>
      <c r="Q169" s="15"/>
      <c r="R169" s="15"/>
    </row>
    <row r="170">
      <c r="A170" s="96"/>
      <c r="B170" s="58" t="s">
        <v>75</v>
      </c>
      <c r="C170" s="58" t="s">
        <v>52</v>
      </c>
      <c r="D170" s="59">
        <v>251562.0</v>
      </c>
      <c r="E170" s="59">
        <v>1854.0</v>
      </c>
      <c r="F170" s="60">
        <f t="shared" si="1"/>
        <v>40249.92</v>
      </c>
      <c r="G170" s="60">
        <f t="shared" si="16"/>
        <v>49104.9024</v>
      </c>
      <c r="H170" s="62">
        <v>49350.426911999995</v>
      </c>
      <c r="I170" s="60">
        <f t="shared" si="17"/>
        <v>160</v>
      </c>
      <c r="J170" s="64">
        <f t="shared" si="14"/>
        <v>21.70977346</v>
      </c>
      <c r="K170" s="15"/>
      <c r="L170" s="91"/>
      <c r="M170" s="92"/>
      <c r="N170" s="93"/>
      <c r="O170" s="15"/>
      <c r="P170" s="15"/>
      <c r="Q170" s="15"/>
      <c r="R170" s="15"/>
    </row>
    <row r="171">
      <c r="A171" s="171" t="s">
        <v>44</v>
      </c>
      <c r="B171" s="27" t="s">
        <v>75</v>
      </c>
      <c r="C171" s="27" t="s">
        <v>28</v>
      </c>
      <c r="D171" s="30">
        <v>119486.0</v>
      </c>
      <c r="E171" s="30">
        <v>114.0</v>
      </c>
      <c r="F171" s="37">
        <f t="shared" si="1"/>
        <v>1549.26</v>
      </c>
      <c r="G171" s="37">
        <f t="shared" si="16"/>
        <v>1890.0972</v>
      </c>
      <c r="H171" s="39">
        <v>1899.5476859999997</v>
      </c>
      <c r="I171" s="37">
        <f t="shared" si="17"/>
        <v>12.96603786</v>
      </c>
      <c r="J171" s="41">
        <f t="shared" si="14"/>
        <v>13.59</v>
      </c>
      <c r="K171" s="42"/>
      <c r="L171" s="88"/>
      <c r="M171" s="162"/>
      <c r="N171" s="89"/>
      <c r="O171" s="42"/>
      <c r="P171" s="42"/>
      <c r="Q171" s="42"/>
      <c r="R171" s="42"/>
    </row>
    <row r="172">
      <c r="B172" s="58" t="s">
        <v>75</v>
      </c>
      <c r="C172" s="58" t="s">
        <v>34</v>
      </c>
      <c r="D172" s="59">
        <v>66986.0</v>
      </c>
      <c r="E172" s="59">
        <v>49.0</v>
      </c>
      <c r="F172" s="60">
        <f t="shared" si="1"/>
        <v>665.91</v>
      </c>
      <c r="G172" s="60">
        <f t="shared" si="16"/>
        <v>812.4102</v>
      </c>
      <c r="H172" s="62">
        <v>816.4722509999999</v>
      </c>
      <c r="I172" s="60">
        <f t="shared" si="17"/>
        <v>9.941032455</v>
      </c>
      <c r="J172" s="64">
        <f t="shared" si="14"/>
        <v>13.59</v>
      </c>
      <c r="K172" s="15"/>
      <c r="L172" s="91"/>
      <c r="M172" s="92"/>
      <c r="N172" s="93"/>
      <c r="O172" s="15"/>
      <c r="P172" s="15"/>
      <c r="Q172" s="15"/>
      <c r="R172" s="15"/>
    </row>
    <row r="173">
      <c r="A173" s="82" t="s">
        <v>40</v>
      </c>
      <c r="B173" s="27" t="s">
        <v>75</v>
      </c>
      <c r="C173" s="27" t="s">
        <v>28</v>
      </c>
      <c r="D173" s="30">
        <v>751791.0</v>
      </c>
      <c r="E173" s="30">
        <v>1708.0</v>
      </c>
      <c r="F173" s="37">
        <f t="shared" si="1"/>
        <v>36841.98</v>
      </c>
      <c r="G173" s="37">
        <f t="shared" si="16"/>
        <v>44947.2156</v>
      </c>
      <c r="H173" s="39">
        <v>45171.951678</v>
      </c>
      <c r="I173" s="37">
        <f t="shared" si="17"/>
        <v>49.00561459</v>
      </c>
      <c r="J173" s="41">
        <f t="shared" si="14"/>
        <v>21.5702459</v>
      </c>
      <c r="K173" s="42"/>
      <c r="L173" s="88"/>
      <c r="M173" s="162"/>
      <c r="N173" s="89"/>
      <c r="O173" s="42"/>
      <c r="P173" s="42"/>
      <c r="Q173" s="42"/>
      <c r="R173" s="42"/>
    </row>
    <row r="174">
      <c r="B174" s="45" t="s">
        <v>75</v>
      </c>
      <c r="C174" s="45" t="s">
        <v>34</v>
      </c>
      <c r="D174" s="21">
        <v>445354.0</v>
      </c>
      <c r="E174" s="21">
        <v>954.0</v>
      </c>
      <c r="F174" s="38">
        <f t="shared" si="1"/>
        <v>34704.11</v>
      </c>
      <c r="G174" s="38">
        <f t="shared" si="16"/>
        <v>42339.0142</v>
      </c>
      <c r="H174" s="44">
        <v>42550.70927099999</v>
      </c>
      <c r="I174" s="38">
        <f t="shared" si="17"/>
        <v>77.92477445</v>
      </c>
      <c r="J174" s="49">
        <f t="shared" si="14"/>
        <v>36.37747379</v>
      </c>
      <c r="K174" s="15"/>
      <c r="L174" s="91"/>
      <c r="M174" s="92"/>
      <c r="N174" s="93"/>
      <c r="O174" s="15"/>
      <c r="P174" s="15"/>
      <c r="Q174" s="15"/>
      <c r="R174" s="15"/>
    </row>
    <row r="175">
      <c r="A175" s="61"/>
      <c r="B175" s="45" t="s">
        <v>75</v>
      </c>
      <c r="C175" s="45" t="s">
        <v>36</v>
      </c>
      <c r="D175" s="21">
        <v>332468.0</v>
      </c>
      <c r="E175" s="21">
        <v>626.0</v>
      </c>
      <c r="F175" s="38">
        <f t="shared" si="1"/>
        <v>29760.85</v>
      </c>
      <c r="G175" s="38">
        <f t="shared" si="16"/>
        <v>36308.237</v>
      </c>
      <c r="H175" s="44">
        <v>36489.77818499999</v>
      </c>
      <c r="I175" s="38">
        <f t="shared" si="17"/>
        <v>89.51493076</v>
      </c>
      <c r="J175" s="49">
        <f t="shared" si="14"/>
        <v>47.54129393</v>
      </c>
      <c r="K175" s="15"/>
      <c r="L175" s="91"/>
      <c r="M175" s="92"/>
      <c r="N175" s="93"/>
      <c r="O175" s="15"/>
      <c r="P175" s="15"/>
      <c r="Q175" s="15"/>
      <c r="R175" s="15"/>
    </row>
    <row r="176">
      <c r="A176" s="61"/>
      <c r="B176" s="45" t="s">
        <v>75</v>
      </c>
      <c r="C176" s="45" t="s">
        <v>48</v>
      </c>
      <c r="D176" s="21">
        <v>311751.0</v>
      </c>
      <c r="E176" s="21">
        <v>629.0</v>
      </c>
      <c r="F176" s="38">
        <f t="shared" si="1"/>
        <v>31179.08</v>
      </c>
      <c r="G176" s="38">
        <f t="shared" si="16"/>
        <v>38038.4776</v>
      </c>
      <c r="H176" s="44">
        <v>38228.669988</v>
      </c>
      <c r="I176" s="38">
        <f t="shared" si="17"/>
        <v>100.0127666</v>
      </c>
      <c r="J176" s="49">
        <f t="shared" si="14"/>
        <v>49.56928458</v>
      </c>
      <c r="K176" s="15"/>
      <c r="L176" s="91"/>
      <c r="M176" s="92"/>
      <c r="N176" s="93"/>
      <c r="O176" s="15"/>
      <c r="P176" s="15"/>
      <c r="Q176" s="15"/>
      <c r="R176" s="15"/>
    </row>
    <row r="177">
      <c r="A177" s="96"/>
      <c r="B177" s="58" t="s">
        <v>75</v>
      </c>
      <c r="C177" s="58" t="s">
        <v>52</v>
      </c>
      <c r="D177" s="59">
        <v>117463.0</v>
      </c>
      <c r="E177" s="59">
        <v>180.0</v>
      </c>
      <c r="F177" s="60">
        <f t="shared" si="1"/>
        <v>11745.75</v>
      </c>
      <c r="G177" s="60">
        <f t="shared" si="16"/>
        <v>14329.815</v>
      </c>
      <c r="H177" s="62">
        <v>14401.464074999996</v>
      </c>
      <c r="I177" s="60">
        <f t="shared" si="17"/>
        <v>99.99531767</v>
      </c>
      <c r="J177" s="64">
        <f t="shared" si="14"/>
        <v>65.25416667</v>
      </c>
      <c r="K177" s="15"/>
      <c r="L177" s="91"/>
      <c r="M177" s="92"/>
      <c r="N177" s="93"/>
      <c r="O177" s="15"/>
      <c r="P177" s="15"/>
      <c r="Q177" s="15"/>
      <c r="R177" s="15"/>
    </row>
    <row r="178">
      <c r="A178" s="82" t="s">
        <v>108</v>
      </c>
      <c r="B178" s="27" t="s">
        <v>75</v>
      </c>
      <c r="C178" s="27" t="s">
        <v>36</v>
      </c>
      <c r="D178" s="30">
        <v>624858.0</v>
      </c>
      <c r="E178" s="30">
        <v>9381.0</v>
      </c>
      <c r="F178" s="37">
        <f t="shared" si="1"/>
        <v>77482.4</v>
      </c>
      <c r="G178" s="37">
        <f t="shared" si="16"/>
        <v>94528.528</v>
      </c>
      <c r="H178" s="39">
        <v>95001.17063999998</v>
      </c>
      <c r="I178" s="37">
        <f t="shared" si="17"/>
        <v>124.0000128</v>
      </c>
      <c r="J178" s="41">
        <f t="shared" si="14"/>
        <v>8.259503251</v>
      </c>
      <c r="K178" s="42"/>
      <c r="L178" s="42"/>
      <c r="M178" s="42"/>
      <c r="N178" s="42"/>
      <c r="O178" s="42"/>
      <c r="P178" s="42"/>
      <c r="Q178" s="42"/>
      <c r="R178" s="42"/>
    </row>
    <row r="179">
      <c r="A179" s="61"/>
      <c r="B179" s="45" t="s">
        <v>75</v>
      </c>
      <c r="C179" s="45" t="s">
        <v>48</v>
      </c>
      <c r="D179" s="21">
        <v>1448051.0</v>
      </c>
      <c r="E179" s="21">
        <v>25462.0</v>
      </c>
      <c r="F179" s="38">
        <f t="shared" si="1"/>
        <v>171050</v>
      </c>
      <c r="G179" s="38">
        <f t="shared" si="16"/>
        <v>208681</v>
      </c>
      <c r="H179" s="44">
        <v>209724.40499999997</v>
      </c>
      <c r="I179" s="38">
        <f t="shared" si="17"/>
        <v>118.1242926</v>
      </c>
      <c r="J179" s="49">
        <f t="shared" si="14"/>
        <v>6.717854057</v>
      </c>
      <c r="K179" s="15"/>
      <c r="L179" s="15"/>
      <c r="M179" s="15"/>
      <c r="N179" s="15"/>
      <c r="O179" s="15"/>
      <c r="P179" s="15"/>
      <c r="Q179" s="15"/>
      <c r="R179" s="15"/>
    </row>
    <row r="180">
      <c r="A180" s="96"/>
      <c r="B180" s="58" t="s">
        <v>75</v>
      </c>
      <c r="C180" s="58" t="s">
        <v>52</v>
      </c>
      <c r="D180" s="59">
        <v>415785.0</v>
      </c>
      <c r="E180" s="59">
        <v>6978.0</v>
      </c>
      <c r="F180" s="60">
        <f t="shared" si="1"/>
        <v>51557.34</v>
      </c>
      <c r="G180" s="60">
        <f t="shared" si="16"/>
        <v>62899.9548</v>
      </c>
      <c r="H180" s="62">
        <v>63214.45457399999</v>
      </c>
      <c r="I180" s="60">
        <f t="shared" si="17"/>
        <v>124</v>
      </c>
      <c r="J180" s="64">
        <f t="shared" si="14"/>
        <v>7.38855546</v>
      </c>
      <c r="K180" s="15"/>
      <c r="L180" s="15"/>
      <c r="M180" s="15"/>
      <c r="N180" s="15"/>
      <c r="O180" s="15"/>
      <c r="P180" s="15"/>
      <c r="Q180" s="15"/>
      <c r="R180" s="15"/>
    </row>
    <row r="181">
      <c r="A181" s="110" t="s">
        <v>46</v>
      </c>
      <c r="B181" s="111"/>
      <c r="C181" s="112"/>
      <c r="D181" s="113">
        <f t="shared" ref="D181:E181" si="18">SUM(D158:D180)</f>
        <v>9687310</v>
      </c>
      <c r="E181" s="113">
        <f t="shared" si="18"/>
        <v>72304</v>
      </c>
      <c r="F181" s="114">
        <f t="shared" ref="F181:G181" si="19">SUM(F158:F162)</f>
        <v>371442.9003</v>
      </c>
      <c r="G181" s="114">
        <f t="shared" si="19"/>
        <v>453160.3383</v>
      </c>
      <c r="H181" s="115">
        <f>SUM(H158:H180)</f>
        <v>1722622.351</v>
      </c>
      <c r="I181" s="114">
        <f>F181/(D181/1000)</f>
        <v>38.34324495</v>
      </c>
      <c r="J181" s="116">
        <f t="shared" si="14"/>
        <v>5.137238607</v>
      </c>
      <c r="K181" s="42"/>
      <c r="L181" s="42"/>
      <c r="M181" s="42"/>
      <c r="N181" s="42"/>
      <c r="O181" s="42"/>
      <c r="P181" s="42"/>
      <c r="Q181" s="42"/>
      <c r="R181" s="42"/>
    </row>
    <row r="182">
      <c r="A182" s="19" t="s">
        <v>51</v>
      </c>
      <c r="B182" s="202" t="s">
        <v>77</v>
      </c>
      <c r="C182" s="27" t="s">
        <v>28</v>
      </c>
      <c r="D182" s="30">
        <v>285835.0</v>
      </c>
      <c r="E182" s="30">
        <v>572.0</v>
      </c>
      <c r="F182" s="37">
        <f t="shared" ref="F182:F203" si="20">G182/1.22</f>
        <v>45299.77979</v>
      </c>
      <c r="G182" s="37">
        <f t="shared" ref="G182:G203" si="21">H182/1.005</f>
        <v>55265.73134</v>
      </c>
      <c r="H182" s="39">
        <v>55542.06</v>
      </c>
      <c r="I182" s="37">
        <f t="shared" ref="I182:I203" si="22">F182/D182*1000</f>
        <v>158.4822705</v>
      </c>
      <c r="J182" s="41">
        <f t="shared" si="14"/>
        <v>79.19541921</v>
      </c>
      <c r="K182" s="203"/>
      <c r="L182" s="203"/>
      <c r="M182" s="203"/>
      <c r="N182" s="203"/>
      <c r="O182" s="203"/>
      <c r="P182" s="203"/>
      <c r="Q182" s="203"/>
      <c r="R182" s="203"/>
    </row>
    <row r="183">
      <c r="B183" s="122" t="s">
        <v>77</v>
      </c>
      <c r="C183" s="45" t="s">
        <v>34</v>
      </c>
      <c r="D183" s="21">
        <v>167205.0</v>
      </c>
      <c r="E183" s="21">
        <v>512.0</v>
      </c>
      <c r="F183" s="38">
        <f t="shared" si="20"/>
        <v>91043.096</v>
      </c>
      <c r="G183" s="38">
        <f t="shared" si="21"/>
        <v>111072.5771</v>
      </c>
      <c r="H183" s="44">
        <v>111627.94</v>
      </c>
      <c r="I183" s="38">
        <f t="shared" si="22"/>
        <v>544.4998415</v>
      </c>
      <c r="J183" s="49">
        <f t="shared" si="14"/>
        <v>177.8185469</v>
      </c>
      <c r="K183" s="127"/>
      <c r="L183" s="127"/>
      <c r="M183" s="127"/>
      <c r="N183" s="127"/>
      <c r="O183" s="127"/>
      <c r="P183" s="127"/>
      <c r="Q183" s="127"/>
      <c r="R183" s="127"/>
    </row>
    <row r="184">
      <c r="B184" s="122" t="s">
        <v>77</v>
      </c>
      <c r="C184" s="45" t="s">
        <v>36</v>
      </c>
      <c r="D184" s="21">
        <v>219739.0</v>
      </c>
      <c r="E184" s="21">
        <v>248.0</v>
      </c>
      <c r="F184" s="38">
        <f t="shared" si="20"/>
        <v>65262.62948</v>
      </c>
      <c r="G184" s="38">
        <f t="shared" si="21"/>
        <v>79620.40796</v>
      </c>
      <c r="H184" s="44">
        <v>80018.51000000001</v>
      </c>
      <c r="I184" s="38">
        <f t="shared" si="22"/>
        <v>297.0006666</v>
      </c>
      <c r="J184" s="49">
        <f t="shared" si="14"/>
        <v>263.155764</v>
      </c>
      <c r="K184" s="127"/>
      <c r="L184" s="127"/>
      <c r="M184" s="127"/>
      <c r="N184" s="127"/>
      <c r="O184" s="127"/>
      <c r="P184" s="127"/>
      <c r="Q184" s="127"/>
      <c r="R184" s="127"/>
    </row>
    <row r="185">
      <c r="B185" s="204" t="s">
        <v>77</v>
      </c>
      <c r="C185" s="58" t="s">
        <v>38</v>
      </c>
      <c r="D185" s="59">
        <v>170301.0</v>
      </c>
      <c r="E185" s="59">
        <v>324.0</v>
      </c>
      <c r="F185" s="60">
        <f t="shared" si="20"/>
        <v>50077.37542</v>
      </c>
      <c r="G185" s="60">
        <f t="shared" si="21"/>
        <v>61094.39801</v>
      </c>
      <c r="H185" s="62">
        <v>61399.869999999995</v>
      </c>
      <c r="I185" s="60">
        <f t="shared" si="22"/>
        <v>294.0521513</v>
      </c>
      <c r="J185" s="64">
        <f t="shared" si="14"/>
        <v>154.5598007</v>
      </c>
      <c r="K185" s="127"/>
      <c r="L185" s="127"/>
      <c r="M185" s="127"/>
      <c r="N185" s="127"/>
      <c r="O185" s="127"/>
      <c r="P185" s="127"/>
      <c r="Q185" s="127"/>
      <c r="R185" s="127"/>
    </row>
    <row r="186">
      <c r="A186" s="19" t="s">
        <v>105</v>
      </c>
      <c r="B186" s="202" t="s">
        <v>77</v>
      </c>
      <c r="C186" s="27" t="s">
        <v>34</v>
      </c>
      <c r="D186" s="30">
        <v>254463.0</v>
      </c>
      <c r="E186" s="30">
        <v>668.0</v>
      </c>
      <c r="F186" s="37">
        <f t="shared" si="20"/>
        <v>167991.2568</v>
      </c>
      <c r="G186" s="37">
        <f t="shared" si="21"/>
        <v>204949.3333</v>
      </c>
      <c r="H186" s="39">
        <v>205974.08</v>
      </c>
      <c r="I186" s="37">
        <f t="shared" si="22"/>
        <v>660.1795028</v>
      </c>
      <c r="J186" s="41">
        <f t="shared" si="14"/>
        <v>251.4839174</v>
      </c>
      <c r="K186" s="203"/>
      <c r="L186" s="203"/>
      <c r="M186" s="203"/>
      <c r="N186" s="203"/>
      <c r="O186" s="203"/>
      <c r="P186" s="203"/>
      <c r="Q186" s="203"/>
      <c r="R186" s="203"/>
    </row>
    <row r="187">
      <c r="B187" s="122" t="s">
        <v>77</v>
      </c>
      <c r="C187" s="45" t="s">
        <v>36</v>
      </c>
      <c r="D187" s="21">
        <v>447220.0</v>
      </c>
      <c r="E187" s="21">
        <v>1051.0</v>
      </c>
      <c r="F187" s="38">
        <f t="shared" si="20"/>
        <v>57171.14428</v>
      </c>
      <c r="G187" s="38">
        <f t="shared" si="21"/>
        <v>69748.79602</v>
      </c>
      <c r="H187" s="44">
        <v>70097.54000000001</v>
      </c>
      <c r="I187" s="38">
        <f t="shared" si="22"/>
        <v>127.8367342</v>
      </c>
      <c r="J187" s="49">
        <f t="shared" si="14"/>
        <v>54.39690226</v>
      </c>
      <c r="K187" s="127"/>
      <c r="L187" s="127"/>
      <c r="M187" s="127"/>
      <c r="N187" s="127"/>
      <c r="O187" s="127"/>
      <c r="P187" s="127"/>
      <c r="Q187" s="127"/>
      <c r="R187" s="127"/>
    </row>
    <row r="188">
      <c r="B188" s="204" t="s">
        <v>77</v>
      </c>
      <c r="C188" s="58" t="s">
        <v>38</v>
      </c>
      <c r="D188" s="59">
        <v>572082.0</v>
      </c>
      <c r="E188" s="59">
        <v>1304.0</v>
      </c>
      <c r="F188" s="60">
        <f t="shared" si="20"/>
        <v>184394.0462</v>
      </c>
      <c r="G188" s="60">
        <f t="shared" si="21"/>
        <v>224960.7363</v>
      </c>
      <c r="H188" s="62">
        <v>226085.54</v>
      </c>
      <c r="I188" s="60">
        <f t="shared" si="22"/>
        <v>322.3210067</v>
      </c>
      <c r="J188" s="64">
        <f t="shared" si="14"/>
        <v>141.4064771</v>
      </c>
      <c r="K188" s="127"/>
      <c r="L188" s="127"/>
      <c r="M188" s="127"/>
      <c r="N188" s="127"/>
      <c r="O188" s="127"/>
      <c r="P188" s="127"/>
      <c r="Q188" s="127"/>
      <c r="R188" s="127"/>
    </row>
    <row r="189">
      <c r="A189" s="205" t="s">
        <v>78</v>
      </c>
      <c r="B189" s="202" t="s">
        <v>77</v>
      </c>
      <c r="C189" s="27" t="s">
        <v>28</v>
      </c>
      <c r="D189" s="30">
        <v>498389.0</v>
      </c>
      <c r="E189" s="30">
        <v>2107.0</v>
      </c>
      <c r="F189" s="37">
        <f t="shared" si="20"/>
        <v>68772.48</v>
      </c>
      <c r="G189" s="37">
        <f t="shared" si="21"/>
        <v>83902.4256</v>
      </c>
      <c r="H189" s="39">
        <v>84321.93772799998</v>
      </c>
      <c r="I189" s="37">
        <f t="shared" si="22"/>
        <v>137.9895624</v>
      </c>
      <c r="J189" s="41">
        <f t="shared" si="14"/>
        <v>32.64</v>
      </c>
      <c r="K189" s="203"/>
      <c r="L189" s="203"/>
      <c r="M189" s="203"/>
      <c r="N189" s="203"/>
      <c r="O189" s="203"/>
      <c r="P189" s="203"/>
      <c r="Q189" s="203"/>
      <c r="R189" s="203"/>
    </row>
    <row r="190">
      <c r="B190" s="122" t="s">
        <v>77</v>
      </c>
      <c r="C190" s="45" t="s">
        <v>34</v>
      </c>
      <c r="D190" s="21">
        <v>890064.0</v>
      </c>
      <c r="E190" s="21">
        <v>2105.0</v>
      </c>
      <c r="F190" s="38">
        <f t="shared" si="20"/>
        <v>68707.2</v>
      </c>
      <c r="G190" s="38">
        <f t="shared" si="21"/>
        <v>83822.784</v>
      </c>
      <c r="H190" s="44">
        <v>84241.89791999999</v>
      </c>
      <c r="I190" s="38">
        <f t="shared" si="22"/>
        <v>77.19355013</v>
      </c>
      <c r="J190" s="49">
        <f t="shared" si="14"/>
        <v>32.64</v>
      </c>
      <c r="K190" s="127"/>
      <c r="L190" s="127"/>
      <c r="M190" s="127"/>
      <c r="N190" s="127"/>
      <c r="O190" s="127"/>
      <c r="P190" s="127"/>
      <c r="Q190" s="127"/>
      <c r="R190" s="127"/>
    </row>
    <row r="191">
      <c r="B191" s="122" t="s">
        <v>77</v>
      </c>
      <c r="C191" s="45" t="s">
        <v>36</v>
      </c>
      <c r="D191" s="21">
        <v>1172917.0</v>
      </c>
      <c r="E191" s="21">
        <v>2409.0</v>
      </c>
      <c r="F191" s="38">
        <f t="shared" si="20"/>
        <v>68600</v>
      </c>
      <c r="G191" s="38">
        <f t="shared" si="21"/>
        <v>83692</v>
      </c>
      <c r="H191" s="44">
        <v>84110.45999999999</v>
      </c>
      <c r="I191" s="38">
        <f t="shared" si="22"/>
        <v>58.48666189</v>
      </c>
      <c r="J191" s="49">
        <f t="shared" si="14"/>
        <v>28.47654628</v>
      </c>
      <c r="K191" s="127"/>
      <c r="L191" s="127"/>
      <c r="M191" s="127"/>
      <c r="N191" s="127"/>
      <c r="O191" s="127"/>
      <c r="P191" s="127"/>
      <c r="Q191" s="127"/>
      <c r="R191" s="127"/>
    </row>
    <row r="192">
      <c r="A192" s="61"/>
      <c r="B192" s="122" t="s">
        <v>77</v>
      </c>
      <c r="C192" s="45" t="s">
        <v>48</v>
      </c>
      <c r="D192" s="21">
        <v>937270.0</v>
      </c>
      <c r="E192" s="21">
        <v>2103.0</v>
      </c>
      <c r="F192" s="38">
        <f t="shared" si="20"/>
        <v>68641.92</v>
      </c>
      <c r="G192" s="38">
        <f t="shared" si="21"/>
        <v>83743.1424</v>
      </c>
      <c r="H192" s="44">
        <v>84161.85811199999</v>
      </c>
      <c r="I192" s="38">
        <f t="shared" si="22"/>
        <v>73.23601524</v>
      </c>
      <c r="J192" s="49">
        <f t="shared" si="14"/>
        <v>32.64</v>
      </c>
      <c r="K192" s="127"/>
      <c r="L192" s="127"/>
      <c r="M192" s="127"/>
      <c r="N192" s="127"/>
      <c r="O192" s="127"/>
      <c r="P192" s="127"/>
      <c r="Q192" s="127"/>
      <c r="R192" s="127"/>
    </row>
    <row r="193">
      <c r="A193" s="96"/>
      <c r="B193" s="204" t="s">
        <v>77</v>
      </c>
      <c r="C193" s="58" t="s">
        <v>52</v>
      </c>
      <c r="D193" s="59">
        <v>241713.0</v>
      </c>
      <c r="E193" s="59">
        <v>583.0</v>
      </c>
      <c r="F193" s="60">
        <f t="shared" si="20"/>
        <v>19029.12</v>
      </c>
      <c r="G193" s="60">
        <f t="shared" si="21"/>
        <v>23215.5264</v>
      </c>
      <c r="H193" s="62">
        <v>23331.604031999996</v>
      </c>
      <c r="I193" s="60">
        <f t="shared" si="22"/>
        <v>78.72609251</v>
      </c>
      <c r="J193" s="64">
        <f t="shared" si="14"/>
        <v>32.64</v>
      </c>
      <c r="K193" s="127"/>
      <c r="L193" s="127"/>
      <c r="M193" s="127"/>
      <c r="N193" s="127"/>
      <c r="O193" s="127"/>
      <c r="P193" s="127"/>
      <c r="Q193" s="127"/>
      <c r="R193" s="127"/>
    </row>
    <row r="194">
      <c r="A194" s="173" t="s">
        <v>41</v>
      </c>
      <c r="B194" s="202" t="s">
        <v>77</v>
      </c>
      <c r="C194" s="27" t="s">
        <v>28</v>
      </c>
      <c r="D194" s="30">
        <v>339982.0</v>
      </c>
      <c r="E194" s="30">
        <v>382.0</v>
      </c>
      <c r="F194" s="37">
        <f t="shared" si="20"/>
        <v>62711.48</v>
      </c>
      <c r="G194" s="37">
        <f t="shared" si="21"/>
        <v>76508.0056</v>
      </c>
      <c r="H194" s="39">
        <v>76890.54562799998</v>
      </c>
      <c r="I194" s="37">
        <f t="shared" si="22"/>
        <v>184.4552947</v>
      </c>
      <c r="J194" s="41">
        <f t="shared" si="14"/>
        <v>164.166178</v>
      </c>
      <c r="K194" s="203"/>
      <c r="L194" s="203"/>
      <c r="M194" s="203"/>
      <c r="N194" s="203"/>
      <c r="O194" s="203"/>
      <c r="P194" s="203"/>
      <c r="Q194" s="203"/>
      <c r="R194" s="203"/>
    </row>
    <row r="195">
      <c r="B195" s="122" t="s">
        <v>77</v>
      </c>
      <c r="C195" s="45" t="s">
        <v>34</v>
      </c>
      <c r="D195" s="21">
        <v>407094.0</v>
      </c>
      <c r="E195" s="21">
        <v>744.0</v>
      </c>
      <c r="F195" s="38">
        <f t="shared" si="20"/>
        <v>117392.24</v>
      </c>
      <c r="G195" s="38">
        <f t="shared" si="21"/>
        <v>143218.5328</v>
      </c>
      <c r="H195" s="44">
        <v>143934.625464</v>
      </c>
      <c r="I195" s="38">
        <f t="shared" si="22"/>
        <v>288.3664215</v>
      </c>
      <c r="J195" s="49">
        <f t="shared" si="14"/>
        <v>157.7852688</v>
      </c>
      <c r="K195" s="127"/>
      <c r="L195" s="127"/>
      <c r="M195" s="127"/>
      <c r="N195" s="127"/>
      <c r="O195" s="127"/>
      <c r="P195" s="127"/>
      <c r="Q195" s="127"/>
      <c r="R195" s="127"/>
    </row>
    <row r="196">
      <c r="A196" s="61"/>
      <c r="B196" s="122" t="s">
        <v>77</v>
      </c>
      <c r="C196" s="45" t="s">
        <v>36</v>
      </c>
      <c r="D196" s="21">
        <v>266835.0</v>
      </c>
      <c r="E196" s="21">
        <v>850.0</v>
      </c>
      <c r="F196" s="38">
        <f t="shared" si="20"/>
        <v>107525.02</v>
      </c>
      <c r="G196" s="38">
        <f t="shared" si="21"/>
        <v>131180.5244</v>
      </c>
      <c r="H196" s="44">
        <v>131836.42702200002</v>
      </c>
      <c r="I196" s="38">
        <f t="shared" si="22"/>
        <v>402.9644537</v>
      </c>
      <c r="J196" s="49">
        <f t="shared" si="14"/>
        <v>126.5000235</v>
      </c>
      <c r="K196" s="127"/>
      <c r="L196" s="127"/>
      <c r="M196" s="127"/>
      <c r="N196" s="127"/>
      <c r="O196" s="127"/>
      <c r="P196" s="127"/>
      <c r="Q196" s="127"/>
      <c r="R196" s="127"/>
    </row>
    <row r="197">
      <c r="A197" s="61"/>
      <c r="B197" s="122" t="s">
        <v>77</v>
      </c>
      <c r="C197" s="45" t="s">
        <v>48</v>
      </c>
      <c r="D197" s="21">
        <v>309573.0</v>
      </c>
      <c r="E197" s="21">
        <v>973.0</v>
      </c>
      <c r="F197" s="38">
        <f t="shared" si="20"/>
        <v>98051.66</v>
      </c>
      <c r="G197" s="38">
        <f t="shared" si="21"/>
        <v>119623.0252</v>
      </c>
      <c r="H197" s="44">
        <v>120221.14032599995</v>
      </c>
      <c r="I197" s="38">
        <f t="shared" si="22"/>
        <v>316.7319501</v>
      </c>
      <c r="J197" s="49">
        <f t="shared" si="14"/>
        <v>100.772518</v>
      </c>
      <c r="K197" s="127"/>
      <c r="L197" s="127"/>
      <c r="M197" s="127"/>
      <c r="N197" s="127"/>
      <c r="O197" s="127"/>
      <c r="P197" s="127"/>
      <c r="Q197" s="127"/>
      <c r="R197" s="127"/>
    </row>
    <row r="198">
      <c r="A198" s="96"/>
      <c r="B198" s="204" t="s">
        <v>77</v>
      </c>
      <c r="C198" s="58" t="s">
        <v>52</v>
      </c>
      <c r="D198" s="59">
        <v>97443.0</v>
      </c>
      <c r="E198" s="59">
        <v>317.0</v>
      </c>
      <c r="F198" s="60">
        <f t="shared" si="20"/>
        <v>33216.13</v>
      </c>
      <c r="G198" s="60">
        <f t="shared" si="21"/>
        <v>40523.6786</v>
      </c>
      <c r="H198" s="62">
        <v>40726.296992999996</v>
      </c>
      <c r="I198" s="60">
        <f t="shared" si="22"/>
        <v>340.8775387</v>
      </c>
      <c r="J198" s="64">
        <f t="shared" si="14"/>
        <v>104.7827445</v>
      </c>
      <c r="K198" s="127"/>
      <c r="L198" s="127"/>
      <c r="M198" s="127"/>
      <c r="N198" s="127"/>
      <c r="O198" s="127"/>
      <c r="P198" s="127"/>
      <c r="Q198" s="127"/>
      <c r="R198" s="127"/>
    </row>
    <row r="199">
      <c r="A199" s="82" t="s">
        <v>40</v>
      </c>
      <c r="B199" s="202" t="s">
        <v>77</v>
      </c>
      <c r="C199" s="27" t="s">
        <v>28</v>
      </c>
      <c r="D199" s="30">
        <v>1113259.0</v>
      </c>
      <c r="E199" s="30">
        <v>1404.0</v>
      </c>
      <c r="F199" s="37">
        <f t="shared" si="20"/>
        <v>30071.39</v>
      </c>
      <c r="G199" s="37">
        <f t="shared" si="21"/>
        <v>36687.0958</v>
      </c>
      <c r="H199" s="39">
        <v>36870.531278999995</v>
      </c>
      <c r="I199" s="37">
        <f t="shared" si="22"/>
        <v>27.01203404</v>
      </c>
      <c r="J199" s="41">
        <f t="shared" si="14"/>
        <v>21.41836895</v>
      </c>
      <c r="K199" s="203"/>
      <c r="L199" s="203"/>
      <c r="M199" s="203"/>
      <c r="N199" s="203"/>
      <c r="O199" s="203"/>
      <c r="P199" s="203"/>
      <c r="Q199" s="203"/>
      <c r="R199" s="203"/>
    </row>
    <row r="200">
      <c r="A200" s="61"/>
      <c r="B200" s="122" t="s">
        <v>77</v>
      </c>
      <c r="C200" s="45" t="s">
        <v>34</v>
      </c>
      <c r="D200" s="21">
        <v>1387274.0</v>
      </c>
      <c r="E200" s="21">
        <v>1992.0</v>
      </c>
      <c r="F200" s="38">
        <f t="shared" si="20"/>
        <v>46697.97</v>
      </c>
      <c r="G200" s="38">
        <f t="shared" si="21"/>
        <v>56971.5234</v>
      </c>
      <c r="H200" s="44">
        <v>57256.381016999985</v>
      </c>
      <c r="I200" s="38">
        <f t="shared" si="22"/>
        <v>33.66167751</v>
      </c>
      <c r="J200" s="49">
        <f t="shared" si="14"/>
        <v>23.44275602</v>
      </c>
      <c r="K200" s="127"/>
      <c r="L200" s="127"/>
      <c r="M200" s="127"/>
      <c r="N200" s="127"/>
      <c r="O200" s="127"/>
      <c r="P200" s="127"/>
      <c r="Q200" s="127"/>
      <c r="R200" s="127"/>
    </row>
    <row r="201">
      <c r="A201" s="61"/>
      <c r="B201" s="122" t="s">
        <v>77</v>
      </c>
      <c r="C201" s="45" t="s">
        <v>36</v>
      </c>
      <c r="D201" s="21">
        <v>933989.0</v>
      </c>
      <c r="E201" s="21">
        <v>1402.0</v>
      </c>
      <c r="F201" s="38">
        <f t="shared" si="20"/>
        <v>40620.93</v>
      </c>
      <c r="G201" s="38">
        <f t="shared" si="21"/>
        <v>49557.5346</v>
      </c>
      <c r="H201" s="44">
        <v>49805.32227299999</v>
      </c>
      <c r="I201" s="38">
        <f t="shared" si="22"/>
        <v>43.49187196</v>
      </c>
      <c r="J201" s="49">
        <f t="shared" si="14"/>
        <v>28.9735592</v>
      </c>
      <c r="K201" s="127"/>
      <c r="L201" s="127"/>
      <c r="M201" s="127"/>
      <c r="N201" s="127"/>
      <c r="O201" s="127"/>
      <c r="P201" s="127"/>
      <c r="Q201" s="127"/>
      <c r="R201" s="127"/>
    </row>
    <row r="202">
      <c r="A202" s="61"/>
      <c r="B202" s="122" t="s">
        <v>77</v>
      </c>
      <c r="C202" s="45" t="s">
        <v>48</v>
      </c>
      <c r="D202" s="21">
        <v>763220.0</v>
      </c>
      <c r="E202" s="21">
        <v>1483.0</v>
      </c>
      <c r="F202" s="38">
        <f t="shared" si="20"/>
        <v>41671.73</v>
      </c>
      <c r="G202" s="38">
        <f t="shared" si="21"/>
        <v>50839.5106</v>
      </c>
      <c r="H202" s="44">
        <v>51093.70815300003</v>
      </c>
      <c r="I202" s="38">
        <f t="shared" si="22"/>
        <v>54.59989256</v>
      </c>
      <c r="J202" s="49">
        <f t="shared" si="14"/>
        <v>28.09961564</v>
      </c>
      <c r="K202" s="127"/>
      <c r="L202" s="127"/>
      <c r="M202" s="127"/>
      <c r="N202" s="127"/>
      <c r="O202" s="127"/>
      <c r="P202" s="127"/>
      <c r="Q202" s="127"/>
      <c r="R202" s="127"/>
    </row>
    <row r="203">
      <c r="A203" s="96"/>
      <c r="B203" s="204" t="s">
        <v>77</v>
      </c>
      <c r="C203" s="58" t="s">
        <v>52</v>
      </c>
      <c r="D203" s="59">
        <v>183120.0</v>
      </c>
      <c r="E203" s="59">
        <v>399.0</v>
      </c>
      <c r="F203" s="60">
        <f t="shared" si="20"/>
        <v>12371.36</v>
      </c>
      <c r="G203" s="60">
        <f t="shared" si="21"/>
        <v>15093.0592</v>
      </c>
      <c r="H203" s="62">
        <v>15168.524495999998</v>
      </c>
      <c r="I203" s="60">
        <f t="shared" si="22"/>
        <v>67.55875928</v>
      </c>
      <c r="J203" s="64">
        <f t="shared" si="14"/>
        <v>31.00591479</v>
      </c>
      <c r="K203" s="127"/>
      <c r="L203" s="127"/>
      <c r="M203" s="127"/>
      <c r="N203" s="127"/>
      <c r="O203" s="127"/>
      <c r="P203" s="127"/>
      <c r="Q203" s="127"/>
      <c r="R203" s="127"/>
    </row>
    <row r="204">
      <c r="A204" s="207" t="s">
        <v>46</v>
      </c>
      <c r="B204" s="209"/>
      <c r="C204" s="210"/>
      <c r="D204" s="30">
        <f t="shared" ref="D204:E204" si="23">SUM(D182:D203)</f>
        <v>11658987</v>
      </c>
      <c r="E204" s="30">
        <f t="shared" si="23"/>
        <v>23932</v>
      </c>
      <c r="F204" s="211">
        <f>F182</f>
        <v>45299.77979</v>
      </c>
      <c r="G204" s="211">
        <f>SUM(G182:G185)</f>
        <v>307053.1144</v>
      </c>
      <c r="H204" s="39">
        <f>SUM(H182:H203)</f>
        <v>1894716.8</v>
      </c>
      <c r="I204" s="212">
        <f>F204/(D204/1000)</f>
        <v>3.885395857</v>
      </c>
      <c r="J204" s="213">
        <f t="shared" si="14"/>
        <v>1.892853911</v>
      </c>
      <c r="K204" s="203"/>
      <c r="L204" s="203"/>
      <c r="M204" s="203"/>
      <c r="N204" s="203"/>
      <c r="O204" s="203"/>
      <c r="P204" s="203"/>
      <c r="Q204" s="203"/>
      <c r="R204" s="203"/>
    </row>
    <row r="205">
      <c r="A205" s="17" t="s">
        <v>41</v>
      </c>
      <c r="B205" s="18" t="s">
        <v>80</v>
      </c>
      <c r="C205" s="45" t="s">
        <v>28</v>
      </c>
      <c r="D205" s="21">
        <v>454543.0</v>
      </c>
      <c r="E205" s="21">
        <v>1829.0</v>
      </c>
      <c r="F205" s="38">
        <f t="shared" ref="F205:F261" si="24">G205/1.22</f>
        <v>79652.85</v>
      </c>
      <c r="G205" s="38">
        <f t="shared" ref="G205:G214" si="25">H205/1.005</f>
        <v>97176.477</v>
      </c>
      <c r="H205" s="44">
        <v>97662.35938499999</v>
      </c>
      <c r="I205" s="38">
        <f t="shared" ref="I205:I214" si="26">F205/D205*1000</f>
        <v>175.2372163</v>
      </c>
      <c r="J205" s="49">
        <f t="shared" si="14"/>
        <v>43.54994533</v>
      </c>
      <c r="K205" s="15"/>
      <c r="L205" s="15"/>
      <c r="M205" s="15"/>
      <c r="N205" s="15"/>
      <c r="O205" s="15"/>
      <c r="P205" s="15"/>
      <c r="Q205" s="15"/>
      <c r="R205" s="15"/>
    </row>
    <row r="206">
      <c r="B206" s="18" t="s">
        <v>80</v>
      </c>
      <c r="C206" s="45" t="s">
        <v>34</v>
      </c>
      <c r="D206" s="21">
        <v>353343.0</v>
      </c>
      <c r="E206" s="21">
        <v>1482.0</v>
      </c>
      <c r="F206" s="38">
        <f t="shared" si="24"/>
        <v>70135.98</v>
      </c>
      <c r="G206" s="38">
        <f t="shared" si="25"/>
        <v>85565.8956</v>
      </c>
      <c r="H206" s="44">
        <v>85993.72507799997</v>
      </c>
      <c r="I206" s="38">
        <f t="shared" si="26"/>
        <v>198.4926261</v>
      </c>
      <c r="J206" s="49">
        <f t="shared" si="14"/>
        <v>47.32522267</v>
      </c>
      <c r="K206" s="15"/>
      <c r="L206" s="15"/>
      <c r="M206" s="15"/>
      <c r="N206" s="15"/>
      <c r="O206" s="15"/>
      <c r="P206" s="15"/>
      <c r="Q206" s="15"/>
      <c r="R206" s="15"/>
    </row>
    <row r="207">
      <c r="A207" s="61"/>
      <c r="B207" s="18" t="s">
        <v>80</v>
      </c>
      <c r="C207" s="45" t="s">
        <v>36</v>
      </c>
      <c r="D207" s="21">
        <v>375741.0</v>
      </c>
      <c r="E207" s="21">
        <v>1574.0</v>
      </c>
      <c r="F207" s="38">
        <f t="shared" si="24"/>
        <v>77092.38</v>
      </c>
      <c r="G207" s="38">
        <f t="shared" si="25"/>
        <v>94052.7036</v>
      </c>
      <c r="H207" s="44">
        <v>94522.967118</v>
      </c>
      <c r="I207" s="38">
        <f t="shared" si="26"/>
        <v>205.1742557</v>
      </c>
      <c r="J207" s="49">
        <f t="shared" si="14"/>
        <v>48.97864041</v>
      </c>
      <c r="K207" s="15"/>
      <c r="L207" s="15"/>
      <c r="M207" s="15"/>
      <c r="N207" s="15"/>
      <c r="O207" s="15"/>
      <c r="P207" s="15"/>
      <c r="Q207" s="15"/>
      <c r="R207" s="15"/>
    </row>
    <row r="208">
      <c r="A208" s="61"/>
      <c r="B208" s="18" t="s">
        <v>80</v>
      </c>
      <c r="C208" s="45" t="s">
        <v>48</v>
      </c>
      <c r="D208" s="21">
        <v>241258.0</v>
      </c>
      <c r="E208" s="21">
        <v>2675.0</v>
      </c>
      <c r="F208" s="38">
        <f t="shared" si="24"/>
        <v>65666.78</v>
      </c>
      <c r="G208" s="38">
        <f t="shared" si="25"/>
        <v>80113.4716</v>
      </c>
      <c r="H208" s="44">
        <v>80514.03895799998</v>
      </c>
      <c r="I208" s="38">
        <f t="shared" si="26"/>
        <v>272.1848809</v>
      </c>
      <c r="J208" s="49">
        <f t="shared" si="14"/>
        <v>24.54832897</v>
      </c>
      <c r="K208" s="15"/>
      <c r="L208" s="15"/>
      <c r="M208" s="15"/>
      <c r="N208" s="15"/>
      <c r="O208" s="15"/>
      <c r="P208" s="15"/>
      <c r="Q208" s="15"/>
      <c r="R208" s="15"/>
    </row>
    <row r="209">
      <c r="A209" s="96"/>
      <c r="B209" s="56" t="s">
        <v>80</v>
      </c>
      <c r="C209" s="58" t="s">
        <v>52</v>
      </c>
      <c r="D209" s="59">
        <v>55808.0</v>
      </c>
      <c r="E209" s="59">
        <v>942.0</v>
      </c>
      <c r="F209" s="60">
        <f t="shared" si="24"/>
        <v>19021.92</v>
      </c>
      <c r="G209" s="60">
        <f t="shared" si="25"/>
        <v>23206.7424</v>
      </c>
      <c r="H209" s="62">
        <v>23322.776111999996</v>
      </c>
      <c r="I209" s="60">
        <f t="shared" si="26"/>
        <v>340.8457569</v>
      </c>
      <c r="J209" s="64">
        <f t="shared" si="14"/>
        <v>20.19312102</v>
      </c>
      <c r="K209" s="15"/>
      <c r="L209" s="15"/>
      <c r="M209" s="15"/>
      <c r="N209" s="15"/>
      <c r="O209" s="15"/>
      <c r="P209" s="15"/>
      <c r="Q209" s="15"/>
      <c r="R209" s="15"/>
    </row>
    <row r="210">
      <c r="A210" s="82" t="s">
        <v>40</v>
      </c>
      <c r="B210" s="24" t="s">
        <v>80</v>
      </c>
      <c r="C210" s="27" t="s">
        <v>28</v>
      </c>
      <c r="D210" s="30">
        <v>930618.0</v>
      </c>
      <c r="E210" s="30">
        <v>2326.0</v>
      </c>
      <c r="F210" s="37">
        <f t="shared" si="24"/>
        <v>42047.44</v>
      </c>
      <c r="G210" s="37">
        <f t="shared" si="25"/>
        <v>51297.8768</v>
      </c>
      <c r="H210" s="39">
        <v>51554.366184</v>
      </c>
      <c r="I210" s="37">
        <f t="shared" si="26"/>
        <v>45.18227672</v>
      </c>
      <c r="J210" s="41">
        <f t="shared" si="14"/>
        <v>18.07714531</v>
      </c>
      <c r="K210" s="42"/>
      <c r="L210" s="88"/>
      <c r="M210" s="162"/>
      <c r="N210" s="89"/>
      <c r="O210" s="42"/>
      <c r="P210" s="42"/>
      <c r="Q210" s="42"/>
      <c r="R210" s="42"/>
    </row>
    <row r="211">
      <c r="A211" s="61"/>
      <c r="B211" s="18" t="s">
        <v>80</v>
      </c>
      <c r="C211" s="45" t="s">
        <v>34</v>
      </c>
      <c r="D211" s="21">
        <v>945692.0</v>
      </c>
      <c r="E211" s="21">
        <v>1632.0</v>
      </c>
      <c r="F211" s="38">
        <f t="shared" si="24"/>
        <v>44625.61</v>
      </c>
      <c r="G211" s="38">
        <f t="shared" si="25"/>
        <v>54443.2442</v>
      </c>
      <c r="H211" s="44">
        <v>54715.46042099998</v>
      </c>
      <c r="I211" s="38">
        <f t="shared" si="26"/>
        <v>47.1883129</v>
      </c>
      <c r="J211" s="49">
        <f t="shared" si="14"/>
        <v>27.34412377</v>
      </c>
      <c r="K211" s="15"/>
      <c r="L211" s="91"/>
      <c r="M211" s="92"/>
      <c r="N211" s="93"/>
      <c r="O211" s="15"/>
      <c r="P211" s="15"/>
      <c r="Q211" s="15"/>
      <c r="R211" s="15"/>
    </row>
    <row r="212">
      <c r="A212" s="61"/>
      <c r="B212" s="18" t="s">
        <v>80</v>
      </c>
      <c r="C212" s="45" t="s">
        <v>36</v>
      </c>
      <c r="D212" s="21">
        <v>821456.0</v>
      </c>
      <c r="E212" s="21">
        <v>1545.0</v>
      </c>
      <c r="F212" s="38">
        <f t="shared" si="24"/>
        <v>44005.66</v>
      </c>
      <c r="G212" s="38">
        <f t="shared" si="25"/>
        <v>53686.9052</v>
      </c>
      <c r="H212" s="44">
        <v>53955.33972599999</v>
      </c>
      <c r="I212" s="38">
        <f t="shared" si="26"/>
        <v>53.57031904</v>
      </c>
      <c r="J212" s="49">
        <f t="shared" si="14"/>
        <v>28.48262783</v>
      </c>
      <c r="K212" s="15"/>
      <c r="L212" s="91"/>
      <c r="M212" s="92"/>
      <c r="N212" s="93"/>
      <c r="O212" s="15"/>
      <c r="P212" s="15"/>
      <c r="Q212" s="15"/>
      <c r="R212" s="15"/>
    </row>
    <row r="213">
      <c r="A213" s="61"/>
      <c r="B213" s="18" t="s">
        <v>80</v>
      </c>
      <c r="C213" s="45" t="s">
        <v>48</v>
      </c>
      <c r="D213" s="21">
        <v>624807.0</v>
      </c>
      <c r="E213" s="21">
        <v>1400.0</v>
      </c>
      <c r="F213" s="38">
        <f t="shared" si="24"/>
        <v>42494.45</v>
      </c>
      <c r="G213" s="38">
        <f t="shared" si="25"/>
        <v>51843.229</v>
      </c>
      <c r="H213" s="44">
        <v>52102.44514499999</v>
      </c>
      <c r="I213" s="38">
        <f t="shared" si="26"/>
        <v>68.01212214</v>
      </c>
      <c r="J213" s="49">
        <f t="shared" si="14"/>
        <v>30.35317857</v>
      </c>
      <c r="K213" s="15"/>
      <c r="L213" s="91"/>
      <c r="M213" s="92"/>
      <c r="N213" s="93"/>
      <c r="O213" s="15"/>
      <c r="P213" s="15"/>
      <c r="Q213" s="15"/>
      <c r="R213" s="15"/>
    </row>
    <row r="214">
      <c r="A214" s="96"/>
      <c r="B214" s="56" t="s">
        <v>80</v>
      </c>
      <c r="C214" s="58" t="s">
        <v>52</v>
      </c>
      <c r="D214" s="59">
        <v>189004.0</v>
      </c>
      <c r="E214" s="59">
        <v>360.0</v>
      </c>
      <c r="F214" s="60">
        <f t="shared" si="24"/>
        <v>11856.09</v>
      </c>
      <c r="G214" s="60">
        <f t="shared" si="25"/>
        <v>14464.4298</v>
      </c>
      <c r="H214" s="62">
        <v>14536.751948999998</v>
      </c>
      <c r="I214" s="60">
        <f t="shared" si="26"/>
        <v>62.72930732</v>
      </c>
      <c r="J214" s="64">
        <f t="shared" si="14"/>
        <v>32.93358333</v>
      </c>
      <c r="K214" s="15"/>
      <c r="L214" s="91"/>
      <c r="M214" s="92"/>
      <c r="N214" s="93"/>
      <c r="O214" s="15"/>
      <c r="P214" s="15"/>
      <c r="Q214" s="15"/>
      <c r="R214" s="15"/>
    </row>
    <row r="215">
      <c r="A215" s="215" t="s">
        <v>46</v>
      </c>
      <c r="B215" s="209"/>
      <c r="C215" s="216"/>
      <c r="D215" s="30">
        <f t="shared" ref="D215:E215" si="27">SUM(D205:D214)</f>
        <v>4992270</v>
      </c>
      <c r="E215" s="30">
        <f t="shared" si="27"/>
        <v>15765</v>
      </c>
      <c r="F215" s="212">
        <f t="shared" si="24"/>
        <v>149788.83</v>
      </c>
      <c r="G215" s="212">
        <f>SUM(G205:G206)</f>
        <v>182742.3726</v>
      </c>
      <c r="H215" s="39">
        <f>SUM(H205:H214)</f>
        <v>608880.2301</v>
      </c>
      <c r="I215" s="212">
        <f>F215/(D215/1000)</f>
        <v>30.00415242</v>
      </c>
      <c r="J215" s="213">
        <f t="shared" si="14"/>
        <v>9.501352997</v>
      </c>
      <c r="K215" s="42"/>
      <c r="L215" s="42"/>
      <c r="M215" s="42"/>
      <c r="N215" s="42"/>
      <c r="O215" s="42"/>
      <c r="P215" s="42"/>
      <c r="Q215" s="42"/>
      <c r="R215" s="42"/>
    </row>
    <row r="216">
      <c r="A216" s="17" t="s">
        <v>114</v>
      </c>
      <c r="B216" s="18" t="s">
        <v>81</v>
      </c>
      <c r="C216" s="45" t="s">
        <v>28</v>
      </c>
      <c r="D216" s="21">
        <v>128390.0</v>
      </c>
      <c r="E216" s="21">
        <v>858.0</v>
      </c>
      <c r="F216" s="38">
        <f t="shared" si="24"/>
        <v>14122.9</v>
      </c>
      <c r="G216" s="38">
        <f t="shared" ref="G216:G231" si="28">H216/1.005</f>
        <v>17229.938</v>
      </c>
      <c r="H216" s="44">
        <v>17316.08769</v>
      </c>
      <c r="I216" s="38">
        <f t="shared" ref="I216:I231" si="29">F216/D216*1000</f>
        <v>110</v>
      </c>
      <c r="J216" s="49">
        <f t="shared" si="14"/>
        <v>16.46025641</v>
      </c>
      <c r="K216" s="15"/>
      <c r="L216" s="91"/>
      <c r="M216" s="92"/>
      <c r="N216" s="93"/>
      <c r="O216" s="15"/>
      <c r="P216" s="15"/>
      <c r="Q216" s="15"/>
      <c r="R216" s="15"/>
    </row>
    <row r="217">
      <c r="B217" s="18" t="s">
        <v>81</v>
      </c>
      <c r="C217" s="45" t="s">
        <v>34</v>
      </c>
      <c r="D217" s="21">
        <v>123690.0</v>
      </c>
      <c r="E217" s="21">
        <v>1215.0</v>
      </c>
      <c r="F217" s="38">
        <f t="shared" si="24"/>
        <v>13605.9</v>
      </c>
      <c r="G217" s="38">
        <f t="shared" si="28"/>
        <v>16599.198</v>
      </c>
      <c r="H217" s="44">
        <v>16682.193989999996</v>
      </c>
      <c r="I217" s="38">
        <f t="shared" si="29"/>
        <v>110</v>
      </c>
      <c r="J217" s="49">
        <f t="shared" si="14"/>
        <v>11.1982716</v>
      </c>
      <c r="K217" s="15"/>
      <c r="L217" s="91"/>
      <c r="M217" s="92"/>
      <c r="N217" s="93"/>
      <c r="O217" s="15"/>
      <c r="P217" s="15"/>
      <c r="Q217" s="15"/>
      <c r="R217" s="15"/>
    </row>
    <row r="218">
      <c r="B218" s="18" t="s">
        <v>81</v>
      </c>
      <c r="C218" s="45" t="s">
        <v>36</v>
      </c>
      <c r="D218" s="21">
        <v>456701.0</v>
      </c>
      <c r="E218" s="21">
        <v>6437.0</v>
      </c>
      <c r="F218" s="38">
        <f t="shared" si="24"/>
        <v>64060.56</v>
      </c>
      <c r="G218" s="38">
        <f t="shared" si="28"/>
        <v>78153.8832</v>
      </c>
      <c r="H218" s="44">
        <v>78544.65261599998</v>
      </c>
      <c r="I218" s="38">
        <f t="shared" si="29"/>
        <v>140.2680528</v>
      </c>
      <c r="J218" s="49">
        <f t="shared" si="14"/>
        <v>9.951927917</v>
      </c>
      <c r="K218" s="15"/>
      <c r="L218" s="91"/>
      <c r="M218" s="92"/>
      <c r="N218" s="93"/>
      <c r="O218" s="15"/>
      <c r="P218" s="15"/>
      <c r="Q218" s="15"/>
      <c r="R218" s="15"/>
    </row>
    <row r="219">
      <c r="B219" s="18" t="s">
        <v>81</v>
      </c>
      <c r="C219" s="45" t="s">
        <v>48</v>
      </c>
      <c r="D219" s="21">
        <v>515234.0</v>
      </c>
      <c r="E219" s="21">
        <v>7318.0</v>
      </c>
      <c r="F219" s="38">
        <f t="shared" si="24"/>
        <v>82437.44</v>
      </c>
      <c r="G219" s="38">
        <f t="shared" si="28"/>
        <v>100573.6768</v>
      </c>
      <c r="H219" s="44">
        <v>101076.54518399999</v>
      </c>
      <c r="I219" s="38">
        <f t="shared" si="29"/>
        <v>160</v>
      </c>
      <c r="J219" s="49">
        <f t="shared" si="14"/>
        <v>11.26502323</v>
      </c>
      <c r="K219" s="15"/>
      <c r="L219" s="91"/>
      <c r="M219" s="92"/>
      <c r="N219" s="93"/>
      <c r="O219" s="15"/>
      <c r="P219" s="15"/>
      <c r="Q219" s="15"/>
      <c r="R219" s="15"/>
    </row>
    <row r="220">
      <c r="A220" s="196"/>
      <c r="B220" s="56" t="s">
        <v>81</v>
      </c>
      <c r="C220" s="58" t="s">
        <v>52</v>
      </c>
      <c r="D220" s="59">
        <v>149900.0</v>
      </c>
      <c r="E220" s="59">
        <v>569.0</v>
      </c>
      <c r="F220" s="60">
        <f t="shared" si="24"/>
        <v>23984</v>
      </c>
      <c r="G220" s="60">
        <f t="shared" si="28"/>
        <v>29260.48</v>
      </c>
      <c r="H220" s="62">
        <v>29406.782399999996</v>
      </c>
      <c r="I220" s="60">
        <f t="shared" si="29"/>
        <v>160</v>
      </c>
      <c r="J220" s="64">
        <f t="shared" si="14"/>
        <v>42.15114236</v>
      </c>
      <c r="K220" s="15"/>
      <c r="L220" s="91"/>
      <c r="M220" s="92"/>
      <c r="N220" s="93"/>
      <c r="O220" s="15"/>
      <c r="P220" s="15"/>
      <c r="Q220" s="15"/>
      <c r="R220" s="15"/>
    </row>
    <row r="221">
      <c r="A221" s="82" t="s">
        <v>35</v>
      </c>
      <c r="B221" s="24" t="s">
        <v>81</v>
      </c>
      <c r="C221" s="27" t="s">
        <v>34</v>
      </c>
      <c r="D221" s="30">
        <v>592720.0</v>
      </c>
      <c r="E221" s="30">
        <v>533.0</v>
      </c>
      <c r="F221" s="37">
        <f t="shared" si="24"/>
        <v>76164.62768</v>
      </c>
      <c r="G221" s="37">
        <f t="shared" si="28"/>
        <v>92920.84577</v>
      </c>
      <c r="H221" s="39">
        <v>93385.45</v>
      </c>
      <c r="I221" s="37">
        <f t="shared" si="29"/>
        <v>128.5001817</v>
      </c>
      <c r="J221" s="41">
        <f t="shared" si="14"/>
        <v>142.8979881</v>
      </c>
      <c r="K221" s="42"/>
      <c r="L221" s="42"/>
      <c r="M221" s="42"/>
      <c r="N221" s="42"/>
      <c r="O221" s="42"/>
      <c r="P221" s="42"/>
      <c r="Q221" s="42"/>
      <c r="R221" s="42"/>
    </row>
    <row r="222">
      <c r="B222" s="18" t="s">
        <v>81</v>
      </c>
      <c r="C222" s="45" t="s">
        <v>36</v>
      </c>
      <c r="D222" s="21">
        <v>809271.0</v>
      </c>
      <c r="E222" s="21">
        <v>632.0</v>
      </c>
      <c r="F222" s="38">
        <f t="shared" si="24"/>
        <v>105812.2747</v>
      </c>
      <c r="G222" s="38">
        <f t="shared" si="28"/>
        <v>129090.9751</v>
      </c>
      <c r="H222" s="44">
        <v>129736.43000000001</v>
      </c>
      <c r="I222" s="38">
        <f t="shared" si="29"/>
        <v>130.750113</v>
      </c>
      <c r="J222" s="49">
        <f t="shared" si="14"/>
        <v>167.4244853</v>
      </c>
      <c r="K222" s="15"/>
      <c r="L222" s="15"/>
      <c r="M222" s="15"/>
      <c r="N222" s="15"/>
      <c r="O222" s="15"/>
      <c r="P222" s="15"/>
      <c r="Q222" s="15"/>
      <c r="R222" s="15"/>
    </row>
    <row r="223">
      <c r="A223" s="196"/>
      <c r="B223" s="56" t="s">
        <v>81</v>
      </c>
      <c r="C223" s="58" t="s">
        <v>38</v>
      </c>
      <c r="D223" s="59">
        <v>1044313.0</v>
      </c>
      <c r="E223" s="59">
        <v>658.0</v>
      </c>
      <c r="F223" s="60">
        <f t="shared" si="24"/>
        <v>136914.2811</v>
      </c>
      <c r="G223" s="60">
        <f t="shared" si="28"/>
        <v>167035.4229</v>
      </c>
      <c r="H223" s="62">
        <v>167870.59999999998</v>
      </c>
      <c r="I223" s="60">
        <f t="shared" si="29"/>
        <v>131.1046411</v>
      </c>
      <c r="J223" s="64">
        <f t="shared" si="14"/>
        <v>208.076415</v>
      </c>
      <c r="K223" s="15"/>
      <c r="L223" s="15"/>
      <c r="M223" s="15"/>
      <c r="N223" s="15"/>
      <c r="O223" s="15"/>
      <c r="P223" s="15"/>
      <c r="Q223" s="15"/>
      <c r="R223" s="15"/>
    </row>
    <row r="224">
      <c r="A224" s="19" t="s">
        <v>76</v>
      </c>
      <c r="B224" s="24" t="s">
        <v>81</v>
      </c>
      <c r="C224" s="27" t="s">
        <v>36</v>
      </c>
      <c r="D224" s="30">
        <v>531626.0</v>
      </c>
      <c r="E224" s="30">
        <v>7320.0</v>
      </c>
      <c r="F224" s="37">
        <f t="shared" si="24"/>
        <v>65921.6</v>
      </c>
      <c r="G224" s="37">
        <f t="shared" si="28"/>
        <v>80424.352</v>
      </c>
      <c r="H224" s="39">
        <v>80826.47376</v>
      </c>
      <c r="I224" s="37">
        <f t="shared" si="29"/>
        <v>123.9999549</v>
      </c>
      <c r="J224" s="41">
        <f t="shared" si="14"/>
        <v>9.00568306</v>
      </c>
      <c r="K224" s="42"/>
      <c r="L224" s="42"/>
      <c r="M224" s="42"/>
      <c r="N224" s="42"/>
      <c r="O224" s="42"/>
      <c r="P224" s="42"/>
      <c r="Q224" s="42"/>
      <c r="R224" s="42"/>
    </row>
    <row r="225">
      <c r="A225" s="17"/>
      <c r="B225" s="18" t="s">
        <v>81</v>
      </c>
      <c r="C225" s="45" t="s">
        <v>48</v>
      </c>
      <c r="D225" s="21">
        <v>1691906.0</v>
      </c>
      <c r="E225" s="21">
        <v>26388.0</v>
      </c>
      <c r="F225" s="38">
        <f t="shared" si="24"/>
        <v>205220</v>
      </c>
      <c r="G225" s="38">
        <f t="shared" si="28"/>
        <v>250368.4</v>
      </c>
      <c r="H225" s="44">
        <v>251620.24199999997</v>
      </c>
      <c r="I225" s="38">
        <f t="shared" si="29"/>
        <v>121.2951547</v>
      </c>
      <c r="J225" s="49">
        <f t="shared" si="14"/>
        <v>7.777019858</v>
      </c>
      <c r="K225" s="15"/>
      <c r="L225" s="15"/>
      <c r="M225" s="15"/>
      <c r="N225" s="15"/>
      <c r="O225" s="15"/>
      <c r="P225" s="15"/>
      <c r="Q225" s="15"/>
      <c r="R225" s="15"/>
    </row>
    <row r="226">
      <c r="A226" s="196"/>
      <c r="B226" s="56" t="s">
        <v>81</v>
      </c>
      <c r="C226" s="58" t="s">
        <v>52</v>
      </c>
      <c r="D226" s="59">
        <v>233316.0</v>
      </c>
      <c r="E226" s="59">
        <v>3621.0</v>
      </c>
      <c r="F226" s="60">
        <f t="shared" si="24"/>
        <v>28931.184</v>
      </c>
      <c r="G226" s="60">
        <f t="shared" si="28"/>
        <v>35296.04448</v>
      </c>
      <c r="H226" s="62">
        <v>35472.5247024</v>
      </c>
      <c r="I226" s="60">
        <f t="shared" si="29"/>
        <v>124</v>
      </c>
      <c r="J226" s="64">
        <f t="shared" si="14"/>
        <v>7.989832643</v>
      </c>
      <c r="K226" s="15"/>
      <c r="L226" s="15"/>
      <c r="M226" s="15"/>
      <c r="N226" s="15"/>
      <c r="O226" s="15"/>
      <c r="P226" s="15"/>
      <c r="Q226" s="15"/>
      <c r="R226" s="15"/>
    </row>
    <row r="227">
      <c r="A227" s="19" t="s">
        <v>83</v>
      </c>
      <c r="B227" s="24" t="s">
        <v>81</v>
      </c>
      <c r="C227" s="27" t="s">
        <v>28</v>
      </c>
      <c r="D227" s="30">
        <v>278348.0</v>
      </c>
      <c r="E227" s="30">
        <v>2520.0</v>
      </c>
      <c r="F227" s="37">
        <f t="shared" si="24"/>
        <v>41195.5</v>
      </c>
      <c r="G227" s="37">
        <f t="shared" si="28"/>
        <v>50258.51</v>
      </c>
      <c r="H227" s="39">
        <v>50509.80254999999</v>
      </c>
      <c r="I227" s="37">
        <f t="shared" si="29"/>
        <v>147.9999856</v>
      </c>
      <c r="J227" s="41">
        <f t="shared" si="14"/>
        <v>16.34742063</v>
      </c>
      <c r="K227" s="42"/>
      <c r="L227" s="42"/>
      <c r="M227" s="42"/>
      <c r="N227" s="42"/>
      <c r="O227" s="42"/>
      <c r="P227" s="42"/>
      <c r="Q227" s="42"/>
      <c r="R227" s="42"/>
    </row>
    <row r="228">
      <c r="A228" s="17"/>
      <c r="B228" s="18" t="s">
        <v>81</v>
      </c>
      <c r="C228" s="45" t="s">
        <v>34</v>
      </c>
      <c r="D228" s="21">
        <v>264220.0</v>
      </c>
      <c r="E228" s="21">
        <v>4538.0</v>
      </c>
      <c r="F228" s="38">
        <f t="shared" si="24"/>
        <v>39104.56</v>
      </c>
      <c r="G228" s="38">
        <f t="shared" si="28"/>
        <v>47707.5632</v>
      </c>
      <c r="H228" s="44">
        <v>47946.10101599999</v>
      </c>
      <c r="I228" s="38">
        <f t="shared" si="29"/>
        <v>148</v>
      </c>
      <c r="J228" s="49">
        <f t="shared" si="14"/>
        <v>8.617135302</v>
      </c>
      <c r="K228" s="15"/>
      <c r="L228" s="15"/>
      <c r="M228" s="15"/>
      <c r="N228" s="15"/>
      <c r="O228" s="15"/>
      <c r="P228" s="15"/>
      <c r="Q228" s="15"/>
      <c r="R228" s="15"/>
    </row>
    <row r="229">
      <c r="A229" s="17"/>
      <c r="B229" s="18" t="s">
        <v>81</v>
      </c>
      <c r="C229" s="45" t="s">
        <v>36</v>
      </c>
      <c r="D229" s="21">
        <v>228021.0</v>
      </c>
      <c r="E229" s="21">
        <v>3929.0</v>
      </c>
      <c r="F229" s="38">
        <f t="shared" si="24"/>
        <v>33747.11</v>
      </c>
      <c r="G229" s="38">
        <f t="shared" si="28"/>
        <v>41171.4742</v>
      </c>
      <c r="H229" s="44">
        <v>41377.331570999995</v>
      </c>
      <c r="I229" s="38">
        <f t="shared" si="29"/>
        <v>148.0000088</v>
      </c>
      <c r="J229" s="49">
        <f t="shared" si="14"/>
        <v>8.589236447</v>
      </c>
      <c r="K229" s="15"/>
      <c r="L229" s="15"/>
      <c r="M229" s="15"/>
      <c r="N229" s="15"/>
      <c r="O229" s="15"/>
      <c r="P229" s="15"/>
      <c r="Q229" s="15"/>
      <c r="R229" s="15"/>
    </row>
    <row r="230">
      <c r="A230" s="17"/>
      <c r="B230" s="18" t="s">
        <v>81</v>
      </c>
      <c r="C230" s="45" t="s">
        <v>48</v>
      </c>
      <c r="D230" s="21">
        <v>306529.0</v>
      </c>
      <c r="E230" s="21">
        <v>5848.0</v>
      </c>
      <c r="F230" s="38">
        <f t="shared" si="24"/>
        <v>45366.29</v>
      </c>
      <c r="G230" s="38">
        <f t="shared" si="28"/>
        <v>55346.8738</v>
      </c>
      <c r="H230" s="44">
        <v>55623.60816899999</v>
      </c>
      <c r="I230" s="38">
        <f t="shared" si="29"/>
        <v>147.9999935</v>
      </c>
      <c r="J230" s="49">
        <f t="shared" si="14"/>
        <v>7.757573529</v>
      </c>
      <c r="K230" s="15"/>
      <c r="L230" s="15"/>
      <c r="M230" s="15"/>
      <c r="N230" s="15"/>
      <c r="O230" s="15"/>
      <c r="P230" s="15"/>
      <c r="Q230" s="15"/>
      <c r="R230" s="15"/>
    </row>
    <row r="231">
      <c r="A231" s="196"/>
      <c r="B231" s="56" t="s">
        <v>81</v>
      </c>
      <c r="C231" s="58" t="s">
        <v>52</v>
      </c>
      <c r="D231" s="59">
        <v>122882.0</v>
      </c>
      <c r="E231" s="59">
        <v>1467.0</v>
      </c>
      <c r="F231" s="60">
        <f t="shared" si="24"/>
        <v>18186.54</v>
      </c>
      <c r="G231" s="60">
        <f t="shared" si="28"/>
        <v>22187.5788</v>
      </c>
      <c r="H231" s="62">
        <v>22298.516693999998</v>
      </c>
      <c r="I231" s="60">
        <f t="shared" si="29"/>
        <v>148.0000326</v>
      </c>
      <c r="J231" s="64">
        <f t="shared" si="14"/>
        <v>12.39709611</v>
      </c>
      <c r="K231" s="15"/>
      <c r="L231" s="15"/>
      <c r="M231" s="15"/>
      <c r="N231" s="15"/>
      <c r="O231" s="15"/>
      <c r="P231" s="15"/>
      <c r="Q231" s="15"/>
      <c r="R231" s="15"/>
    </row>
    <row r="232">
      <c r="A232" s="110" t="s">
        <v>46</v>
      </c>
      <c r="B232" s="111"/>
      <c r="C232" s="112"/>
      <c r="D232" s="113">
        <f t="shared" ref="D232:E232" si="30">SUM(D216:D231)</f>
        <v>7477067</v>
      </c>
      <c r="E232" s="113">
        <f t="shared" si="30"/>
        <v>73851</v>
      </c>
      <c r="F232" s="114">
        <f t="shared" si="24"/>
        <v>174226.8</v>
      </c>
      <c r="G232" s="114">
        <f>SUM(G216:G219)</f>
        <v>212556.696</v>
      </c>
      <c r="H232" s="115">
        <f>SUM(H216:H231)</f>
        <v>1219693.342</v>
      </c>
      <c r="I232" s="114">
        <f>F232/(D232/1000)</f>
        <v>23.30148974</v>
      </c>
      <c r="J232" s="116">
        <f t="shared" si="14"/>
        <v>2.35916643</v>
      </c>
      <c r="K232" s="42"/>
      <c r="L232" s="42"/>
      <c r="M232" s="42"/>
      <c r="N232" s="42"/>
      <c r="O232" s="42"/>
      <c r="P232" s="42"/>
      <c r="Q232" s="42"/>
      <c r="R232" s="42"/>
    </row>
    <row r="233">
      <c r="A233" s="19" t="s">
        <v>41</v>
      </c>
      <c r="B233" s="24" t="s">
        <v>84</v>
      </c>
      <c r="C233" s="27" t="s">
        <v>28</v>
      </c>
      <c r="D233" s="30">
        <v>755305.0</v>
      </c>
      <c r="E233" s="30">
        <v>1928.0</v>
      </c>
      <c r="F233" s="37">
        <f t="shared" si="24"/>
        <v>125139.84</v>
      </c>
      <c r="G233" s="37">
        <f t="shared" ref="G233:G242" si="31">H233/1.005</f>
        <v>152670.6048</v>
      </c>
      <c r="H233" s="39">
        <v>153433.957824</v>
      </c>
      <c r="I233" s="37">
        <f t="shared" ref="I233:I242" si="32">F233/D233*1000</f>
        <v>165.6812016</v>
      </c>
      <c r="J233" s="41">
        <f t="shared" si="14"/>
        <v>64.90655602</v>
      </c>
      <c r="K233" s="42"/>
      <c r="L233" s="88"/>
      <c r="M233" s="162"/>
      <c r="N233" s="89"/>
      <c r="O233" s="42"/>
      <c r="P233" s="42"/>
      <c r="Q233" s="42"/>
      <c r="R233" s="42"/>
    </row>
    <row r="234">
      <c r="B234" s="18" t="s">
        <v>84</v>
      </c>
      <c r="C234" s="45" t="s">
        <v>34</v>
      </c>
      <c r="D234" s="21">
        <v>478615.0</v>
      </c>
      <c r="E234" s="21">
        <v>2813.0</v>
      </c>
      <c r="F234" s="38">
        <f t="shared" si="24"/>
        <v>104507.55</v>
      </c>
      <c r="G234" s="38">
        <f t="shared" si="31"/>
        <v>127499.211</v>
      </c>
      <c r="H234" s="44">
        <v>128136.70705499995</v>
      </c>
      <c r="I234" s="38">
        <f t="shared" si="32"/>
        <v>218.3541051</v>
      </c>
      <c r="J234" s="49">
        <f t="shared" si="14"/>
        <v>37.15163526</v>
      </c>
      <c r="K234" s="15"/>
      <c r="L234" s="91"/>
      <c r="M234" s="92"/>
      <c r="N234" s="93"/>
      <c r="O234" s="15"/>
      <c r="P234" s="15"/>
      <c r="Q234" s="15"/>
      <c r="R234" s="15"/>
    </row>
    <row r="235">
      <c r="A235" s="61"/>
      <c r="B235" s="18" t="s">
        <v>84</v>
      </c>
      <c r="C235" s="45" t="s">
        <v>36</v>
      </c>
      <c r="D235" s="21">
        <v>524951.0</v>
      </c>
      <c r="E235" s="21">
        <v>3230.0</v>
      </c>
      <c r="F235" s="38">
        <f t="shared" si="24"/>
        <v>119998.64</v>
      </c>
      <c r="G235" s="38">
        <f t="shared" si="31"/>
        <v>146398.3408</v>
      </c>
      <c r="H235" s="44">
        <v>147130.33250399993</v>
      </c>
      <c r="I235" s="38">
        <f t="shared" si="32"/>
        <v>228.5901732</v>
      </c>
      <c r="J235" s="49">
        <f t="shared" si="14"/>
        <v>37.15128173</v>
      </c>
      <c r="K235" s="15"/>
      <c r="L235" s="91"/>
      <c r="M235" s="92"/>
      <c r="N235" s="93"/>
      <c r="O235" s="15"/>
      <c r="P235" s="15"/>
      <c r="Q235" s="15"/>
      <c r="R235" s="15"/>
    </row>
    <row r="236">
      <c r="A236" s="61"/>
      <c r="B236" s="18" t="s">
        <v>84</v>
      </c>
      <c r="C236" s="45" t="s">
        <v>48</v>
      </c>
      <c r="D236" s="21">
        <v>491305.0</v>
      </c>
      <c r="E236" s="21">
        <v>3213.0</v>
      </c>
      <c r="F236" s="38">
        <f t="shared" si="24"/>
        <v>108717.96</v>
      </c>
      <c r="G236" s="38">
        <f t="shared" si="31"/>
        <v>132635.9112</v>
      </c>
      <c r="H236" s="44">
        <v>133299.090756</v>
      </c>
      <c r="I236" s="38">
        <f t="shared" si="32"/>
        <v>221.2840496</v>
      </c>
      <c r="J236" s="49">
        <f t="shared" si="14"/>
        <v>33.83690009</v>
      </c>
      <c r="K236" s="15"/>
      <c r="L236" s="91"/>
      <c r="M236" s="92"/>
      <c r="N236" s="93"/>
      <c r="O236" s="15"/>
      <c r="P236" s="15"/>
      <c r="Q236" s="15"/>
      <c r="R236" s="15"/>
    </row>
    <row r="237">
      <c r="A237" s="96"/>
      <c r="B237" s="56" t="s">
        <v>84</v>
      </c>
      <c r="C237" s="58" t="s">
        <v>52</v>
      </c>
      <c r="D237" s="59">
        <v>136663.0</v>
      </c>
      <c r="E237" s="59">
        <v>927.0</v>
      </c>
      <c r="F237" s="60">
        <f t="shared" si="24"/>
        <v>29572.61</v>
      </c>
      <c r="G237" s="60">
        <f t="shared" si="31"/>
        <v>36078.5842</v>
      </c>
      <c r="H237" s="62">
        <v>36258.97712099999</v>
      </c>
      <c r="I237" s="60">
        <f t="shared" si="32"/>
        <v>216.3907568</v>
      </c>
      <c r="J237" s="64">
        <f t="shared" si="14"/>
        <v>31.90141316</v>
      </c>
      <c r="K237" s="15"/>
      <c r="L237" s="91"/>
      <c r="M237" s="92"/>
      <c r="N237" s="93"/>
      <c r="O237" s="15"/>
      <c r="P237" s="15"/>
      <c r="Q237" s="15"/>
      <c r="R237" s="15"/>
    </row>
    <row r="238">
      <c r="A238" s="82" t="s">
        <v>72</v>
      </c>
      <c r="B238" s="24" t="s">
        <v>84</v>
      </c>
      <c r="C238" s="27" t="s">
        <v>28</v>
      </c>
      <c r="D238" s="30">
        <v>1289432.0</v>
      </c>
      <c r="E238" s="30">
        <v>6426.0</v>
      </c>
      <c r="F238" s="37">
        <f t="shared" si="24"/>
        <v>60145.99135</v>
      </c>
      <c r="G238" s="37">
        <f t="shared" si="31"/>
        <v>73378.10945</v>
      </c>
      <c r="H238" s="39">
        <v>73745.0</v>
      </c>
      <c r="I238" s="37">
        <f t="shared" si="32"/>
        <v>46.64533791</v>
      </c>
      <c r="J238" s="41">
        <f t="shared" si="14"/>
        <v>9.359787014</v>
      </c>
      <c r="K238" s="42"/>
      <c r="L238" s="42"/>
      <c r="M238" s="42"/>
      <c r="N238" s="42"/>
      <c r="O238" s="42"/>
      <c r="P238" s="42"/>
      <c r="Q238" s="42"/>
      <c r="R238" s="42"/>
    </row>
    <row r="239">
      <c r="A239" s="61"/>
      <c r="B239" s="18" t="s">
        <v>84</v>
      </c>
      <c r="C239" s="45" t="s">
        <v>34</v>
      </c>
      <c r="D239" s="21">
        <v>1281607.0</v>
      </c>
      <c r="E239" s="21">
        <v>6374.0</v>
      </c>
      <c r="F239" s="38">
        <f t="shared" si="24"/>
        <v>63616.34451</v>
      </c>
      <c r="G239" s="38">
        <f t="shared" si="31"/>
        <v>77611.9403</v>
      </c>
      <c r="H239" s="44">
        <v>78000.0</v>
      </c>
      <c r="I239" s="38">
        <f t="shared" si="32"/>
        <v>49.63795025</v>
      </c>
      <c r="J239" s="49">
        <f t="shared" si="14"/>
        <v>9.980600017</v>
      </c>
      <c r="K239" s="15"/>
      <c r="L239" s="15"/>
      <c r="M239" s="15"/>
      <c r="N239" s="15"/>
      <c r="O239" s="15"/>
      <c r="P239" s="15"/>
      <c r="Q239" s="15"/>
      <c r="R239" s="15"/>
    </row>
    <row r="240">
      <c r="A240" s="61"/>
      <c r="B240" s="18" t="s">
        <v>84</v>
      </c>
      <c r="C240" s="45" t="s">
        <v>36</v>
      </c>
      <c r="D240" s="21">
        <v>1527306.0</v>
      </c>
      <c r="E240" s="21">
        <v>8869.0</v>
      </c>
      <c r="F240" s="38">
        <f t="shared" si="24"/>
        <v>80496.69684</v>
      </c>
      <c r="G240" s="38">
        <f t="shared" si="31"/>
        <v>98205.97015</v>
      </c>
      <c r="H240" s="44">
        <v>98697.0</v>
      </c>
      <c r="I240" s="38">
        <f t="shared" si="32"/>
        <v>52.70502234</v>
      </c>
      <c r="J240" s="49">
        <f t="shared" si="14"/>
        <v>9.076186362</v>
      </c>
      <c r="K240" s="15"/>
      <c r="L240" s="15"/>
      <c r="M240" s="15"/>
      <c r="N240" s="15"/>
      <c r="O240" s="15"/>
      <c r="P240" s="15"/>
      <c r="Q240" s="15"/>
      <c r="R240" s="15"/>
    </row>
    <row r="241">
      <c r="A241" s="61"/>
      <c r="B241" s="18" t="s">
        <v>84</v>
      </c>
      <c r="C241" s="45" t="s">
        <v>48</v>
      </c>
      <c r="D241" s="21">
        <v>1183333.0</v>
      </c>
      <c r="E241" s="21">
        <v>7133.0</v>
      </c>
      <c r="F241" s="38">
        <f t="shared" si="24"/>
        <v>59221.92317</v>
      </c>
      <c r="G241" s="38">
        <f t="shared" si="31"/>
        <v>72250.74627</v>
      </c>
      <c r="H241" s="44">
        <v>72612.0</v>
      </c>
      <c r="I241" s="38">
        <f t="shared" si="32"/>
        <v>50.04670974</v>
      </c>
      <c r="J241" s="49">
        <f t="shared" si="14"/>
        <v>8.302526731</v>
      </c>
      <c r="K241" s="15"/>
      <c r="L241" s="15"/>
      <c r="M241" s="15"/>
      <c r="N241" s="15"/>
      <c r="O241" s="15"/>
      <c r="P241" s="15"/>
      <c r="Q241" s="15"/>
      <c r="R241" s="15"/>
    </row>
    <row r="242">
      <c r="A242" s="96"/>
      <c r="B242" s="56" t="s">
        <v>84</v>
      </c>
      <c r="C242" s="58" t="s">
        <v>52</v>
      </c>
      <c r="D242" s="59">
        <v>301359.0</v>
      </c>
      <c r="E242" s="59">
        <v>1855.0</v>
      </c>
      <c r="F242" s="60">
        <f t="shared" si="24"/>
        <v>15390.26181</v>
      </c>
      <c r="G242" s="60">
        <f t="shared" si="31"/>
        <v>18776.1194</v>
      </c>
      <c r="H242" s="62">
        <v>18870.0</v>
      </c>
      <c r="I242" s="60">
        <f t="shared" si="32"/>
        <v>51.06952773</v>
      </c>
      <c r="J242" s="64">
        <f t="shared" si="14"/>
        <v>8.296637092</v>
      </c>
      <c r="K242" s="15"/>
      <c r="L242" s="15"/>
      <c r="M242" s="15"/>
      <c r="N242" s="15"/>
      <c r="O242" s="15"/>
      <c r="P242" s="15"/>
      <c r="Q242" s="15"/>
      <c r="R242" s="15"/>
    </row>
    <row r="243">
      <c r="A243" s="215" t="s">
        <v>46</v>
      </c>
      <c r="B243" s="209"/>
      <c r="C243" s="216"/>
      <c r="D243" s="30">
        <f t="shared" ref="D243:E243" si="33">SUM(D233:D242)</f>
        <v>7969876</v>
      </c>
      <c r="E243" s="30">
        <f t="shared" si="33"/>
        <v>42768</v>
      </c>
      <c r="F243" s="212">
        <f t="shared" si="24"/>
        <v>229647.39</v>
      </c>
      <c r="G243" s="212">
        <f>SUM(G233:G234)</f>
        <v>280169.8158</v>
      </c>
      <c r="H243" s="39">
        <f>SUM(H233:H242)</f>
        <v>940183.0653</v>
      </c>
      <c r="I243" s="212">
        <f>F243/(D243/1000)</f>
        <v>28.81442447</v>
      </c>
      <c r="J243" s="213">
        <f t="shared" si="14"/>
        <v>5.369607884</v>
      </c>
      <c r="K243" s="42"/>
      <c r="L243" s="42"/>
      <c r="M243" s="42"/>
      <c r="N243" s="42"/>
      <c r="O243" s="42"/>
      <c r="P243" s="42"/>
      <c r="Q243" s="42"/>
      <c r="R243" s="42"/>
    </row>
    <row r="244">
      <c r="A244" s="17" t="s">
        <v>51</v>
      </c>
      <c r="B244" s="144" t="s">
        <v>87</v>
      </c>
      <c r="C244" s="45" t="s">
        <v>36</v>
      </c>
      <c r="D244" s="21">
        <v>255119.0</v>
      </c>
      <c r="E244" s="21">
        <v>649.0</v>
      </c>
      <c r="F244" s="38">
        <f t="shared" si="24"/>
        <v>75504.5347</v>
      </c>
      <c r="G244" s="38">
        <f t="shared" ref="G244:G261" si="34">H244/1.005</f>
        <v>92115.53234</v>
      </c>
      <c r="H244" s="44">
        <v>92576.11</v>
      </c>
      <c r="I244" s="38">
        <f t="shared" ref="I244:I261" si="35">F244/D244*1000</f>
        <v>295.9581007</v>
      </c>
      <c r="J244" s="49">
        <f t="shared" si="14"/>
        <v>116.3398069</v>
      </c>
      <c r="K244" s="15"/>
      <c r="L244" s="15"/>
      <c r="M244" s="15"/>
      <c r="N244" s="15"/>
      <c r="O244" s="15"/>
      <c r="P244" s="15"/>
      <c r="Q244" s="15"/>
      <c r="R244" s="15"/>
    </row>
    <row r="245">
      <c r="B245" s="228" t="s">
        <v>87</v>
      </c>
      <c r="C245" s="58" t="s">
        <v>38</v>
      </c>
      <c r="D245" s="59">
        <v>1005510.0</v>
      </c>
      <c r="E245" s="59">
        <v>2153.0</v>
      </c>
      <c r="F245" s="60">
        <f t="shared" si="24"/>
        <v>307596.3054</v>
      </c>
      <c r="G245" s="60">
        <f t="shared" si="34"/>
        <v>375267.4925</v>
      </c>
      <c r="H245" s="62">
        <v>377143.83</v>
      </c>
      <c r="I245" s="60">
        <f t="shared" si="35"/>
        <v>305.9107372</v>
      </c>
      <c r="J245" s="64">
        <f t="shared" si="14"/>
        <v>142.8686973</v>
      </c>
      <c r="K245" s="15"/>
      <c r="L245" s="15"/>
      <c r="M245" s="15"/>
      <c r="N245" s="15"/>
      <c r="O245" s="15"/>
      <c r="P245" s="15"/>
      <c r="Q245" s="15"/>
      <c r="R245" s="15"/>
    </row>
    <row r="246">
      <c r="A246" s="19" t="s">
        <v>88</v>
      </c>
      <c r="B246" s="230" t="s">
        <v>87</v>
      </c>
      <c r="C246" s="27" t="s">
        <v>36</v>
      </c>
      <c r="D246" s="30">
        <v>173453.0</v>
      </c>
      <c r="E246" s="30">
        <v>382.0</v>
      </c>
      <c r="F246" s="37">
        <f t="shared" si="24"/>
        <v>48520.27567</v>
      </c>
      <c r="G246" s="37">
        <f t="shared" si="34"/>
        <v>59194.73632</v>
      </c>
      <c r="H246" s="39">
        <v>59490.71</v>
      </c>
      <c r="I246" s="37">
        <f t="shared" si="35"/>
        <v>279.731545</v>
      </c>
      <c r="J246" s="41">
        <f t="shared" si="14"/>
        <v>127.0164285</v>
      </c>
      <c r="K246" s="42"/>
      <c r="L246" s="42"/>
      <c r="M246" s="42"/>
      <c r="N246" s="42"/>
      <c r="O246" s="42"/>
      <c r="P246" s="42"/>
      <c r="Q246" s="42"/>
      <c r="R246" s="42"/>
    </row>
    <row r="247">
      <c r="B247" s="228" t="s">
        <v>87</v>
      </c>
      <c r="C247" s="58" t="s">
        <v>38</v>
      </c>
      <c r="D247" s="59">
        <v>964424.0</v>
      </c>
      <c r="E247" s="59">
        <v>2261.0</v>
      </c>
      <c r="F247" s="60">
        <f t="shared" si="24"/>
        <v>183613.7346</v>
      </c>
      <c r="G247" s="60">
        <f t="shared" si="34"/>
        <v>224008.7562</v>
      </c>
      <c r="H247" s="62">
        <v>225128.80000000002</v>
      </c>
      <c r="I247" s="60">
        <f t="shared" si="35"/>
        <v>190.3869404</v>
      </c>
      <c r="J247" s="64">
        <f t="shared" si="14"/>
        <v>81.20908209</v>
      </c>
      <c r="K247" s="15"/>
      <c r="L247" s="15"/>
      <c r="M247" s="15"/>
      <c r="N247" s="15"/>
      <c r="O247" s="15"/>
      <c r="P247" s="15"/>
      <c r="Q247" s="15"/>
      <c r="R247" s="15"/>
    </row>
    <row r="248">
      <c r="A248" s="19" t="s">
        <v>23</v>
      </c>
      <c r="B248" s="230" t="s">
        <v>87</v>
      </c>
      <c r="C248" s="27" t="s">
        <v>36</v>
      </c>
      <c r="D248" s="30">
        <v>267242.0</v>
      </c>
      <c r="E248" s="30">
        <v>696.0</v>
      </c>
      <c r="F248" s="37">
        <f t="shared" si="24"/>
        <v>75709.99103</v>
      </c>
      <c r="G248" s="37">
        <f t="shared" si="34"/>
        <v>92366.18905</v>
      </c>
      <c r="H248" s="39">
        <v>92828.02</v>
      </c>
      <c r="I248" s="37">
        <f t="shared" si="35"/>
        <v>283.3012439</v>
      </c>
      <c r="J248" s="41">
        <f t="shared" si="14"/>
        <v>108.7787227</v>
      </c>
      <c r="K248" s="42"/>
      <c r="L248" s="42"/>
      <c r="M248" s="42"/>
      <c r="N248" s="42"/>
      <c r="O248" s="42"/>
      <c r="P248" s="42"/>
      <c r="Q248" s="42"/>
      <c r="R248" s="42"/>
    </row>
    <row r="249">
      <c r="B249" s="228" t="s">
        <v>87</v>
      </c>
      <c r="C249" s="58" t="s">
        <v>38</v>
      </c>
      <c r="D249" s="59">
        <v>835557.0</v>
      </c>
      <c r="E249" s="59">
        <v>934.0</v>
      </c>
      <c r="F249" s="60">
        <f t="shared" si="24"/>
        <v>107023.9622</v>
      </c>
      <c r="G249" s="60">
        <f t="shared" si="34"/>
        <v>130569.2338</v>
      </c>
      <c r="H249" s="62">
        <v>131222.08000000002</v>
      </c>
      <c r="I249" s="60">
        <f t="shared" si="35"/>
        <v>128.0869673</v>
      </c>
      <c r="J249" s="64">
        <f t="shared" si="14"/>
        <v>114.5866833</v>
      </c>
      <c r="K249" s="15"/>
      <c r="L249" s="15"/>
      <c r="M249" s="15"/>
      <c r="N249" s="15"/>
      <c r="O249" s="15"/>
      <c r="P249" s="15"/>
      <c r="Q249" s="15"/>
      <c r="R249" s="15"/>
    </row>
    <row r="250">
      <c r="A250" s="82" t="s">
        <v>40</v>
      </c>
      <c r="B250" s="230" t="s">
        <v>87</v>
      </c>
      <c r="C250" s="27" t="s">
        <v>36</v>
      </c>
      <c r="D250" s="30">
        <v>1160832.0</v>
      </c>
      <c r="E250" s="30">
        <v>1903.0</v>
      </c>
      <c r="F250" s="37">
        <f t="shared" si="24"/>
        <v>36533.14</v>
      </c>
      <c r="G250" s="37">
        <f t="shared" si="34"/>
        <v>44570.4308</v>
      </c>
      <c r="H250" s="39">
        <v>44793.28295399998</v>
      </c>
      <c r="I250" s="37">
        <f t="shared" si="35"/>
        <v>31.47151354</v>
      </c>
      <c r="J250" s="41">
        <f t="shared" si="14"/>
        <v>19.19765633</v>
      </c>
      <c r="K250" s="42"/>
      <c r="L250" s="42"/>
      <c r="M250" s="42"/>
      <c r="N250" s="42"/>
      <c r="O250" s="42"/>
      <c r="P250" s="42"/>
      <c r="Q250" s="42"/>
      <c r="R250" s="42"/>
    </row>
    <row r="251">
      <c r="B251" s="144" t="s">
        <v>87</v>
      </c>
      <c r="C251" s="45" t="s">
        <v>48</v>
      </c>
      <c r="D251" s="21">
        <v>710824.0</v>
      </c>
      <c r="E251" s="21">
        <v>1571.0</v>
      </c>
      <c r="F251" s="38">
        <f t="shared" si="24"/>
        <v>34415.84</v>
      </c>
      <c r="G251" s="38">
        <f t="shared" si="34"/>
        <v>41987.3248</v>
      </c>
      <c r="H251" s="44">
        <v>42197.261424</v>
      </c>
      <c r="I251" s="38">
        <f t="shared" si="35"/>
        <v>48.41682329</v>
      </c>
      <c r="J251" s="49">
        <f t="shared" si="14"/>
        <v>21.90696372</v>
      </c>
      <c r="K251" s="15"/>
      <c r="L251" s="15"/>
      <c r="M251" s="15"/>
      <c r="N251" s="15"/>
      <c r="O251" s="15"/>
      <c r="P251" s="15"/>
      <c r="Q251" s="15"/>
      <c r="R251" s="15"/>
    </row>
    <row r="252">
      <c r="A252" s="196"/>
      <c r="B252" s="228" t="s">
        <v>87</v>
      </c>
      <c r="C252" s="58" t="s">
        <v>52</v>
      </c>
      <c r="D252" s="59">
        <v>154839.0</v>
      </c>
      <c r="E252" s="59">
        <v>484.0</v>
      </c>
      <c r="F252" s="60">
        <f t="shared" si="24"/>
        <v>11008.91</v>
      </c>
      <c r="G252" s="60">
        <f t="shared" si="34"/>
        <v>13430.8702</v>
      </c>
      <c r="H252" s="62">
        <v>13498.024551</v>
      </c>
      <c r="I252" s="60">
        <f t="shared" si="35"/>
        <v>71.09907711</v>
      </c>
      <c r="J252" s="64">
        <f t="shared" si="14"/>
        <v>22.74568182</v>
      </c>
      <c r="K252" s="15"/>
      <c r="L252" s="15"/>
      <c r="M252" s="15"/>
      <c r="N252" s="15"/>
      <c r="O252" s="15"/>
      <c r="P252" s="15"/>
      <c r="Q252" s="15"/>
      <c r="R252" s="15"/>
    </row>
    <row r="253">
      <c r="A253" s="82" t="s">
        <v>39</v>
      </c>
      <c r="B253" s="230" t="s">
        <v>87</v>
      </c>
      <c r="C253" s="27" t="s">
        <v>36</v>
      </c>
      <c r="D253" s="30">
        <v>235215.0</v>
      </c>
      <c r="E253" s="30">
        <v>1902.0</v>
      </c>
      <c r="F253" s="37">
        <f t="shared" si="24"/>
        <v>31353.75</v>
      </c>
      <c r="G253" s="37">
        <f t="shared" si="34"/>
        <v>38251.575</v>
      </c>
      <c r="H253" s="39">
        <v>38442.83287499999</v>
      </c>
      <c r="I253" s="37">
        <f t="shared" si="35"/>
        <v>133.298259</v>
      </c>
      <c r="J253" s="41">
        <f t="shared" si="14"/>
        <v>16.48462145</v>
      </c>
      <c r="K253" s="42"/>
      <c r="L253" s="42"/>
      <c r="M253" s="42"/>
      <c r="N253" s="42"/>
      <c r="O253" s="42"/>
      <c r="P253" s="42"/>
      <c r="Q253" s="42"/>
      <c r="R253" s="42"/>
    </row>
    <row r="254">
      <c r="A254" s="17"/>
      <c r="B254" s="144" t="s">
        <v>87</v>
      </c>
      <c r="C254" s="45" t="s">
        <v>48</v>
      </c>
      <c r="D254" s="21">
        <v>251410.0</v>
      </c>
      <c r="E254" s="21">
        <v>4246.0</v>
      </c>
      <c r="F254" s="38">
        <f t="shared" si="24"/>
        <v>40225.6</v>
      </c>
      <c r="G254" s="38">
        <f t="shared" si="34"/>
        <v>49075.232</v>
      </c>
      <c r="H254" s="44">
        <v>49320.60815999999</v>
      </c>
      <c r="I254" s="38">
        <f t="shared" si="35"/>
        <v>160</v>
      </c>
      <c r="J254" s="49">
        <f t="shared" si="14"/>
        <v>9.473763542</v>
      </c>
      <c r="K254" s="15"/>
      <c r="L254" s="15"/>
      <c r="M254" s="15"/>
      <c r="N254" s="15"/>
      <c r="O254" s="15"/>
      <c r="P254" s="15"/>
      <c r="Q254" s="15"/>
      <c r="R254" s="15"/>
    </row>
    <row r="255">
      <c r="A255" s="196"/>
      <c r="B255" s="228" t="s">
        <v>87</v>
      </c>
      <c r="C255" s="58" t="s">
        <v>52</v>
      </c>
      <c r="D255" s="59">
        <v>177655.0</v>
      </c>
      <c r="E255" s="59">
        <v>2573.0</v>
      </c>
      <c r="F255" s="60">
        <f t="shared" si="24"/>
        <v>28424.8</v>
      </c>
      <c r="G255" s="60">
        <f t="shared" si="34"/>
        <v>34678.256</v>
      </c>
      <c r="H255" s="62">
        <v>34851.64728</v>
      </c>
      <c r="I255" s="60">
        <f t="shared" si="35"/>
        <v>160</v>
      </c>
      <c r="J255" s="64">
        <f t="shared" si="14"/>
        <v>11.04733774</v>
      </c>
      <c r="K255" s="15"/>
      <c r="L255" s="15"/>
      <c r="M255" s="15"/>
      <c r="N255" s="15"/>
      <c r="O255" s="15"/>
      <c r="P255" s="15"/>
      <c r="Q255" s="15"/>
      <c r="R255" s="15"/>
    </row>
    <row r="256">
      <c r="A256" s="19" t="s">
        <v>57</v>
      </c>
      <c r="B256" s="230" t="s">
        <v>87</v>
      </c>
      <c r="C256" s="27" t="s">
        <v>36</v>
      </c>
      <c r="D256" s="30">
        <v>134465.0</v>
      </c>
      <c r="E256" s="30">
        <v>2192.0</v>
      </c>
      <c r="F256" s="37">
        <f t="shared" si="24"/>
        <v>33449.00498</v>
      </c>
      <c r="G256" s="37">
        <f t="shared" si="34"/>
        <v>40807.78607</v>
      </c>
      <c r="H256" s="39">
        <v>41011.825</v>
      </c>
      <c r="I256" s="37">
        <f t="shared" si="35"/>
        <v>248.7562189</v>
      </c>
      <c r="J256" s="41">
        <f t="shared" si="14"/>
        <v>15.25958256</v>
      </c>
      <c r="K256" s="42"/>
      <c r="L256" s="42"/>
      <c r="M256" s="42"/>
      <c r="N256" s="42"/>
      <c r="O256" s="42"/>
      <c r="P256" s="42"/>
      <c r="Q256" s="42"/>
      <c r="R256" s="42"/>
    </row>
    <row r="257">
      <c r="A257" s="17"/>
      <c r="B257" s="144" t="s">
        <v>87</v>
      </c>
      <c r="C257" s="45" t="s">
        <v>48</v>
      </c>
      <c r="D257" s="21">
        <v>369231.0</v>
      </c>
      <c r="E257" s="21">
        <v>10032.0</v>
      </c>
      <c r="F257" s="38">
        <f t="shared" si="24"/>
        <v>91848.50746</v>
      </c>
      <c r="G257" s="38">
        <f t="shared" si="34"/>
        <v>112055.1791</v>
      </c>
      <c r="H257" s="44">
        <v>112615.455</v>
      </c>
      <c r="I257" s="38">
        <f t="shared" si="35"/>
        <v>248.7562189</v>
      </c>
      <c r="J257" s="49">
        <f t="shared" si="14"/>
        <v>9.155552977</v>
      </c>
      <c r="K257" s="15"/>
      <c r="L257" s="15"/>
      <c r="M257" s="15"/>
      <c r="N257" s="15"/>
      <c r="O257" s="15"/>
      <c r="P257" s="15"/>
      <c r="Q257" s="15"/>
      <c r="R257" s="15"/>
    </row>
    <row r="258">
      <c r="A258" s="196"/>
      <c r="B258" s="228" t="s">
        <v>87</v>
      </c>
      <c r="C258" s="58" t="s">
        <v>52</v>
      </c>
      <c r="D258" s="59">
        <v>96319.0</v>
      </c>
      <c r="E258" s="59">
        <v>2841.0</v>
      </c>
      <c r="F258" s="60">
        <f t="shared" si="24"/>
        <v>23959.95025</v>
      </c>
      <c r="G258" s="60">
        <f t="shared" si="34"/>
        <v>29231.1393</v>
      </c>
      <c r="H258" s="62">
        <v>29377.295</v>
      </c>
      <c r="I258" s="60">
        <f t="shared" si="35"/>
        <v>248.7562189</v>
      </c>
      <c r="J258" s="64">
        <f t="shared" si="14"/>
        <v>8.433632611</v>
      </c>
      <c r="K258" s="15"/>
      <c r="L258" s="15"/>
      <c r="M258" s="15"/>
      <c r="N258" s="15"/>
      <c r="O258" s="15"/>
      <c r="P258" s="15"/>
      <c r="Q258" s="15"/>
      <c r="R258" s="15"/>
    </row>
    <row r="259">
      <c r="A259" s="19" t="s">
        <v>72</v>
      </c>
      <c r="B259" s="230" t="s">
        <v>87</v>
      </c>
      <c r="C259" s="27" t="s">
        <v>36</v>
      </c>
      <c r="D259" s="30">
        <v>878454.0</v>
      </c>
      <c r="E259" s="30">
        <v>4854.0</v>
      </c>
      <c r="F259" s="37">
        <f t="shared" si="24"/>
        <v>96182.20374</v>
      </c>
      <c r="G259" s="37">
        <f t="shared" si="34"/>
        <v>117342.2886</v>
      </c>
      <c r="H259" s="39">
        <v>117929.0</v>
      </c>
      <c r="I259" s="37">
        <f t="shared" si="35"/>
        <v>109.4903134</v>
      </c>
      <c r="J259" s="41">
        <f t="shared" si="14"/>
        <v>19.81503991</v>
      </c>
      <c r="K259" s="42"/>
      <c r="L259" s="42"/>
      <c r="M259" s="42"/>
      <c r="N259" s="42"/>
      <c r="O259" s="42"/>
      <c r="P259" s="42"/>
      <c r="Q259" s="42"/>
      <c r="R259" s="42"/>
    </row>
    <row r="260">
      <c r="A260" s="17"/>
      <c r="B260" s="144" t="s">
        <v>87</v>
      </c>
      <c r="C260" s="45" t="s">
        <v>48</v>
      </c>
      <c r="D260" s="21">
        <v>2655003.0</v>
      </c>
      <c r="E260" s="21">
        <v>14828.0</v>
      </c>
      <c r="F260" s="38">
        <f t="shared" si="24"/>
        <v>214905.7989</v>
      </c>
      <c r="G260" s="38">
        <f t="shared" si="34"/>
        <v>262185.0746</v>
      </c>
      <c r="H260" s="44">
        <v>263496.0</v>
      </c>
      <c r="I260" s="38">
        <f t="shared" si="35"/>
        <v>80.94371226</v>
      </c>
      <c r="J260" s="49">
        <f t="shared" si="14"/>
        <v>14.49324244</v>
      </c>
      <c r="K260" s="15"/>
      <c r="L260" s="15"/>
      <c r="M260" s="15"/>
      <c r="N260" s="15"/>
      <c r="O260" s="15"/>
      <c r="P260" s="15"/>
      <c r="Q260" s="15"/>
      <c r="R260" s="15"/>
    </row>
    <row r="261">
      <c r="A261" s="196"/>
      <c r="B261" s="228" t="s">
        <v>87</v>
      </c>
      <c r="C261" s="58" t="s">
        <v>52</v>
      </c>
      <c r="D261" s="59">
        <v>1475782.0</v>
      </c>
      <c r="E261" s="59">
        <v>8389.0</v>
      </c>
      <c r="F261" s="60">
        <f t="shared" si="24"/>
        <v>92180.08319</v>
      </c>
      <c r="G261" s="60">
        <f t="shared" si="34"/>
        <v>112459.7015</v>
      </c>
      <c r="H261" s="62">
        <v>113022.0</v>
      </c>
      <c r="I261" s="60">
        <f t="shared" si="35"/>
        <v>62.46185628</v>
      </c>
      <c r="J261" s="64">
        <f t="shared" si="14"/>
        <v>10.98820875</v>
      </c>
      <c r="K261" s="15"/>
      <c r="L261" s="15"/>
      <c r="M261" s="15"/>
      <c r="N261" s="15"/>
      <c r="O261" s="15"/>
      <c r="P261" s="15"/>
      <c r="Q261" s="15"/>
      <c r="R261" s="15"/>
    </row>
    <row r="262">
      <c r="A262" s="110" t="s">
        <v>46</v>
      </c>
      <c r="B262" s="111"/>
      <c r="C262" s="112"/>
      <c r="D262" s="113">
        <f t="shared" ref="D262:E262" si="36">SUM(D244:D261)</f>
        <v>11801334</v>
      </c>
      <c r="E262" s="113">
        <f t="shared" si="36"/>
        <v>62890</v>
      </c>
      <c r="F262" s="114">
        <f t="shared" ref="F262:G262" si="37">SUM(F244:F247)</f>
        <v>615234.8503</v>
      </c>
      <c r="G262" s="114">
        <f t="shared" si="37"/>
        <v>750586.5174</v>
      </c>
      <c r="H262" s="115">
        <f>SUM(H244:H261)</f>
        <v>1878944.782</v>
      </c>
      <c r="I262" s="114">
        <f>F262/(D262/1000)</f>
        <v>52.132653</v>
      </c>
      <c r="J262" s="116">
        <f t="shared" si="14"/>
        <v>9.782713473</v>
      </c>
      <c r="K262" s="42"/>
      <c r="L262" s="42"/>
      <c r="M262" s="42"/>
      <c r="N262" s="42"/>
      <c r="O262" s="42"/>
      <c r="P262" s="42"/>
      <c r="Q262" s="42"/>
      <c r="R262" s="42"/>
    </row>
    <row r="263">
      <c r="A263" s="19" t="s">
        <v>23</v>
      </c>
      <c r="B263" s="24" t="s">
        <v>89</v>
      </c>
      <c r="C263" s="27" t="s">
        <v>28</v>
      </c>
      <c r="D263" s="30">
        <v>180782.0</v>
      </c>
      <c r="E263" s="30">
        <v>384.0</v>
      </c>
      <c r="F263" s="37">
        <f t="shared" ref="F263:F394" si="38">G263/1.22</f>
        <v>52681.80409</v>
      </c>
      <c r="G263" s="37">
        <f t="shared" ref="G263:G286" si="39">H263/1.005</f>
        <v>64271.801</v>
      </c>
      <c r="H263" s="39">
        <v>64593.16</v>
      </c>
      <c r="I263" s="37">
        <f t="shared" ref="I263:I286" si="40">F263/D263*1000</f>
        <v>291.4106719</v>
      </c>
      <c r="J263" s="41">
        <f t="shared" si="14"/>
        <v>137.1921982</v>
      </c>
      <c r="K263" s="42"/>
      <c r="L263" s="42"/>
      <c r="M263" s="42"/>
      <c r="N263" s="42"/>
      <c r="O263" s="42"/>
      <c r="P263" s="42"/>
      <c r="Q263" s="42"/>
      <c r="R263" s="42"/>
    </row>
    <row r="264">
      <c r="B264" s="18" t="s">
        <v>89</v>
      </c>
      <c r="C264" s="45" t="s">
        <v>34</v>
      </c>
      <c r="D264" s="21">
        <v>168349.0</v>
      </c>
      <c r="E264" s="21">
        <v>402.0</v>
      </c>
      <c r="F264" s="38">
        <f t="shared" si="38"/>
        <v>52277.80768</v>
      </c>
      <c r="G264" s="38">
        <f t="shared" si="39"/>
        <v>63778.92537</v>
      </c>
      <c r="H264" s="44">
        <v>64097.81999999999</v>
      </c>
      <c r="I264" s="38">
        <f t="shared" si="40"/>
        <v>310.5323327</v>
      </c>
      <c r="J264" s="49">
        <f t="shared" si="14"/>
        <v>130.0442977</v>
      </c>
      <c r="K264" s="15"/>
      <c r="L264" s="15"/>
      <c r="M264" s="15"/>
      <c r="N264" s="15"/>
      <c r="O264" s="15"/>
      <c r="P264" s="15"/>
      <c r="Q264" s="15"/>
      <c r="R264" s="15"/>
    </row>
    <row r="265">
      <c r="B265" s="18" t="s">
        <v>89</v>
      </c>
      <c r="C265" s="45" t="s">
        <v>36</v>
      </c>
      <c r="D265" s="21">
        <v>190783.0</v>
      </c>
      <c r="E265" s="21">
        <v>410.0</v>
      </c>
      <c r="F265" s="38">
        <f t="shared" si="38"/>
        <v>60971.5113</v>
      </c>
      <c r="G265" s="38">
        <f t="shared" si="39"/>
        <v>74385.24378</v>
      </c>
      <c r="H265" s="44">
        <v>74757.17000000001</v>
      </c>
      <c r="I265" s="38">
        <f t="shared" si="40"/>
        <v>319.5856617</v>
      </c>
      <c r="J265" s="49">
        <f t="shared" si="14"/>
        <v>148.7110032</v>
      </c>
      <c r="K265" s="15"/>
      <c r="L265" s="15"/>
      <c r="M265" s="15"/>
      <c r="N265" s="15"/>
      <c r="O265" s="15"/>
      <c r="P265" s="15"/>
      <c r="Q265" s="15"/>
      <c r="R265" s="15"/>
    </row>
    <row r="266">
      <c r="B266" s="56" t="s">
        <v>89</v>
      </c>
      <c r="C266" s="58" t="s">
        <v>38</v>
      </c>
      <c r="D266" s="59">
        <v>233928.0</v>
      </c>
      <c r="E266" s="59">
        <v>500.0</v>
      </c>
      <c r="F266" s="60">
        <f t="shared" si="38"/>
        <v>76919.06859</v>
      </c>
      <c r="G266" s="60">
        <f t="shared" si="39"/>
        <v>93841.26368</v>
      </c>
      <c r="H266" s="62">
        <v>94310.47</v>
      </c>
      <c r="I266" s="60">
        <f t="shared" si="40"/>
        <v>328.8151422</v>
      </c>
      <c r="J266" s="64">
        <f t="shared" si="14"/>
        <v>153.8381372</v>
      </c>
      <c r="K266" s="15"/>
      <c r="L266" s="15"/>
      <c r="M266" s="15"/>
      <c r="N266" s="15"/>
      <c r="O266" s="15"/>
      <c r="P266" s="15"/>
      <c r="Q266" s="15"/>
      <c r="R266" s="15"/>
    </row>
    <row r="267">
      <c r="A267" s="82" t="s">
        <v>40</v>
      </c>
      <c r="B267" s="24" t="s">
        <v>89</v>
      </c>
      <c r="C267" s="27" t="s">
        <v>28</v>
      </c>
      <c r="D267" s="30">
        <v>909761.0</v>
      </c>
      <c r="E267" s="30">
        <v>1589.0</v>
      </c>
      <c r="F267" s="37">
        <f t="shared" si="38"/>
        <v>29685.9</v>
      </c>
      <c r="G267" s="37">
        <f t="shared" si="39"/>
        <v>36216.798</v>
      </c>
      <c r="H267" s="39">
        <v>36397.88198999998</v>
      </c>
      <c r="I267" s="37">
        <f t="shared" si="40"/>
        <v>32.6304381</v>
      </c>
      <c r="J267" s="41">
        <f t="shared" si="14"/>
        <v>18.68212712</v>
      </c>
      <c r="K267" s="42"/>
      <c r="L267" s="42"/>
      <c r="M267" s="42"/>
      <c r="N267" s="42"/>
      <c r="O267" s="42"/>
      <c r="P267" s="42"/>
      <c r="Q267" s="42"/>
      <c r="R267" s="42"/>
    </row>
    <row r="268">
      <c r="B268" s="18" t="s">
        <v>89</v>
      </c>
      <c r="C268" s="45" t="s">
        <v>34</v>
      </c>
      <c r="D268" s="21">
        <v>772195.0</v>
      </c>
      <c r="E268" s="21">
        <v>1089.0</v>
      </c>
      <c r="F268" s="38">
        <f t="shared" si="38"/>
        <v>30513.94</v>
      </c>
      <c r="G268" s="38">
        <f t="shared" si="39"/>
        <v>37227.0068</v>
      </c>
      <c r="H268" s="44">
        <v>37413.141833999995</v>
      </c>
      <c r="I268" s="38">
        <f t="shared" si="40"/>
        <v>39.51584768</v>
      </c>
      <c r="J268" s="49">
        <f t="shared" si="14"/>
        <v>28.02014692</v>
      </c>
      <c r="K268" s="15"/>
      <c r="L268" s="15"/>
      <c r="M268" s="15"/>
      <c r="N268" s="15"/>
      <c r="O268" s="15"/>
      <c r="P268" s="15"/>
      <c r="Q268" s="15"/>
      <c r="R268" s="15"/>
    </row>
    <row r="269">
      <c r="B269" s="18" t="s">
        <v>89</v>
      </c>
      <c r="C269" s="45" t="s">
        <v>36</v>
      </c>
      <c r="D269" s="21">
        <v>536756.0</v>
      </c>
      <c r="E269" s="21">
        <v>793.0</v>
      </c>
      <c r="F269" s="38">
        <f t="shared" si="38"/>
        <v>30619.43</v>
      </c>
      <c r="G269" s="38">
        <f t="shared" si="39"/>
        <v>37355.7046</v>
      </c>
      <c r="H269" s="44">
        <v>37542.483123000005</v>
      </c>
      <c r="I269" s="38">
        <f t="shared" si="40"/>
        <v>57.04534276</v>
      </c>
      <c r="J269" s="49">
        <f t="shared" si="14"/>
        <v>38.61214376</v>
      </c>
      <c r="K269" s="15"/>
      <c r="L269" s="15"/>
      <c r="M269" s="15"/>
      <c r="N269" s="15"/>
      <c r="O269" s="15"/>
      <c r="P269" s="15"/>
      <c r="Q269" s="15"/>
      <c r="R269" s="15"/>
    </row>
    <row r="270">
      <c r="B270" s="18" t="s">
        <v>89</v>
      </c>
      <c r="C270" s="45" t="s">
        <v>48</v>
      </c>
      <c r="D270" s="21">
        <v>402909.0</v>
      </c>
      <c r="E270" s="21">
        <v>839.0</v>
      </c>
      <c r="F270" s="38">
        <f t="shared" si="38"/>
        <v>33013.13</v>
      </c>
      <c r="G270" s="38">
        <f t="shared" si="39"/>
        <v>40276.0186</v>
      </c>
      <c r="H270" s="44">
        <v>40477.398692999996</v>
      </c>
      <c r="I270" s="38">
        <f t="shared" si="40"/>
        <v>81.93693861</v>
      </c>
      <c r="J270" s="49">
        <f t="shared" si="14"/>
        <v>39.34818832</v>
      </c>
      <c r="K270" s="15"/>
      <c r="L270" s="15"/>
      <c r="M270" s="15"/>
      <c r="N270" s="15"/>
      <c r="O270" s="15"/>
      <c r="P270" s="15"/>
      <c r="Q270" s="15"/>
      <c r="R270" s="15"/>
    </row>
    <row r="271">
      <c r="A271" s="196"/>
      <c r="B271" s="56" t="s">
        <v>89</v>
      </c>
      <c r="C271" s="58" t="s">
        <v>52</v>
      </c>
      <c r="D271" s="59">
        <v>116120.0</v>
      </c>
      <c r="E271" s="59">
        <v>234.0</v>
      </c>
      <c r="F271" s="60">
        <f t="shared" si="38"/>
        <v>8693.86</v>
      </c>
      <c r="G271" s="60">
        <f t="shared" si="39"/>
        <v>10606.5092</v>
      </c>
      <c r="H271" s="62">
        <v>10659.541745999997</v>
      </c>
      <c r="I271" s="60">
        <f t="shared" si="40"/>
        <v>74.86961764</v>
      </c>
      <c r="J271" s="64">
        <f t="shared" si="14"/>
        <v>37.15324786</v>
      </c>
      <c r="K271" s="15"/>
      <c r="L271" s="15"/>
      <c r="M271" s="15"/>
      <c r="N271" s="15"/>
      <c r="O271" s="15"/>
      <c r="P271" s="15"/>
      <c r="Q271" s="15"/>
      <c r="R271" s="15"/>
    </row>
    <row r="272">
      <c r="A272" s="19" t="s">
        <v>58</v>
      </c>
      <c r="B272" s="24" t="s">
        <v>89</v>
      </c>
      <c r="C272" s="27" t="s">
        <v>28</v>
      </c>
      <c r="D272" s="30">
        <v>794028.0</v>
      </c>
      <c r="E272" s="30">
        <v>927.0</v>
      </c>
      <c r="F272" s="37">
        <f t="shared" si="38"/>
        <v>131014.62</v>
      </c>
      <c r="G272" s="37">
        <f t="shared" si="39"/>
        <v>159837.8364</v>
      </c>
      <c r="H272" s="39">
        <v>160637.02558199997</v>
      </c>
      <c r="I272" s="37">
        <f t="shared" si="40"/>
        <v>165</v>
      </c>
      <c r="J272" s="41">
        <f t="shared" si="14"/>
        <v>141.3318447</v>
      </c>
      <c r="K272" s="42"/>
      <c r="L272" s="42"/>
      <c r="M272" s="42"/>
      <c r="N272" s="42"/>
      <c r="O272" s="42"/>
      <c r="P272" s="42"/>
      <c r="Q272" s="42"/>
      <c r="R272" s="42"/>
    </row>
    <row r="273">
      <c r="B273" s="18" t="s">
        <v>89</v>
      </c>
      <c r="C273" s="45" t="s">
        <v>34</v>
      </c>
      <c r="D273" s="21">
        <v>850084.0</v>
      </c>
      <c r="E273" s="21">
        <v>1171.0</v>
      </c>
      <c r="F273" s="38">
        <f t="shared" si="38"/>
        <v>140263.86</v>
      </c>
      <c r="G273" s="38">
        <f t="shared" si="39"/>
        <v>171121.9092</v>
      </c>
      <c r="H273" s="44">
        <v>171977.51874599996</v>
      </c>
      <c r="I273" s="38">
        <f t="shared" si="40"/>
        <v>165</v>
      </c>
      <c r="J273" s="49">
        <f t="shared" si="14"/>
        <v>119.7812639</v>
      </c>
      <c r="K273" s="15"/>
      <c r="L273" s="15"/>
      <c r="M273" s="15"/>
      <c r="N273" s="15"/>
      <c r="O273" s="15"/>
      <c r="P273" s="15"/>
      <c r="Q273" s="15"/>
      <c r="R273" s="15"/>
    </row>
    <row r="274">
      <c r="B274" s="18" t="s">
        <v>89</v>
      </c>
      <c r="C274" s="45" t="s">
        <v>36</v>
      </c>
      <c r="D274" s="21">
        <v>830700.0</v>
      </c>
      <c r="E274" s="21">
        <v>1250.0</v>
      </c>
      <c r="F274" s="38">
        <f t="shared" si="38"/>
        <v>137065.5</v>
      </c>
      <c r="G274" s="38">
        <f t="shared" si="39"/>
        <v>167219.91</v>
      </c>
      <c r="H274" s="44">
        <v>168056.00955</v>
      </c>
      <c r="I274" s="38">
        <f t="shared" si="40"/>
        <v>165</v>
      </c>
      <c r="J274" s="49">
        <f t="shared" si="14"/>
        <v>109.6524</v>
      </c>
      <c r="K274" s="15"/>
      <c r="L274" s="15"/>
      <c r="M274" s="15"/>
      <c r="N274" s="15"/>
      <c r="O274" s="15"/>
      <c r="P274" s="15"/>
      <c r="Q274" s="15"/>
      <c r="R274" s="15"/>
    </row>
    <row r="275">
      <c r="A275" s="17"/>
      <c r="B275" s="18" t="s">
        <v>89</v>
      </c>
      <c r="C275" s="45" t="s">
        <v>48</v>
      </c>
      <c r="D275" s="21">
        <v>789943.0</v>
      </c>
      <c r="E275" s="21">
        <v>1189.0</v>
      </c>
      <c r="F275" s="38">
        <f t="shared" si="38"/>
        <v>133864.5</v>
      </c>
      <c r="G275" s="38">
        <f t="shared" si="39"/>
        <v>163314.69</v>
      </c>
      <c r="H275" s="44">
        <v>164131.26345000003</v>
      </c>
      <c r="I275" s="38">
        <f t="shared" si="40"/>
        <v>169.4609611</v>
      </c>
      <c r="J275" s="49">
        <f t="shared" si="14"/>
        <v>112.5857864</v>
      </c>
      <c r="K275" s="15"/>
      <c r="L275" s="15"/>
      <c r="M275" s="15"/>
      <c r="N275" s="15"/>
      <c r="O275" s="15"/>
      <c r="P275" s="15"/>
      <c r="Q275" s="15"/>
      <c r="R275" s="15"/>
    </row>
    <row r="276">
      <c r="A276" s="196"/>
      <c r="B276" s="56" t="s">
        <v>89</v>
      </c>
      <c r="C276" s="58" t="s">
        <v>52</v>
      </c>
      <c r="D276" s="59">
        <v>212323.0</v>
      </c>
      <c r="E276" s="59">
        <v>303.0</v>
      </c>
      <c r="F276" s="60">
        <f t="shared" si="38"/>
        <v>31474</v>
      </c>
      <c r="G276" s="60">
        <f t="shared" si="39"/>
        <v>38398.28</v>
      </c>
      <c r="H276" s="62">
        <v>38590.2714</v>
      </c>
      <c r="I276" s="60">
        <f t="shared" si="40"/>
        <v>148.2364134</v>
      </c>
      <c r="J276" s="64">
        <f t="shared" si="14"/>
        <v>103.8745875</v>
      </c>
      <c r="K276" s="15"/>
      <c r="L276" s="15"/>
      <c r="M276" s="15"/>
      <c r="N276" s="15"/>
      <c r="O276" s="15"/>
      <c r="P276" s="15"/>
      <c r="Q276" s="15"/>
      <c r="R276" s="15"/>
    </row>
    <row r="277">
      <c r="A277" s="19" t="s">
        <v>76</v>
      </c>
      <c r="B277" s="24" t="s">
        <v>89</v>
      </c>
      <c r="C277" s="27" t="s">
        <v>28</v>
      </c>
      <c r="D277" s="30">
        <v>494343.0</v>
      </c>
      <c r="E277" s="30">
        <v>6013.0</v>
      </c>
      <c r="F277" s="37">
        <f t="shared" si="38"/>
        <v>61298.5</v>
      </c>
      <c r="G277" s="37">
        <f t="shared" si="39"/>
        <v>74784.17</v>
      </c>
      <c r="H277" s="39">
        <v>75158.09085</v>
      </c>
      <c r="I277" s="37">
        <f t="shared" si="40"/>
        <v>123.9999353</v>
      </c>
      <c r="J277" s="41">
        <f t="shared" si="14"/>
        <v>10.19432895</v>
      </c>
      <c r="K277" s="42"/>
      <c r="L277" s="42"/>
      <c r="M277" s="42"/>
      <c r="N277" s="42"/>
      <c r="O277" s="42"/>
      <c r="P277" s="42"/>
      <c r="Q277" s="42"/>
      <c r="R277" s="42"/>
    </row>
    <row r="278">
      <c r="B278" s="18" t="s">
        <v>89</v>
      </c>
      <c r="C278" s="45" t="s">
        <v>34</v>
      </c>
      <c r="D278" s="21">
        <v>595266.0</v>
      </c>
      <c r="E278" s="21">
        <v>9221.0</v>
      </c>
      <c r="F278" s="38">
        <f t="shared" si="38"/>
        <v>73813</v>
      </c>
      <c r="G278" s="38">
        <f t="shared" si="39"/>
        <v>90051.86</v>
      </c>
      <c r="H278" s="44">
        <v>90502.11929999999</v>
      </c>
      <c r="I278" s="38">
        <f t="shared" si="40"/>
        <v>124.0000269</v>
      </c>
      <c r="J278" s="49">
        <f t="shared" si="14"/>
        <v>8.004880165</v>
      </c>
      <c r="K278" s="15"/>
      <c r="L278" s="15"/>
      <c r="M278" s="15"/>
      <c r="N278" s="15"/>
      <c r="O278" s="15"/>
      <c r="P278" s="15"/>
      <c r="Q278" s="15"/>
      <c r="R278" s="15"/>
    </row>
    <row r="279">
      <c r="A279" s="17"/>
      <c r="B279" s="18" t="s">
        <v>89</v>
      </c>
      <c r="C279" s="45" t="s">
        <v>36</v>
      </c>
      <c r="D279" s="21">
        <v>1209331.0</v>
      </c>
      <c r="E279" s="21">
        <v>16650.0</v>
      </c>
      <c r="F279" s="38">
        <f t="shared" si="38"/>
        <v>149957</v>
      </c>
      <c r="G279" s="38">
        <f t="shared" si="39"/>
        <v>182947.54</v>
      </c>
      <c r="H279" s="44">
        <v>183862.27769999998</v>
      </c>
      <c r="I279" s="38">
        <f t="shared" si="40"/>
        <v>123.9999636</v>
      </c>
      <c r="J279" s="49">
        <f t="shared" si="14"/>
        <v>9.006426426</v>
      </c>
      <c r="K279" s="15"/>
      <c r="L279" s="15"/>
      <c r="M279" s="15"/>
      <c r="N279" s="15"/>
      <c r="O279" s="15"/>
      <c r="P279" s="15"/>
      <c r="Q279" s="15"/>
      <c r="R279" s="15"/>
    </row>
    <row r="280">
      <c r="A280" s="17"/>
      <c r="B280" s="18" t="s">
        <v>89</v>
      </c>
      <c r="C280" s="45" t="s">
        <v>48</v>
      </c>
      <c r="D280" s="21">
        <v>1444861.0</v>
      </c>
      <c r="E280" s="21">
        <v>21237.0</v>
      </c>
      <c r="F280" s="38">
        <f t="shared" si="38"/>
        <v>179162.764</v>
      </c>
      <c r="G280" s="38">
        <f t="shared" si="39"/>
        <v>218578.5721</v>
      </c>
      <c r="H280" s="44">
        <v>219671.46494039995</v>
      </c>
      <c r="I280" s="38">
        <f t="shared" si="40"/>
        <v>124</v>
      </c>
      <c r="J280" s="49">
        <f t="shared" si="14"/>
        <v>8.436349955</v>
      </c>
      <c r="K280" s="15"/>
      <c r="L280" s="15"/>
      <c r="M280" s="15"/>
      <c r="N280" s="15"/>
      <c r="O280" s="15"/>
      <c r="P280" s="15"/>
      <c r="Q280" s="15"/>
      <c r="R280" s="15"/>
    </row>
    <row r="281">
      <c r="A281" s="196"/>
      <c r="B281" s="56" t="s">
        <v>89</v>
      </c>
      <c r="C281" s="58" t="s">
        <v>52</v>
      </c>
      <c r="D281" s="59">
        <v>289550.0</v>
      </c>
      <c r="E281" s="59">
        <v>3756.0</v>
      </c>
      <c r="F281" s="60">
        <f t="shared" si="38"/>
        <v>29200</v>
      </c>
      <c r="G281" s="60">
        <f t="shared" si="39"/>
        <v>35624</v>
      </c>
      <c r="H281" s="62">
        <v>35802.119999999995</v>
      </c>
      <c r="I281" s="60">
        <f t="shared" si="40"/>
        <v>100.8461406</v>
      </c>
      <c r="J281" s="64">
        <f t="shared" si="14"/>
        <v>7.774227902</v>
      </c>
      <c r="K281" s="15"/>
      <c r="L281" s="15"/>
      <c r="M281" s="15"/>
      <c r="N281" s="15"/>
      <c r="O281" s="15"/>
      <c r="P281" s="15"/>
      <c r="Q281" s="15"/>
      <c r="R281" s="15"/>
    </row>
    <row r="282">
      <c r="A282" s="19" t="s">
        <v>41</v>
      </c>
      <c r="B282" s="24" t="s">
        <v>89</v>
      </c>
      <c r="C282" s="27" t="s">
        <v>28</v>
      </c>
      <c r="D282" s="30">
        <v>614398.0</v>
      </c>
      <c r="E282" s="30">
        <v>665.0</v>
      </c>
      <c r="F282" s="37">
        <f t="shared" si="38"/>
        <v>78923.52</v>
      </c>
      <c r="G282" s="37">
        <f t="shared" si="39"/>
        <v>96286.6944</v>
      </c>
      <c r="H282" s="39">
        <v>96768.12787200001</v>
      </c>
      <c r="I282" s="37">
        <f t="shared" si="40"/>
        <v>128.4566682</v>
      </c>
      <c r="J282" s="41">
        <f t="shared" si="14"/>
        <v>118.681985</v>
      </c>
      <c r="K282" s="42"/>
      <c r="L282" s="42"/>
      <c r="M282" s="42"/>
      <c r="N282" s="42"/>
      <c r="O282" s="42"/>
      <c r="P282" s="42"/>
      <c r="Q282" s="42"/>
      <c r="R282" s="42"/>
    </row>
    <row r="283">
      <c r="A283" s="17"/>
      <c r="B283" s="18" t="s">
        <v>89</v>
      </c>
      <c r="C283" s="45" t="s">
        <v>34</v>
      </c>
      <c r="D283" s="21">
        <v>564559.0</v>
      </c>
      <c r="E283" s="21">
        <v>616.0</v>
      </c>
      <c r="F283" s="38">
        <f t="shared" si="38"/>
        <v>83018.36</v>
      </c>
      <c r="G283" s="38">
        <f t="shared" si="39"/>
        <v>101282.3992</v>
      </c>
      <c r="H283" s="44">
        <v>101788.811196</v>
      </c>
      <c r="I283" s="38">
        <f t="shared" si="40"/>
        <v>147.0499275</v>
      </c>
      <c r="J283" s="49">
        <f t="shared" si="14"/>
        <v>134.7700649</v>
      </c>
      <c r="K283" s="15"/>
      <c r="L283" s="15"/>
      <c r="M283" s="15"/>
      <c r="N283" s="15"/>
      <c r="O283" s="15"/>
      <c r="P283" s="15"/>
      <c r="Q283" s="15"/>
      <c r="R283" s="15"/>
    </row>
    <row r="284">
      <c r="A284" s="17"/>
      <c r="B284" s="18" t="s">
        <v>89</v>
      </c>
      <c r="C284" s="45" t="s">
        <v>36</v>
      </c>
      <c r="D284" s="21">
        <v>330825.0</v>
      </c>
      <c r="E284" s="21">
        <v>505.0</v>
      </c>
      <c r="F284" s="38">
        <f t="shared" si="38"/>
        <v>71823.3</v>
      </c>
      <c r="G284" s="38">
        <f t="shared" si="39"/>
        <v>87624.426</v>
      </c>
      <c r="H284" s="44">
        <v>88062.54813000001</v>
      </c>
      <c r="I284" s="38">
        <f t="shared" si="40"/>
        <v>217.1036046</v>
      </c>
      <c r="J284" s="49">
        <f t="shared" si="14"/>
        <v>142.2243564</v>
      </c>
      <c r="K284" s="15"/>
      <c r="L284" s="15"/>
      <c r="M284" s="15"/>
      <c r="N284" s="15"/>
      <c r="O284" s="15"/>
      <c r="P284" s="15"/>
      <c r="Q284" s="15"/>
      <c r="R284" s="15"/>
    </row>
    <row r="285">
      <c r="A285" s="17"/>
      <c r="B285" s="18" t="s">
        <v>89</v>
      </c>
      <c r="C285" s="45" t="s">
        <v>48</v>
      </c>
      <c r="D285" s="21">
        <v>232856.0</v>
      </c>
      <c r="E285" s="21">
        <v>717.0</v>
      </c>
      <c r="F285" s="38">
        <f t="shared" si="38"/>
        <v>70802.3</v>
      </c>
      <c r="G285" s="38">
        <f t="shared" si="39"/>
        <v>86378.806</v>
      </c>
      <c r="H285" s="44">
        <v>86810.70003000002</v>
      </c>
      <c r="I285" s="38">
        <f t="shared" si="40"/>
        <v>304.0604494</v>
      </c>
      <c r="J285" s="49">
        <f t="shared" si="14"/>
        <v>98.74797768</v>
      </c>
      <c r="K285" s="15"/>
      <c r="L285" s="15"/>
      <c r="M285" s="15"/>
      <c r="N285" s="15"/>
      <c r="O285" s="15"/>
      <c r="P285" s="15"/>
      <c r="Q285" s="15"/>
      <c r="R285" s="15"/>
    </row>
    <row r="286">
      <c r="A286" s="196"/>
      <c r="B286" s="56" t="s">
        <v>89</v>
      </c>
      <c r="C286" s="58" t="s">
        <v>52</v>
      </c>
      <c r="D286" s="59">
        <v>69578.0</v>
      </c>
      <c r="E286" s="59">
        <v>237.0</v>
      </c>
      <c r="F286" s="60">
        <f t="shared" si="38"/>
        <v>25428.21</v>
      </c>
      <c r="G286" s="60">
        <f t="shared" si="39"/>
        <v>31022.4162</v>
      </c>
      <c r="H286" s="62">
        <v>31177.528280999995</v>
      </c>
      <c r="I286" s="60">
        <f t="shared" si="40"/>
        <v>365.4633649</v>
      </c>
      <c r="J286" s="64">
        <f t="shared" si="14"/>
        <v>107.2920253</v>
      </c>
      <c r="K286" s="15"/>
      <c r="L286" s="15"/>
      <c r="M286" s="15"/>
      <c r="N286" s="15"/>
      <c r="O286" s="15"/>
      <c r="P286" s="15"/>
      <c r="Q286" s="15"/>
      <c r="R286" s="15"/>
    </row>
    <row r="287">
      <c r="A287" s="215" t="s">
        <v>46</v>
      </c>
      <c r="B287" s="209"/>
      <c r="C287" s="216"/>
      <c r="D287" s="30">
        <f t="shared" ref="D287:E287" si="41">SUM(D263:D286)</f>
        <v>12834228</v>
      </c>
      <c r="E287" s="30">
        <f t="shared" si="41"/>
        <v>70697</v>
      </c>
      <c r="F287" s="212">
        <f t="shared" si="38"/>
        <v>242850.1917</v>
      </c>
      <c r="G287" s="249">
        <f>SUM(G263:G266)</f>
        <v>296277.2338</v>
      </c>
      <c r="H287" s="39">
        <f>SUM(H263:H286)</f>
        <v>2173244.944</v>
      </c>
      <c r="I287" s="212">
        <f>F287/(D287/1000)</f>
        <v>18.92207242</v>
      </c>
      <c r="J287" s="213">
        <f t="shared" si="14"/>
        <v>3.435084822</v>
      </c>
      <c r="K287" s="42"/>
      <c r="L287" s="42"/>
      <c r="M287" s="42"/>
      <c r="N287" s="42"/>
      <c r="O287" s="42"/>
      <c r="P287" s="42"/>
      <c r="Q287" s="42"/>
      <c r="R287" s="42"/>
    </row>
    <row r="288">
      <c r="A288" s="17" t="s">
        <v>78</v>
      </c>
      <c r="B288" s="18" t="s">
        <v>90</v>
      </c>
      <c r="C288" s="45" t="s">
        <v>28</v>
      </c>
      <c r="D288" s="21">
        <v>888815.0</v>
      </c>
      <c r="E288" s="21">
        <v>1664.0</v>
      </c>
      <c r="F288" s="38">
        <f t="shared" si="38"/>
        <v>54312.96</v>
      </c>
      <c r="G288" s="38">
        <f t="shared" ref="G288:G296" si="42">H288/1.005</f>
        <v>66261.8112</v>
      </c>
      <c r="H288" s="44">
        <v>66593.120256</v>
      </c>
      <c r="I288" s="38">
        <f t="shared" ref="I288:I296" si="43">F288/D288*1000</f>
        <v>61.10715953</v>
      </c>
      <c r="J288" s="49">
        <f t="shared" si="14"/>
        <v>32.64</v>
      </c>
      <c r="K288" s="15"/>
      <c r="L288" s="15"/>
      <c r="M288" s="15"/>
      <c r="N288" s="15"/>
      <c r="O288" s="15"/>
      <c r="P288" s="15"/>
      <c r="Q288" s="15"/>
      <c r="R288" s="15"/>
    </row>
    <row r="289">
      <c r="B289" s="18" t="s">
        <v>90</v>
      </c>
      <c r="C289" s="45" t="s">
        <v>34</v>
      </c>
      <c r="D289" s="21">
        <v>1028032.0</v>
      </c>
      <c r="E289" s="21">
        <v>1563.0</v>
      </c>
      <c r="F289" s="38">
        <f t="shared" si="38"/>
        <v>51016.32</v>
      </c>
      <c r="G289" s="38">
        <f t="shared" si="42"/>
        <v>62239.9104</v>
      </c>
      <c r="H289" s="44">
        <v>62551.10995199999</v>
      </c>
      <c r="I289" s="38">
        <f t="shared" si="43"/>
        <v>49.62522567</v>
      </c>
      <c r="J289" s="49">
        <f t="shared" si="14"/>
        <v>32.64</v>
      </c>
      <c r="K289" s="15"/>
      <c r="L289" s="15"/>
      <c r="M289" s="15"/>
      <c r="N289" s="15"/>
      <c r="O289" s="15"/>
      <c r="P289" s="15"/>
      <c r="Q289" s="15"/>
      <c r="R289" s="15"/>
    </row>
    <row r="290">
      <c r="A290" s="17"/>
      <c r="B290" s="18" t="s">
        <v>90</v>
      </c>
      <c r="C290" s="45" t="s">
        <v>36</v>
      </c>
      <c r="D290" s="21">
        <v>787267.0</v>
      </c>
      <c r="E290" s="21">
        <v>1831.0</v>
      </c>
      <c r="F290" s="38">
        <f t="shared" si="38"/>
        <v>59763.84</v>
      </c>
      <c r="G290" s="38">
        <f t="shared" si="42"/>
        <v>72911.8848</v>
      </c>
      <c r="H290" s="44">
        <v>73276.444224</v>
      </c>
      <c r="I290" s="38">
        <f t="shared" si="43"/>
        <v>75.9130511</v>
      </c>
      <c r="J290" s="49">
        <f t="shared" si="14"/>
        <v>32.64</v>
      </c>
      <c r="K290" s="15"/>
      <c r="L290" s="15"/>
      <c r="M290" s="15"/>
      <c r="N290" s="15"/>
      <c r="O290" s="15"/>
      <c r="P290" s="15"/>
      <c r="Q290" s="15"/>
      <c r="R290" s="15"/>
    </row>
    <row r="291">
      <c r="A291" s="17"/>
      <c r="B291" s="18" t="s">
        <v>90</v>
      </c>
      <c r="C291" s="45" t="s">
        <v>48</v>
      </c>
      <c r="D291" s="21">
        <v>573804.0</v>
      </c>
      <c r="E291" s="21">
        <v>1673.0</v>
      </c>
      <c r="F291" s="38">
        <f t="shared" si="38"/>
        <v>54606.72</v>
      </c>
      <c r="G291" s="38">
        <f t="shared" si="42"/>
        <v>66620.1984</v>
      </c>
      <c r="H291" s="44">
        <v>66953.29939199999</v>
      </c>
      <c r="I291" s="38">
        <f t="shared" si="43"/>
        <v>95.1661543</v>
      </c>
      <c r="J291" s="49">
        <f t="shared" si="14"/>
        <v>32.64</v>
      </c>
      <c r="K291" s="15"/>
      <c r="L291" s="15"/>
      <c r="M291" s="15"/>
      <c r="N291" s="15"/>
      <c r="O291" s="15"/>
      <c r="P291" s="15"/>
      <c r="Q291" s="15"/>
      <c r="R291" s="15"/>
    </row>
    <row r="292">
      <c r="A292" s="196"/>
      <c r="B292" s="56" t="s">
        <v>90</v>
      </c>
      <c r="C292" s="58" t="s">
        <v>52</v>
      </c>
      <c r="D292" s="59">
        <v>175733.0</v>
      </c>
      <c r="E292" s="59">
        <v>467.0</v>
      </c>
      <c r="F292" s="60">
        <f t="shared" si="38"/>
        <v>8190</v>
      </c>
      <c r="G292" s="60">
        <f t="shared" si="42"/>
        <v>9991.8</v>
      </c>
      <c r="H292" s="62">
        <v>10041.758999999998</v>
      </c>
      <c r="I292" s="60">
        <f t="shared" si="43"/>
        <v>46.6047925</v>
      </c>
      <c r="J292" s="64">
        <f t="shared" si="14"/>
        <v>17.53747323</v>
      </c>
      <c r="K292" s="15"/>
      <c r="L292" s="15"/>
      <c r="M292" s="15"/>
      <c r="N292" s="15"/>
      <c r="O292" s="15"/>
      <c r="P292" s="15"/>
      <c r="Q292" s="15"/>
      <c r="R292" s="15"/>
    </row>
    <row r="293">
      <c r="A293" s="19" t="s">
        <v>91</v>
      </c>
      <c r="B293" s="24" t="s">
        <v>90</v>
      </c>
      <c r="C293" s="27" t="s">
        <v>28</v>
      </c>
      <c r="D293" s="30">
        <v>143377.0</v>
      </c>
      <c r="E293" s="30">
        <v>737.0</v>
      </c>
      <c r="F293" s="37">
        <f t="shared" si="38"/>
        <v>38711.79</v>
      </c>
      <c r="G293" s="37">
        <f t="shared" si="42"/>
        <v>47228.3838</v>
      </c>
      <c r="H293" s="39">
        <v>47464.525719</v>
      </c>
      <c r="I293" s="37">
        <f t="shared" si="43"/>
        <v>270</v>
      </c>
      <c r="J293" s="41">
        <f t="shared" si="14"/>
        <v>52.52617368</v>
      </c>
      <c r="K293" s="42"/>
      <c r="L293" s="42"/>
      <c r="M293" s="42"/>
      <c r="N293" s="42"/>
      <c r="O293" s="42"/>
      <c r="P293" s="42"/>
      <c r="Q293" s="42"/>
      <c r="R293" s="42"/>
    </row>
    <row r="294">
      <c r="A294" s="17"/>
      <c r="B294" s="18" t="s">
        <v>90</v>
      </c>
      <c r="C294" s="45" t="s">
        <v>34</v>
      </c>
      <c r="D294" s="21">
        <v>405232.0</v>
      </c>
      <c r="E294" s="21">
        <v>1300.0</v>
      </c>
      <c r="F294" s="38">
        <f t="shared" si="38"/>
        <v>109412.64</v>
      </c>
      <c r="G294" s="38">
        <f t="shared" si="42"/>
        <v>133483.4208</v>
      </c>
      <c r="H294" s="44">
        <v>134150.837904</v>
      </c>
      <c r="I294" s="38">
        <f t="shared" si="43"/>
        <v>270</v>
      </c>
      <c r="J294" s="49">
        <f t="shared" si="14"/>
        <v>84.16356923</v>
      </c>
      <c r="K294" s="15"/>
      <c r="L294" s="15"/>
      <c r="M294" s="15"/>
      <c r="N294" s="15"/>
      <c r="O294" s="15"/>
      <c r="P294" s="15"/>
      <c r="Q294" s="15"/>
      <c r="R294" s="15"/>
    </row>
    <row r="295">
      <c r="A295" s="17"/>
      <c r="B295" s="18" t="s">
        <v>90</v>
      </c>
      <c r="C295" s="45" t="s">
        <v>36</v>
      </c>
      <c r="D295" s="21">
        <v>316566.0</v>
      </c>
      <c r="E295" s="21">
        <v>1010.0</v>
      </c>
      <c r="F295" s="38">
        <f t="shared" si="38"/>
        <v>85472.82</v>
      </c>
      <c r="G295" s="38">
        <f t="shared" si="42"/>
        <v>104276.8404</v>
      </c>
      <c r="H295" s="44">
        <v>104798.22460199997</v>
      </c>
      <c r="I295" s="38">
        <f t="shared" si="43"/>
        <v>270</v>
      </c>
      <c r="J295" s="49">
        <f t="shared" si="14"/>
        <v>84.62655446</v>
      </c>
      <c r="K295" s="15"/>
      <c r="L295" s="15"/>
      <c r="M295" s="15"/>
      <c r="N295" s="15"/>
      <c r="O295" s="15"/>
      <c r="P295" s="15"/>
      <c r="Q295" s="15"/>
      <c r="R295" s="15"/>
    </row>
    <row r="296">
      <c r="A296" s="196"/>
      <c r="B296" s="56" t="s">
        <v>90</v>
      </c>
      <c r="C296" s="58" t="s">
        <v>48</v>
      </c>
      <c r="D296" s="59">
        <v>256720.0</v>
      </c>
      <c r="E296" s="59">
        <v>1013.0</v>
      </c>
      <c r="F296" s="60">
        <f t="shared" si="38"/>
        <v>69314.4</v>
      </c>
      <c r="G296" s="60">
        <f t="shared" si="42"/>
        <v>84563.568</v>
      </c>
      <c r="H296" s="62">
        <v>84986.38584</v>
      </c>
      <c r="I296" s="60">
        <f t="shared" si="43"/>
        <v>270</v>
      </c>
      <c r="J296" s="64">
        <f t="shared" si="14"/>
        <v>68.4248766</v>
      </c>
      <c r="K296" s="15"/>
      <c r="L296" s="15"/>
      <c r="M296" s="15"/>
      <c r="N296" s="15"/>
      <c r="O296" s="15"/>
      <c r="P296" s="15"/>
      <c r="Q296" s="15"/>
      <c r="R296" s="15"/>
    </row>
    <row r="297">
      <c r="A297" s="110" t="s">
        <v>46</v>
      </c>
      <c r="B297" s="111"/>
      <c r="C297" s="112"/>
      <c r="D297" s="113">
        <f t="shared" ref="D297:E297" si="44">SUM(D288:D296)</f>
        <v>4575546</v>
      </c>
      <c r="E297" s="113">
        <f t="shared" si="44"/>
        <v>11258</v>
      </c>
      <c r="F297" s="114">
        <f t="shared" si="38"/>
        <v>105329.28</v>
      </c>
      <c r="G297" s="114">
        <f>SUM(G288:G289)</f>
        <v>128501.7216</v>
      </c>
      <c r="H297" s="115">
        <f>SUM(H288:H296)</f>
        <v>650815.7069</v>
      </c>
      <c r="I297" s="114">
        <f>F297/(D297/1000)</f>
        <v>23.02004613</v>
      </c>
      <c r="J297" s="116">
        <f t="shared" si="14"/>
        <v>9.355949547</v>
      </c>
      <c r="K297" s="42"/>
      <c r="L297" s="42"/>
      <c r="M297" s="42"/>
      <c r="N297" s="42"/>
      <c r="O297" s="42"/>
      <c r="P297" s="42"/>
      <c r="Q297" s="42"/>
      <c r="R297" s="42"/>
    </row>
    <row r="298">
      <c r="A298" s="19" t="s">
        <v>92</v>
      </c>
      <c r="B298" s="254" t="s">
        <v>93</v>
      </c>
      <c r="C298" s="27" t="s">
        <v>28</v>
      </c>
      <c r="D298" s="30">
        <v>111681.0</v>
      </c>
      <c r="E298" s="30">
        <v>1546.0</v>
      </c>
      <c r="F298" s="37">
        <f t="shared" si="38"/>
        <v>13735.60069</v>
      </c>
      <c r="G298" s="37">
        <f t="shared" ref="G298:G315" si="45">H298/1.005</f>
        <v>16757.43284</v>
      </c>
      <c r="H298" s="39">
        <v>16841.22</v>
      </c>
      <c r="I298" s="37">
        <f t="shared" ref="I298:I315" si="46">F298/D298*1000</f>
        <v>122.9895925</v>
      </c>
      <c r="J298" s="41">
        <f t="shared" si="14"/>
        <v>8.884605877</v>
      </c>
      <c r="K298" s="42"/>
      <c r="L298" s="42"/>
      <c r="M298" s="42"/>
      <c r="N298" s="42"/>
      <c r="O298" s="42"/>
      <c r="P298" s="42"/>
      <c r="Q298" s="42"/>
      <c r="R298" s="42"/>
    </row>
    <row r="299">
      <c r="B299" s="155" t="s">
        <v>93</v>
      </c>
      <c r="C299" s="45" t="s">
        <v>34</v>
      </c>
      <c r="D299" s="21">
        <v>107995.0</v>
      </c>
      <c r="E299" s="21">
        <v>41.0</v>
      </c>
      <c r="F299" s="38">
        <f t="shared" si="38"/>
        <v>13282.25267</v>
      </c>
      <c r="G299" s="38">
        <f t="shared" si="45"/>
        <v>16204.34826</v>
      </c>
      <c r="H299" s="44">
        <v>16285.369999999995</v>
      </c>
      <c r="I299" s="38">
        <f t="shared" si="46"/>
        <v>122.989515</v>
      </c>
      <c r="J299" s="49">
        <f t="shared" si="14"/>
        <v>323.9573822</v>
      </c>
      <c r="K299" s="15"/>
      <c r="L299" s="15"/>
      <c r="M299" s="15"/>
      <c r="N299" s="15"/>
      <c r="O299" s="15"/>
      <c r="P299" s="15"/>
      <c r="Q299" s="15"/>
      <c r="R299" s="15"/>
    </row>
    <row r="300">
      <c r="B300" s="255" t="s">
        <v>93</v>
      </c>
      <c r="C300" s="58" t="s">
        <v>36</v>
      </c>
      <c r="D300" s="59">
        <v>42051.0</v>
      </c>
      <c r="E300" s="59">
        <v>19.0</v>
      </c>
      <c r="F300" s="60">
        <f t="shared" si="38"/>
        <v>5171.837534</v>
      </c>
      <c r="G300" s="60">
        <f t="shared" si="45"/>
        <v>6309.641791</v>
      </c>
      <c r="H300" s="62">
        <v>6341.190000000002</v>
      </c>
      <c r="I300" s="60">
        <f t="shared" si="46"/>
        <v>122.9896443</v>
      </c>
      <c r="J300" s="64">
        <f t="shared" si="14"/>
        <v>272.2019755</v>
      </c>
      <c r="K300" s="15"/>
      <c r="L300" s="15"/>
      <c r="M300" s="15"/>
      <c r="N300" s="15"/>
      <c r="O300" s="15"/>
      <c r="P300" s="15"/>
      <c r="Q300" s="15"/>
      <c r="R300" s="15"/>
    </row>
    <row r="301">
      <c r="A301" s="19" t="s">
        <v>119</v>
      </c>
      <c r="B301" s="254" t="s">
        <v>93</v>
      </c>
      <c r="C301" s="27" t="s">
        <v>28</v>
      </c>
      <c r="D301" s="30">
        <v>168866.0</v>
      </c>
      <c r="E301" s="30">
        <v>1206.0</v>
      </c>
      <c r="F301" s="37">
        <f t="shared" si="38"/>
        <v>18575.26</v>
      </c>
      <c r="G301" s="37">
        <f t="shared" si="45"/>
        <v>22661.8172</v>
      </c>
      <c r="H301" s="39">
        <v>22775.126285999995</v>
      </c>
      <c r="I301" s="37">
        <f t="shared" si="46"/>
        <v>110</v>
      </c>
      <c r="J301" s="41">
        <f t="shared" si="14"/>
        <v>15.40237148</v>
      </c>
      <c r="K301" s="42"/>
      <c r="L301" s="42"/>
      <c r="M301" s="42"/>
      <c r="N301" s="42"/>
      <c r="O301" s="42"/>
      <c r="P301" s="42"/>
      <c r="Q301" s="42"/>
      <c r="R301" s="42"/>
    </row>
    <row r="302">
      <c r="B302" s="155" t="s">
        <v>93</v>
      </c>
      <c r="C302" s="45" t="s">
        <v>34</v>
      </c>
      <c r="D302" s="21">
        <v>136374.0</v>
      </c>
      <c r="E302" s="21">
        <v>1416.0</v>
      </c>
      <c r="F302" s="38">
        <f t="shared" si="38"/>
        <v>15001.14</v>
      </c>
      <c r="G302" s="38">
        <f t="shared" si="45"/>
        <v>18301.3908</v>
      </c>
      <c r="H302" s="44">
        <v>18392.897753999998</v>
      </c>
      <c r="I302" s="38">
        <f t="shared" si="46"/>
        <v>110</v>
      </c>
      <c r="J302" s="49">
        <f t="shared" si="14"/>
        <v>10.59402542</v>
      </c>
      <c r="K302" s="15"/>
      <c r="L302" s="15"/>
      <c r="M302" s="15"/>
      <c r="N302" s="15"/>
      <c r="O302" s="15"/>
      <c r="P302" s="15"/>
      <c r="Q302" s="15"/>
      <c r="R302" s="15"/>
    </row>
    <row r="303">
      <c r="B303" s="155" t="s">
        <v>93</v>
      </c>
      <c r="C303" s="45" t="s">
        <v>36</v>
      </c>
      <c r="D303" s="21">
        <v>431859.0</v>
      </c>
      <c r="E303" s="21">
        <v>4243.0</v>
      </c>
      <c r="F303" s="38">
        <f t="shared" si="38"/>
        <v>47504.49</v>
      </c>
      <c r="G303" s="38">
        <f t="shared" si="45"/>
        <v>57955.4778</v>
      </c>
      <c r="H303" s="44">
        <v>58245.255189</v>
      </c>
      <c r="I303" s="38">
        <f t="shared" si="46"/>
        <v>110</v>
      </c>
      <c r="J303" s="49">
        <f t="shared" si="14"/>
        <v>11.19596748</v>
      </c>
      <c r="K303" s="15"/>
      <c r="L303" s="15"/>
      <c r="M303" s="15"/>
      <c r="N303" s="15"/>
      <c r="O303" s="15"/>
      <c r="P303" s="15"/>
      <c r="Q303" s="15"/>
      <c r="R303" s="15"/>
    </row>
    <row r="304">
      <c r="B304" s="155" t="s">
        <v>93</v>
      </c>
      <c r="C304" s="45" t="s">
        <v>48</v>
      </c>
      <c r="D304" s="21">
        <v>695328.0</v>
      </c>
      <c r="E304" s="21">
        <v>10502.0</v>
      </c>
      <c r="F304" s="38">
        <f t="shared" si="38"/>
        <v>100047.03</v>
      </c>
      <c r="G304" s="38">
        <f t="shared" si="45"/>
        <v>122057.3766</v>
      </c>
      <c r="H304" s="44">
        <v>122667.66348299998</v>
      </c>
      <c r="I304" s="38">
        <f t="shared" si="46"/>
        <v>143.8846559</v>
      </c>
      <c r="J304" s="49">
        <f t="shared" si="14"/>
        <v>9.526474005</v>
      </c>
      <c r="K304" s="15"/>
      <c r="L304" s="15"/>
      <c r="M304" s="15"/>
      <c r="N304" s="15"/>
      <c r="O304" s="15"/>
      <c r="P304" s="15"/>
      <c r="Q304" s="15"/>
      <c r="R304" s="15"/>
    </row>
    <row r="305">
      <c r="A305" s="196"/>
      <c r="B305" s="255" t="s">
        <v>93</v>
      </c>
      <c r="C305" s="58" t="s">
        <v>52</v>
      </c>
      <c r="D305" s="59">
        <v>506731.0</v>
      </c>
      <c r="E305" s="59">
        <v>6178.0</v>
      </c>
      <c r="F305" s="60">
        <f t="shared" si="38"/>
        <v>81076.96</v>
      </c>
      <c r="G305" s="60">
        <f t="shared" si="45"/>
        <v>98913.8912</v>
      </c>
      <c r="H305" s="62">
        <v>99408.46065599997</v>
      </c>
      <c r="I305" s="60">
        <f t="shared" si="46"/>
        <v>160</v>
      </c>
      <c r="J305" s="64">
        <f t="shared" si="14"/>
        <v>13.12349628</v>
      </c>
      <c r="K305" s="15"/>
      <c r="L305" s="15"/>
      <c r="M305" s="15"/>
      <c r="N305" s="15"/>
      <c r="O305" s="15"/>
      <c r="P305" s="15"/>
      <c r="Q305" s="15"/>
      <c r="R305" s="15"/>
    </row>
    <row r="306">
      <c r="A306" s="19" t="s">
        <v>91</v>
      </c>
      <c r="B306" s="254" t="s">
        <v>93</v>
      </c>
      <c r="C306" s="27" t="s">
        <v>28</v>
      </c>
      <c r="D306" s="30">
        <v>169108.0</v>
      </c>
      <c r="E306" s="30">
        <v>670.0</v>
      </c>
      <c r="F306" s="37">
        <f t="shared" si="38"/>
        <v>45659.16</v>
      </c>
      <c r="G306" s="37">
        <f t="shared" si="45"/>
        <v>55704.1752</v>
      </c>
      <c r="H306" s="39">
        <v>55982.696076</v>
      </c>
      <c r="I306" s="37">
        <f t="shared" si="46"/>
        <v>270</v>
      </c>
      <c r="J306" s="41">
        <f t="shared" si="14"/>
        <v>68.148</v>
      </c>
      <c r="K306" s="42"/>
      <c r="L306" s="42"/>
      <c r="M306" s="42"/>
      <c r="N306" s="42"/>
      <c r="O306" s="42"/>
      <c r="P306" s="42"/>
      <c r="Q306" s="42"/>
      <c r="R306" s="42"/>
    </row>
    <row r="307">
      <c r="B307" s="155" t="s">
        <v>93</v>
      </c>
      <c r="C307" s="45" t="s">
        <v>34</v>
      </c>
      <c r="D307" s="21">
        <v>390310.0</v>
      </c>
      <c r="E307" s="21">
        <v>1436.0</v>
      </c>
      <c r="F307" s="38">
        <f t="shared" si="38"/>
        <v>105383.7</v>
      </c>
      <c r="G307" s="38">
        <f t="shared" si="45"/>
        <v>128568.114</v>
      </c>
      <c r="H307" s="44">
        <v>129210.95456999997</v>
      </c>
      <c r="I307" s="38">
        <f t="shared" si="46"/>
        <v>270</v>
      </c>
      <c r="J307" s="49">
        <f t="shared" si="14"/>
        <v>73.38697772</v>
      </c>
      <c r="K307" s="15"/>
      <c r="L307" s="15"/>
      <c r="M307" s="15"/>
      <c r="N307" s="15"/>
      <c r="O307" s="15"/>
      <c r="P307" s="15"/>
      <c r="Q307" s="15"/>
      <c r="R307" s="15"/>
    </row>
    <row r="308">
      <c r="B308" s="155" t="s">
        <v>93</v>
      </c>
      <c r="C308" s="45" t="s">
        <v>36</v>
      </c>
      <c r="D308" s="21">
        <v>307460.0</v>
      </c>
      <c r="E308" s="21">
        <v>1215.0</v>
      </c>
      <c r="F308" s="38">
        <f t="shared" si="38"/>
        <v>83014.2</v>
      </c>
      <c r="G308" s="38">
        <f t="shared" si="45"/>
        <v>101277.324</v>
      </c>
      <c r="H308" s="44">
        <v>101783.71061999998</v>
      </c>
      <c r="I308" s="38">
        <f t="shared" si="46"/>
        <v>270</v>
      </c>
      <c r="J308" s="49">
        <f t="shared" si="14"/>
        <v>68.32444444</v>
      </c>
      <c r="K308" s="15"/>
      <c r="L308" s="15"/>
      <c r="M308" s="15"/>
      <c r="N308" s="15"/>
      <c r="O308" s="15"/>
      <c r="P308" s="15"/>
      <c r="Q308" s="15"/>
      <c r="R308" s="15"/>
    </row>
    <row r="309">
      <c r="A309" s="196"/>
      <c r="B309" s="255" t="s">
        <v>93</v>
      </c>
      <c r="C309" s="58" t="s">
        <v>48</v>
      </c>
      <c r="D309" s="59">
        <v>249159.0</v>
      </c>
      <c r="E309" s="59">
        <v>1042.0</v>
      </c>
      <c r="F309" s="60">
        <f t="shared" si="38"/>
        <v>67272.93</v>
      </c>
      <c r="G309" s="60">
        <f t="shared" si="45"/>
        <v>82072.9746</v>
      </c>
      <c r="H309" s="62">
        <v>82483.33947299997</v>
      </c>
      <c r="I309" s="60">
        <f t="shared" si="46"/>
        <v>270</v>
      </c>
      <c r="J309" s="64">
        <f t="shared" si="14"/>
        <v>64.56135317</v>
      </c>
      <c r="K309" s="15"/>
      <c r="L309" s="15"/>
      <c r="M309" s="15"/>
      <c r="N309" s="15"/>
      <c r="O309" s="15"/>
      <c r="P309" s="15"/>
      <c r="Q309" s="15"/>
      <c r="R309" s="15"/>
    </row>
    <row r="310">
      <c r="A310" s="19" t="s">
        <v>64</v>
      </c>
      <c r="B310" s="254" t="s">
        <v>93</v>
      </c>
      <c r="C310" s="27" t="s">
        <v>28</v>
      </c>
      <c r="D310" s="30">
        <v>34733.0</v>
      </c>
      <c r="E310" s="30">
        <v>46.0</v>
      </c>
      <c r="F310" s="37">
        <f t="shared" si="38"/>
        <v>625.14</v>
      </c>
      <c r="G310" s="37">
        <f t="shared" si="45"/>
        <v>762.6708</v>
      </c>
      <c r="H310" s="39">
        <v>766.4841539999998</v>
      </c>
      <c r="I310" s="37">
        <f t="shared" si="46"/>
        <v>17.99844528</v>
      </c>
      <c r="J310" s="41">
        <f t="shared" si="14"/>
        <v>13.59</v>
      </c>
      <c r="K310" s="42"/>
      <c r="L310" s="42"/>
      <c r="M310" s="42"/>
      <c r="N310" s="42"/>
      <c r="O310" s="42"/>
      <c r="P310" s="42"/>
      <c r="Q310" s="42"/>
      <c r="R310" s="42"/>
    </row>
    <row r="311">
      <c r="B311" s="255" t="s">
        <v>93</v>
      </c>
      <c r="C311" s="58" t="s">
        <v>34</v>
      </c>
      <c r="D311" s="59">
        <v>14295.0</v>
      </c>
      <c r="E311" s="59">
        <v>11.0</v>
      </c>
      <c r="F311" s="60">
        <f t="shared" si="38"/>
        <v>149.49</v>
      </c>
      <c r="G311" s="60">
        <f t="shared" si="45"/>
        <v>182.3778</v>
      </c>
      <c r="H311" s="62">
        <v>183.28968899999998</v>
      </c>
      <c r="I311" s="60">
        <f t="shared" si="46"/>
        <v>10.45750262</v>
      </c>
      <c r="J311" s="64">
        <f t="shared" si="14"/>
        <v>13.59</v>
      </c>
      <c r="K311" s="15"/>
      <c r="L311" s="15"/>
      <c r="M311" s="15"/>
      <c r="N311" s="15"/>
      <c r="O311" s="15"/>
      <c r="P311" s="15"/>
      <c r="Q311" s="15"/>
      <c r="R311" s="15"/>
    </row>
    <row r="312">
      <c r="A312" s="19" t="s">
        <v>23</v>
      </c>
      <c r="B312" s="254" t="s">
        <v>93</v>
      </c>
      <c r="C312" s="27" t="s">
        <v>28</v>
      </c>
      <c r="D312" s="30">
        <v>251464.0</v>
      </c>
      <c r="E312" s="30">
        <v>540.0</v>
      </c>
      <c r="F312" s="37">
        <f t="shared" si="38"/>
        <v>50720.00652</v>
      </c>
      <c r="G312" s="37">
        <f t="shared" si="45"/>
        <v>61878.40796</v>
      </c>
      <c r="H312" s="39">
        <v>62187.8</v>
      </c>
      <c r="I312" s="37">
        <f t="shared" si="46"/>
        <v>201.6988775</v>
      </c>
      <c r="J312" s="41">
        <f t="shared" si="14"/>
        <v>93.92593801</v>
      </c>
      <c r="K312" s="42"/>
      <c r="L312" s="42"/>
      <c r="M312" s="42"/>
      <c r="N312" s="42"/>
      <c r="O312" s="42"/>
      <c r="P312" s="42"/>
      <c r="Q312" s="42"/>
      <c r="R312" s="42"/>
    </row>
    <row r="313">
      <c r="A313" s="17"/>
      <c r="B313" s="155" t="s">
        <v>93</v>
      </c>
      <c r="C313" s="45" t="s">
        <v>34</v>
      </c>
      <c r="D313" s="21">
        <v>288207.0</v>
      </c>
      <c r="E313" s="21">
        <v>622.0</v>
      </c>
      <c r="F313" s="38">
        <f t="shared" si="38"/>
        <v>64299.33121</v>
      </c>
      <c r="G313" s="38">
        <f t="shared" si="45"/>
        <v>78445.18408</v>
      </c>
      <c r="H313" s="44">
        <v>78837.40999999999</v>
      </c>
      <c r="I313" s="38">
        <f t="shared" si="46"/>
        <v>223.1012127</v>
      </c>
      <c r="J313" s="49">
        <f t="shared" si="14"/>
        <v>103.3751306</v>
      </c>
      <c r="K313" s="15"/>
      <c r="L313" s="15"/>
      <c r="M313" s="15"/>
      <c r="N313" s="15"/>
      <c r="O313" s="15"/>
      <c r="P313" s="15"/>
      <c r="Q313" s="15"/>
      <c r="R313" s="15"/>
    </row>
    <row r="314">
      <c r="A314" s="17"/>
      <c r="B314" s="155" t="s">
        <v>93</v>
      </c>
      <c r="C314" s="45" t="s">
        <v>36</v>
      </c>
      <c r="D314" s="21">
        <v>198899.0</v>
      </c>
      <c r="E314" s="21">
        <v>504.0</v>
      </c>
      <c r="F314" s="38">
        <f t="shared" si="38"/>
        <v>49120.78134</v>
      </c>
      <c r="G314" s="38">
        <f t="shared" si="45"/>
        <v>59927.35323</v>
      </c>
      <c r="H314" s="44">
        <v>60226.99000000002</v>
      </c>
      <c r="I314" s="38">
        <f t="shared" si="46"/>
        <v>246.9634404</v>
      </c>
      <c r="J314" s="49">
        <f t="shared" si="14"/>
        <v>97.46186774</v>
      </c>
      <c r="K314" s="15"/>
      <c r="L314" s="15"/>
      <c r="M314" s="15"/>
      <c r="N314" s="15"/>
      <c r="O314" s="15"/>
      <c r="P314" s="15"/>
      <c r="Q314" s="15"/>
      <c r="R314" s="15"/>
    </row>
    <row r="315">
      <c r="A315" s="196"/>
      <c r="B315" s="255" t="s">
        <v>93</v>
      </c>
      <c r="C315" s="58" t="s">
        <v>38</v>
      </c>
      <c r="D315" s="59">
        <v>406849.0</v>
      </c>
      <c r="E315" s="59">
        <v>905.0</v>
      </c>
      <c r="F315" s="60">
        <f t="shared" si="38"/>
        <v>102020.8874</v>
      </c>
      <c r="G315" s="60">
        <f t="shared" si="45"/>
        <v>124465.4826</v>
      </c>
      <c r="H315" s="62">
        <v>125087.81000000004</v>
      </c>
      <c r="I315" s="60">
        <f t="shared" si="46"/>
        <v>250.7586042</v>
      </c>
      <c r="J315" s="64">
        <f t="shared" si="14"/>
        <v>112.7302623</v>
      </c>
      <c r="K315" s="15"/>
      <c r="L315" s="15"/>
      <c r="M315" s="15"/>
      <c r="N315" s="15"/>
      <c r="O315" s="15"/>
      <c r="P315" s="15"/>
      <c r="Q315" s="15"/>
      <c r="R315" s="15"/>
    </row>
    <row r="316">
      <c r="A316" s="110" t="s">
        <v>46</v>
      </c>
      <c r="B316" s="111"/>
      <c r="C316" s="112"/>
      <c r="D316" s="113">
        <f t="shared" ref="D316:E316" si="47">SUM(D298:D315)</f>
        <v>4511369</v>
      </c>
      <c r="E316" s="113">
        <f t="shared" si="47"/>
        <v>32142</v>
      </c>
      <c r="F316" s="114">
        <f t="shared" si="38"/>
        <v>32189.69089</v>
      </c>
      <c r="G316" s="114">
        <f>SUM(G298:G300)</f>
        <v>39271.42289</v>
      </c>
      <c r="H316" s="115">
        <f>SUM(H298:H315)</f>
        <v>1057707.668</v>
      </c>
      <c r="I316" s="114">
        <f>F316/(D316/1000)</f>
        <v>7.13523786</v>
      </c>
      <c r="J316" s="116">
        <f t="shared" si="14"/>
        <v>1.001483756</v>
      </c>
      <c r="K316" s="42"/>
      <c r="L316" s="42"/>
      <c r="M316" s="42"/>
      <c r="N316" s="42"/>
      <c r="O316" s="42"/>
      <c r="P316" s="42"/>
      <c r="Q316" s="42"/>
      <c r="R316" s="42"/>
    </row>
    <row r="317">
      <c r="A317" s="173" t="s">
        <v>35</v>
      </c>
      <c r="B317" s="24" t="s">
        <v>94</v>
      </c>
      <c r="C317" s="27" t="s">
        <v>28</v>
      </c>
      <c r="D317" s="30">
        <v>180819.0</v>
      </c>
      <c r="E317" s="30">
        <v>258.0</v>
      </c>
      <c r="F317" s="37">
        <f t="shared" si="38"/>
        <v>54395.25324</v>
      </c>
      <c r="G317" s="37">
        <f t="shared" ref="G317:G342" si="48">H317/1.005</f>
        <v>66362.20896</v>
      </c>
      <c r="H317" s="39">
        <v>66694.02</v>
      </c>
      <c r="I317" s="37">
        <f t="shared" ref="I317:I342" si="49">F317/D317*1000</f>
        <v>300.8270881</v>
      </c>
      <c r="J317" s="41">
        <f t="shared" si="14"/>
        <v>210.8343149</v>
      </c>
      <c r="K317" s="42"/>
      <c r="L317" s="42"/>
      <c r="M317" s="42"/>
      <c r="N317" s="42"/>
      <c r="O317" s="42"/>
      <c r="P317" s="42"/>
      <c r="Q317" s="42"/>
      <c r="R317" s="42"/>
    </row>
    <row r="318">
      <c r="B318" s="18" t="s">
        <v>94</v>
      </c>
      <c r="C318" s="45" t="s">
        <v>34</v>
      </c>
      <c r="D318" s="21">
        <v>316658.0</v>
      </c>
      <c r="E318" s="21">
        <v>424.0</v>
      </c>
      <c r="F318" s="38">
        <f t="shared" si="38"/>
        <v>79835.88614</v>
      </c>
      <c r="G318" s="38">
        <f t="shared" si="48"/>
        <v>97399.78109</v>
      </c>
      <c r="H318" s="44">
        <v>97886.77999999998</v>
      </c>
      <c r="I318" s="38">
        <f t="shared" si="49"/>
        <v>252.1202248</v>
      </c>
      <c r="J318" s="49">
        <f t="shared" si="14"/>
        <v>188.2921843</v>
      </c>
      <c r="K318" s="15"/>
      <c r="L318" s="15"/>
      <c r="M318" s="15"/>
      <c r="N318" s="15"/>
      <c r="O318" s="15"/>
      <c r="P318" s="15"/>
      <c r="Q318" s="15"/>
      <c r="R318" s="15"/>
    </row>
    <row r="319">
      <c r="B319" s="18" t="s">
        <v>94</v>
      </c>
      <c r="C319" s="45" t="s">
        <v>36</v>
      </c>
      <c r="D319" s="21">
        <v>316832.0</v>
      </c>
      <c r="E319" s="21">
        <v>331.0</v>
      </c>
      <c r="F319" s="38">
        <f t="shared" si="38"/>
        <v>110904.7549</v>
      </c>
      <c r="G319" s="38">
        <f t="shared" si="48"/>
        <v>135303.801</v>
      </c>
      <c r="H319" s="44">
        <v>135980.32</v>
      </c>
      <c r="I319" s="38">
        <f t="shared" si="49"/>
        <v>350.0427827</v>
      </c>
      <c r="J319" s="49">
        <f t="shared" si="14"/>
        <v>335.0596825</v>
      </c>
      <c r="K319" s="15"/>
      <c r="L319" s="15"/>
      <c r="M319" s="15"/>
      <c r="N319" s="15"/>
      <c r="O319" s="15"/>
      <c r="P319" s="15"/>
      <c r="Q319" s="15"/>
      <c r="R319" s="15"/>
    </row>
    <row r="320">
      <c r="B320" s="56" t="s">
        <v>94</v>
      </c>
      <c r="C320" s="58" t="s">
        <v>38</v>
      </c>
      <c r="D320" s="59">
        <v>407395.0</v>
      </c>
      <c r="E320" s="59">
        <v>727.0</v>
      </c>
      <c r="F320" s="60">
        <f t="shared" si="38"/>
        <v>122543.5119</v>
      </c>
      <c r="G320" s="60">
        <f t="shared" si="48"/>
        <v>149503.0846</v>
      </c>
      <c r="H320" s="62">
        <v>150250.59999999998</v>
      </c>
      <c r="I320" s="60">
        <f t="shared" si="49"/>
        <v>300.7977809</v>
      </c>
      <c r="J320" s="64">
        <f t="shared" si="14"/>
        <v>168.5605391</v>
      </c>
      <c r="K320" s="15"/>
      <c r="L320" s="15"/>
      <c r="M320" s="15"/>
      <c r="N320" s="15"/>
      <c r="O320" s="15"/>
      <c r="P320" s="15"/>
      <c r="Q320" s="15"/>
      <c r="R320" s="15"/>
    </row>
    <row r="321">
      <c r="A321" s="19" t="s">
        <v>54</v>
      </c>
      <c r="B321" s="24" t="s">
        <v>94</v>
      </c>
      <c r="C321" s="27" t="s">
        <v>28</v>
      </c>
      <c r="D321" s="30">
        <v>91712.0</v>
      </c>
      <c r="E321" s="30">
        <v>193.0</v>
      </c>
      <c r="F321" s="37">
        <f t="shared" si="38"/>
        <v>29877.1389</v>
      </c>
      <c r="G321" s="37">
        <f t="shared" si="48"/>
        <v>36450.10945</v>
      </c>
      <c r="H321" s="39">
        <v>36632.36</v>
      </c>
      <c r="I321" s="37">
        <f t="shared" si="49"/>
        <v>325.7713156</v>
      </c>
      <c r="J321" s="41">
        <f t="shared" si="14"/>
        <v>154.8038285</v>
      </c>
      <c r="K321" s="42"/>
      <c r="L321" s="42"/>
      <c r="M321" s="42"/>
      <c r="N321" s="42"/>
      <c r="O321" s="42"/>
      <c r="P321" s="42"/>
      <c r="Q321" s="42"/>
      <c r="R321" s="42"/>
    </row>
    <row r="322">
      <c r="B322" s="18" t="s">
        <v>94</v>
      </c>
      <c r="C322" s="45" t="s">
        <v>34</v>
      </c>
      <c r="D322" s="21">
        <v>325668.0</v>
      </c>
      <c r="E322" s="21">
        <v>839.0</v>
      </c>
      <c r="F322" s="38">
        <f t="shared" si="38"/>
        <v>103735.9188</v>
      </c>
      <c r="G322" s="38">
        <f t="shared" si="48"/>
        <v>126557.8209</v>
      </c>
      <c r="H322" s="44">
        <v>127190.61</v>
      </c>
      <c r="I322" s="38">
        <f t="shared" si="49"/>
        <v>318.5327351</v>
      </c>
      <c r="J322" s="49">
        <f t="shared" si="14"/>
        <v>123.6423346</v>
      </c>
      <c r="K322" s="15"/>
      <c r="L322" s="15"/>
      <c r="M322" s="15"/>
      <c r="N322" s="15"/>
      <c r="O322" s="15"/>
      <c r="P322" s="15"/>
      <c r="Q322" s="15"/>
      <c r="R322" s="15"/>
    </row>
    <row r="323">
      <c r="B323" s="18" t="s">
        <v>94</v>
      </c>
      <c r="C323" s="45" t="s">
        <v>36</v>
      </c>
      <c r="D323" s="21">
        <v>380546.0</v>
      </c>
      <c r="E323" s="21">
        <v>974.0</v>
      </c>
      <c r="F323" s="38">
        <f t="shared" si="38"/>
        <v>121385.3111</v>
      </c>
      <c r="G323" s="38">
        <f t="shared" si="48"/>
        <v>148090.0796</v>
      </c>
      <c r="H323" s="44">
        <v>148830.53000000003</v>
      </c>
      <c r="I323" s="38">
        <f t="shared" si="49"/>
        <v>318.9767102</v>
      </c>
      <c r="J323" s="49">
        <f t="shared" si="14"/>
        <v>124.6255761</v>
      </c>
      <c r="K323" s="15"/>
      <c r="L323" s="15"/>
      <c r="M323" s="15"/>
      <c r="N323" s="15"/>
      <c r="O323" s="15"/>
      <c r="P323" s="15"/>
      <c r="Q323" s="15"/>
      <c r="R323" s="15"/>
    </row>
    <row r="324">
      <c r="B324" s="56" t="s">
        <v>94</v>
      </c>
      <c r="C324" s="58" t="s">
        <v>38</v>
      </c>
      <c r="D324" s="59">
        <v>476004.0</v>
      </c>
      <c r="E324" s="59">
        <v>956.0</v>
      </c>
      <c r="F324" s="60">
        <f t="shared" si="38"/>
        <v>154589.1771</v>
      </c>
      <c r="G324" s="60">
        <f t="shared" si="48"/>
        <v>188598.796</v>
      </c>
      <c r="H324" s="62">
        <v>189541.78999999998</v>
      </c>
      <c r="I324" s="60">
        <f t="shared" si="49"/>
        <v>324.7644496</v>
      </c>
      <c r="J324" s="64">
        <f t="shared" si="14"/>
        <v>161.7041601</v>
      </c>
      <c r="K324" s="15"/>
      <c r="L324" s="15"/>
      <c r="M324" s="15"/>
      <c r="N324" s="15"/>
      <c r="O324" s="15"/>
      <c r="P324" s="15"/>
      <c r="Q324" s="15"/>
      <c r="R324" s="15"/>
    </row>
    <row r="325">
      <c r="A325" s="19" t="s">
        <v>119</v>
      </c>
      <c r="B325" s="24" t="s">
        <v>94</v>
      </c>
      <c r="C325" s="27" t="s">
        <v>28</v>
      </c>
      <c r="D325" s="30">
        <v>58235.0</v>
      </c>
      <c r="E325" s="30">
        <v>633.0</v>
      </c>
      <c r="F325" s="37">
        <f t="shared" si="38"/>
        <v>6405.85</v>
      </c>
      <c r="G325" s="37">
        <f t="shared" si="48"/>
        <v>7815.137</v>
      </c>
      <c r="H325" s="39">
        <v>7854.2126849999995</v>
      </c>
      <c r="I325" s="37">
        <f t="shared" si="49"/>
        <v>110</v>
      </c>
      <c r="J325" s="41">
        <f t="shared" si="14"/>
        <v>10.11982622</v>
      </c>
      <c r="K325" s="42"/>
      <c r="L325" s="42"/>
      <c r="M325" s="42"/>
      <c r="N325" s="42"/>
      <c r="O325" s="42"/>
      <c r="P325" s="42"/>
      <c r="Q325" s="42"/>
      <c r="R325" s="42"/>
    </row>
    <row r="326">
      <c r="B326" s="18" t="s">
        <v>94</v>
      </c>
      <c r="C326" s="45" t="s">
        <v>34</v>
      </c>
      <c r="D326" s="21">
        <v>35672.0</v>
      </c>
      <c r="E326" s="21">
        <v>428.0</v>
      </c>
      <c r="F326" s="38">
        <f t="shared" si="38"/>
        <v>3923.92</v>
      </c>
      <c r="G326" s="38">
        <f t="shared" si="48"/>
        <v>4787.1824</v>
      </c>
      <c r="H326" s="44">
        <v>4811.118312</v>
      </c>
      <c r="I326" s="38">
        <f t="shared" si="49"/>
        <v>110</v>
      </c>
      <c r="J326" s="49">
        <f t="shared" si="14"/>
        <v>9.168037383</v>
      </c>
      <c r="K326" s="15"/>
      <c r="L326" s="15"/>
      <c r="M326" s="15"/>
      <c r="N326" s="15"/>
      <c r="O326" s="15"/>
      <c r="P326" s="15"/>
      <c r="Q326" s="15"/>
      <c r="R326" s="15"/>
    </row>
    <row r="327">
      <c r="B327" s="18" t="s">
        <v>94</v>
      </c>
      <c r="C327" s="45" t="s">
        <v>36</v>
      </c>
      <c r="D327" s="21">
        <v>273774.0</v>
      </c>
      <c r="E327" s="21">
        <v>4716.0</v>
      </c>
      <c r="F327" s="38">
        <f t="shared" si="38"/>
        <v>41645.34</v>
      </c>
      <c r="G327" s="38">
        <f t="shared" si="48"/>
        <v>50807.3148</v>
      </c>
      <c r="H327" s="44">
        <v>51061.35137399999</v>
      </c>
      <c r="I327" s="38">
        <f t="shared" si="49"/>
        <v>152.1157597</v>
      </c>
      <c r="J327" s="49">
        <f t="shared" si="14"/>
        <v>8.830648855</v>
      </c>
      <c r="K327" s="15"/>
      <c r="L327" s="15"/>
      <c r="M327" s="15"/>
      <c r="N327" s="15"/>
      <c r="O327" s="15"/>
      <c r="P327" s="15"/>
      <c r="Q327" s="15"/>
      <c r="R327" s="15"/>
    </row>
    <row r="328">
      <c r="B328" s="18" t="s">
        <v>94</v>
      </c>
      <c r="C328" s="45" t="s">
        <v>48</v>
      </c>
      <c r="D328" s="21">
        <v>378905.0</v>
      </c>
      <c r="E328" s="21">
        <v>6129.0</v>
      </c>
      <c r="F328" s="38">
        <f t="shared" si="38"/>
        <v>60624.8</v>
      </c>
      <c r="G328" s="38">
        <f t="shared" si="48"/>
        <v>73962.256</v>
      </c>
      <c r="H328" s="44">
        <v>74332.06728</v>
      </c>
      <c r="I328" s="38">
        <f t="shared" si="49"/>
        <v>160</v>
      </c>
      <c r="J328" s="49">
        <f t="shared" si="14"/>
        <v>9.891466797</v>
      </c>
      <c r="K328" s="15"/>
      <c r="L328" s="15"/>
      <c r="M328" s="15"/>
      <c r="N328" s="15"/>
      <c r="O328" s="15"/>
      <c r="P328" s="15"/>
      <c r="Q328" s="15"/>
      <c r="R328" s="15"/>
    </row>
    <row r="329">
      <c r="A329" s="262"/>
      <c r="B329" s="56" t="s">
        <v>94</v>
      </c>
      <c r="C329" s="58" t="s">
        <v>52</v>
      </c>
      <c r="D329" s="59">
        <v>132349.0</v>
      </c>
      <c r="E329" s="59">
        <v>962.0</v>
      </c>
      <c r="F329" s="60">
        <f t="shared" si="38"/>
        <v>21175.84</v>
      </c>
      <c r="G329" s="60">
        <f t="shared" si="48"/>
        <v>25834.5248</v>
      </c>
      <c r="H329" s="62">
        <v>25963.697424</v>
      </c>
      <c r="I329" s="60">
        <f t="shared" si="49"/>
        <v>160</v>
      </c>
      <c r="J329" s="64">
        <f t="shared" si="14"/>
        <v>22.01230769</v>
      </c>
      <c r="K329" s="15"/>
      <c r="L329" s="15"/>
      <c r="M329" s="15"/>
      <c r="N329" s="15"/>
      <c r="O329" s="15"/>
      <c r="P329" s="15"/>
      <c r="Q329" s="15"/>
      <c r="R329" s="15"/>
    </row>
    <row r="330">
      <c r="A330" s="171" t="s">
        <v>44</v>
      </c>
      <c r="B330" s="24" t="s">
        <v>94</v>
      </c>
      <c r="C330" s="27" t="s">
        <v>28</v>
      </c>
      <c r="D330" s="30">
        <v>76378.0</v>
      </c>
      <c r="E330" s="30">
        <v>151.0</v>
      </c>
      <c r="F330" s="37">
        <f t="shared" si="38"/>
        <v>2052.09</v>
      </c>
      <c r="G330" s="37">
        <f t="shared" si="48"/>
        <v>2503.5498</v>
      </c>
      <c r="H330" s="39">
        <v>2516.0675489999994</v>
      </c>
      <c r="I330" s="37">
        <f t="shared" si="49"/>
        <v>26.86755348</v>
      </c>
      <c r="J330" s="41">
        <f t="shared" si="14"/>
        <v>13.59</v>
      </c>
      <c r="K330" s="42"/>
      <c r="L330" s="42"/>
      <c r="M330" s="42"/>
      <c r="N330" s="42"/>
      <c r="O330" s="42"/>
      <c r="P330" s="42"/>
      <c r="Q330" s="42"/>
      <c r="R330" s="42"/>
    </row>
    <row r="331">
      <c r="B331" s="18" t="s">
        <v>94</v>
      </c>
      <c r="C331" s="45" t="s">
        <v>34</v>
      </c>
      <c r="D331" s="21">
        <v>63905.0</v>
      </c>
      <c r="E331" s="21">
        <v>464.0</v>
      </c>
      <c r="F331" s="38">
        <f t="shared" si="38"/>
        <v>6305.76</v>
      </c>
      <c r="G331" s="38">
        <f t="shared" si="48"/>
        <v>7693.0272</v>
      </c>
      <c r="H331" s="44">
        <v>7731.492335999999</v>
      </c>
      <c r="I331" s="38">
        <f t="shared" si="49"/>
        <v>98.67396917</v>
      </c>
      <c r="J331" s="49">
        <f t="shared" si="14"/>
        <v>13.59</v>
      </c>
      <c r="K331" s="15"/>
      <c r="L331" s="15"/>
      <c r="M331" s="15"/>
      <c r="N331" s="15"/>
      <c r="O331" s="15"/>
      <c r="P331" s="15"/>
      <c r="Q331" s="15"/>
      <c r="R331" s="15"/>
    </row>
    <row r="332">
      <c r="B332" s="18" t="s">
        <v>94</v>
      </c>
      <c r="C332" s="45" t="s">
        <v>36</v>
      </c>
      <c r="D332" s="21">
        <v>72362.0</v>
      </c>
      <c r="E332" s="21">
        <v>357.0</v>
      </c>
      <c r="F332" s="38">
        <f t="shared" si="38"/>
        <v>7841.05</v>
      </c>
      <c r="G332" s="38">
        <f t="shared" si="48"/>
        <v>9566.081</v>
      </c>
      <c r="H332" s="44">
        <v>9613.911404999999</v>
      </c>
      <c r="I332" s="38">
        <f t="shared" si="49"/>
        <v>108.3586689</v>
      </c>
      <c r="J332" s="49">
        <f t="shared" si="14"/>
        <v>21.96372549</v>
      </c>
      <c r="K332" s="15"/>
      <c r="L332" s="15"/>
      <c r="M332" s="15"/>
      <c r="N332" s="15"/>
      <c r="O332" s="15"/>
      <c r="P332" s="15"/>
      <c r="Q332" s="15"/>
      <c r="R332" s="15"/>
    </row>
    <row r="333">
      <c r="A333" s="100"/>
      <c r="B333" s="18" t="s">
        <v>94</v>
      </c>
      <c r="C333" s="45" t="s">
        <v>48</v>
      </c>
      <c r="D333" s="21">
        <v>151922.0</v>
      </c>
      <c r="E333" s="21">
        <v>394.0</v>
      </c>
      <c r="F333" s="38">
        <f t="shared" si="38"/>
        <v>9850</v>
      </c>
      <c r="G333" s="38">
        <f t="shared" si="48"/>
        <v>12017</v>
      </c>
      <c r="H333" s="44">
        <v>12077.085</v>
      </c>
      <c r="I333" s="38">
        <f t="shared" si="49"/>
        <v>64.83590263</v>
      </c>
      <c r="J333" s="49">
        <f t="shared" si="14"/>
        <v>25</v>
      </c>
      <c r="K333" s="15"/>
      <c r="L333" s="15"/>
      <c r="M333" s="15"/>
      <c r="N333" s="15"/>
      <c r="O333" s="15"/>
      <c r="P333" s="15"/>
      <c r="Q333" s="15"/>
      <c r="R333" s="15"/>
    </row>
    <row r="334">
      <c r="A334" s="262"/>
      <c r="B334" s="56" t="s">
        <v>94</v>
      </c>
      <c r="C334" s="58" t="s">
        <v>52</v>
      </c>
      <c r="D334" s="59">
        <v>66897.0</v>
      </c>
      <c r="E334" s="59">
        <v>49.0</v>
      </c>
      <c r="F334" s="60">
        <f t="shared" si="38"/>
        <v>1225</v>
      </c>
      <c r="G334" s="60">
        <f t="shared" si="48"/>
        <v>1494.5</v>
      </c>
      <c r="H334" s="62">
        <v>1501.9724999999999</v>
      </c>
      <c r="I334" s="60">
        <f t="shared" si="49"/>
        <v>18.31173296</v>
      </c>
      <c r="J334" s="64">
        <f t="shared" si="14"/>
        <v>25</v>
      </c>
      <c r="K334" s="15"/>
      <c r="L334" s="15"/>
      <c r="M334" s="15"/>
      <c r="N334" s="15"/>
      <c r="O334" s="15"/>
      <c r="P334" s="15"/>
      <c r="Q334" s="15"/>
      <c r="R334" s="15"/>
    </row>
    <row r="335">
      <c r="A335" s="19" t="s">
        <v>76</v>
      </c>
      <c r="B335" s="24" t="s">
        <v>94</v>
      </c>
      <c r="C335" s="27" t="s">
        <v>36</v>
      </c>
      <c r="D335" s="30">
        <v>520947.0</v>
      </c>
      <c r="E335" s="30">
        <v>7576.0</v>
      </c>
      <c r="F335" s="37">
        <f t="shared" si="38"/>
        <v>64597.4</v>
      </c>
      <c r="G335" s="37">
        <f t="shared" si="48"/>
        <v>78808.828</v>
      </c>
      <c r="H335" s="39">
        <v>79202.87213999999</v>
      </c>
      <c r="I335" s="37">
        <f t="shared" si="49"/>
        <v>123.9999463</v>
      </c>
      <c r="J335" s="41">
        <f t="shared" si="14"/>
        <v>8.526583949</v>
      </c>
      <c r="K335" s="42"/>
      <c r="L335" s="42"/>
      <c r="M335" s="42"/>
      <c r="N335" s="42"/>
      <c r="O335" s="42"/>
      <c r="P335" s="42"/>
      <c r="Q335" s="42"/>
      <c r="R335" s="42"/>
    </row>
    <row r="336">
      <c r="A336" s="100"/>
      <c r="B336" s="18" t="s">
        <v>94</v>
      </c>
      <c r="C336" s="45" t="s">
        <v>48</v>
      </c>
      <c r="D336" s="21">
        <v>2926948.0</v>
      </c>
      <c r="E336" s="21">
        <v>25879.0</v>
      </c>
      <c r="F336" s="38">
        <f t="shared" si="38"/>
        <v>362941.552</v>
      </c>
      <c r="G336" s="38">
        <f t="shared" si="48"/>
        <v>442788.6934</v>
      </c>
      <c r="H336" s="44">
        <v>445002.6369072</v>
      </c>
      <c r="I336" s="38">
        <f t="shared" si="49"/>
        <v>124</v>
      </c>
      <c r="J336" s="49">
        <f t="shared" si="14"/>
        <v>14.0245586</v>
      </c>
      <c r="K336" s="15"/>
      <c r="L336" s="15"/>
      <c r="M336" s="15"/>
      <c r="N336" s="15"/>
      <c r="O336" s="15"/>
      <c r="P336" s="15"/>
      <c r="Q336" s="15"/>
      <c r="R336" s="15"/>
    </row>
    <row r="337">
      <c r="A337" s="262"/>
      <c r="B337" s="56" t="s">
        <v>94</v>
      </c>
      <c r="C337" s="58" t="s">
        <v>52</v>
      </c>
      <c r="D337" s="59">
        <v>585380.0</v>
      </c>
      <c r="E337" s="59">
        <v>6089.0</v>
      </c>
      <c r="F337" s="60">
        <f t="shared" si="38"/>
        <v>72550</v>
      </c>
      <c r="G337" s="60">
        <f t="shared" si="48"/>
        <v>88511</v>
      </c>
      <c r="H337" s="62">
        <v>88953.555</v>
      </c>
      <c r="I337" s="60">
        <f t="shared" si="49"/>
        <v>123.9365882</v>
      </c>
      <c r="J337" s="64">
        <f t="shared" si="14"/>
        <v>11.91492856</v>
      </c>
      <c r="K337" s="15"/>
      <c r="L337" s="15"/>
      <c r="M337" s="15"/>
      <c r="N337" s="15"/>
      <c r="O337" s="15"/>
      <c r="P337" s="15"/>
      <c r="Q337" s="15"/>
      <c r="R337" s="15"/>
    </row>
    <row r="338">
      <c r="A338" s="173" t="s">
        <v>41</v>
      </c>
      <c r="B338" s="24" t="s">
        <v>94</v>
      </c>
      <c r="C338" s="27" t="s">
        <v>28</v>
      </c>
      <c r="D338" s="30">
        <v>443054.0</v>
      </c>
      <c r="E338" s="30">
        <v>1488.0</v>
      </c>
      <c r="F338" s="37">
        <f t="shared" si="38"/>
        <v>103100.45</v>
      </c>
      <c r="G338" s="37">
        <f t="shared" si="48"/>
        <v>125782.549</v>
      </c>
      <c r="H338" s="39">
        <v>126411.46174499995</v>
      </c>
      <c r="I338" s="37">
        <f t="shared" si="49"/>
        <v>232.704027</v>
      </c>
      <c r="J338" s="41">
        <f t="shared" si="14"/>
        <v>69.28793683</v>
      </c>
      <c r="K338" s="42"/>
      <c r="L338" s="42"/>
      <c r="M338" s="42"/>
      <c r="N338" s="42"/>
      <c r="O338" s="42"/>
      <c r="P338" s="42"/>
      <c r="Q338" s="42"/>
      <c r="R338" s="42"/>
    </row>
    <row r="339">
      <c r="A339" s="100"/>
      <c r="B339" s="18" t="s">
        <v>94</v>
      </c>
      <c r="C339" s="45" t="s">
        <v>34</v>
      </c>
      <c r="D339" s="21">
        <v>382322.0</v>
      </c>
      <c r="E339" s="21">
        <v>2997.0</v>
      </c>
      <c r="F339" s="38">
        <f t="shared" si="38"/>
        <v>113558.55</v>
      </c>
      <c r="G339" s="38">
        <f t="shared" si="48"/>
        <v>138541.431</v>
      </c>
      <c r="H339" s="44">
        <v>139234.13815499996</v>
      </c>
      <c r="I339" s="38">
        <f t="shared" si="49"/>
        <v>297.0233207</v>
      </c>
      <c r="J339" s="49">
        <f t="shared" si="14"/>
        <v>37.89074074</v>
      </c>
      <c r="K339" s="15"/>
      <c r="L339" s="15"/>
      <c r="M339" s="15"/>
      <c r="N339" s="15"/>
      <c r="O339" s="15"/>
      <c r="P339" s="15"/>
      <c r="Q339" s="15"/>
      <c r="R339" s="15"/>
    </row>
    <row r="340">
      <c r="A340" s="100"/>
      <c r="B340" s="18" t="s">
        <v>94</v>
      </c>
      <c r="C340" s="45" t="s">
        <v>36</v>
      </c>
      <c r="D340" s="21">
        <v>516854.0</v>
      </c>
      <c r="E340" s="21">
        <v>1779.0</v>
      </c>
      <c r="F340" s="38">
        <f t="shared" si="38"/>
        <v>106831.43</v>
      </c>
      <c r="G340" s="38">
        <f t="shared" si="48"/>
        <v>130334.3446</v>
      </c>
      <c r="H340" s="44">
        <v>130986.01632299997</v>
      </c>
      <c r="I340" s="38">
        <f t="shared" si="49"/>
        <v>206.6955659</v>
      </c>
      <c r="J340" s="49">
        <f t="shared" si="14"/>
        <v>60.05139404</v>
      </c>
      <c r="K340" s="15"/>
      <c r="L340" s="15"/>
      <c r="M340" s="15"/>
      <c r="N340" s="15"/>
      <c r="O340" s="15"/>
      <c r="P340" s="15"/>
      <c r="Q340" s="15"/>
      <c r="R340" s="15"/>
    </row>
    <row r="341">
      <c r="A341" s="100"/>
      <c r="B341" s="18" t="s">
        <v>94</v>
      </c>
      <c r="C341" s="45" t="s">
        <v>48</v>
      </c>
      <c r="D341" s="21">
        <v>426990.0</v>
      </c>
      <c r="E341" s="21">
        <v>1242.0</v>
      </c>
      <c r="F341" s="38">
        <f t="shared" si="38"/>
        <v>100635.46</v>
      </c>
      <c r="G341" s="38">
        <f t="shared" si="48"/>
        <v>122775.2612</v>
      </c>
      <c r="H341" s="44">
        <v>123389.13750600004</v>
      </c>
      <c r="I341" s="38">
        <f t="shared" si="49"/>
        <v>235.6857538</v>
      </c>
      <c r="J341" s="49">
        <f t="shared" si="14"/>
        <v>81.02694042</v>
      </c>
      <c r="K341" s="15"/>
      <c r="L341" s="15"/>
      <c r="M341" s="15"/>
      <c r="N341" s="15"/>
      <c r="O341" s="15"/>
      <c r="P341" s="15"/>
      <c r="Q341" s="15"/>
      <c r="R341" s="15"/>
    </row>
    <row r="342">
      <c r="A342" s="262"/>
      <c r="B342" s="56" t="s">
        <v>94</v>
      </c>
      <c r="C342" s="58" t="s">
        <v>52</v>
      </c>
      <c r="D342" s="59">
        <v>100255.0</v>
      </c>
      <c r="E342" s="59">
        <v>240.0</v>
      </c>
      <c r="F342" s="60">
        <f t="shared" si="38"/>
        <v>25333.51</v>
      </c>
      <c r="G342" s="60">
        <f t="shared" si="48"/>
        <v>30906.8822</v>
      </c>
      <c r="H342" s="62">
        <v>31061.416610999993</v>
      </c>
      <c r="I342" s="60">
        <f t="shared" si="49"/>
        <v>252.6907386</v>
      </c>
      <c r="J342" s="64">
        <f t="shared" si="14"/>
        <v>105.5562917</v>
      </c>
      <c r="K342" s="15"/>
      <c r="L342" s="15"/>
      <c r="M342" s="15"/>
      <c r="N342" s="15"/>
      <c r="O342" s="15"/>
      <c r="P342" s="15"/>
      <c r="Q342" s="15"/>
      <c r="R342" s="15"/>
    </row>
    <row r="343">
      <c r="A343" s="110" t="s">
        <v>46</v>
      </c>
      <c r="B343" s="111"/>
      <c r="C343" s="112"/>
      <c r="D343" s="113">
        <f t="shared" ref="D343:E343" si="50">SUM(D317:D342)</f>
        <v>9708783</v>
      </c>
      <c r="E343" s="113">
        <f t="shared" si="50"/>
        <v>66275</v>
      </c>
      <c r="F343" s="114">
        <f t="shared" si="38"/>
        <v>397556.5451</v>
      </c>
      <c r="G343" s="114">
        <f>SUM(G317:G321)</f>
        <v>485018.9851</v>
      </c>
      <c r="H343" s="115">
        <f>SUM(H317:H342)</f>
        <v>2314711.22</v>
      </c>
      <c r="I343" s="114">
        <f>F343/(D343/1000)</f>
        <v>40.94813378</v>
      </c>
      <c r="J343" s="116">
        <f t="shared" si="14"/>
        <v>5.998589893</v>
      </c>
      <c r="K343" s="42"/>
      <c r="L343" s="42"/>
      <c r="M343" s="42"/>
      <c r="N343" s="42"/>
      <c r="O343" s="42"/>
      <c r="P343" s="42"/>
      <c r="Q343" s="42"/>
      <c r="R343" s="42"/>
    </row>
    <row r="344">
      <c r="A344" s="19" t="s">
        <v>119</v>
      </c>
      <c r="B344" s="24" t="s">
        <v>95</v>
      </c>
      <c r="C344" s="27" t="s">
        <v>28</v>
      </c>
      <c r="D344" s="30">
        <v>213772.0</v>
      </c>
      <c r="E344" s="30">
        <v>1977.0</v>
      </c>
      <c r="F344" s="37">
        <f t="shared" si="38"/>
        <v>23514.92</v>
      </c>
      <c r="G344" s="37">
        <f t="shared" ref="G344:G359" si="51">H344/1.005</f>
        <v>28688.2024</v>
      </c>
      <c r="H344" s="39">
        <v>28831.643411999998</v>
      </c>
      <c r="I344" s="37">
        <f t="shared" ref="I344:I355" si="52">F344/D344*1000</f>
        <v>110</v>
      </c>
      <c r="J344" s="41">
        <f t="shared" si="14"/>
        <v>11.8942438</v>
      </c>
      <c r="K344" s="42"/>
      <c r="L344" s="42"/>
      <c r="M344" s="42"/>
      <c r="N344" s="42"/>
      <c r="O344" s="42"/>
      <c r="P344" s="42"/>
      <c r="Q344" s="42"/>
      <c r="R344" s="42"/>
    </row>
    <row r="345">
      <c r="B345" s="56" t="s">
        <v>95</v>
      </c>
      <c r="C345" s="58" t="s">
        <v>34</v>
      </c>
      <c r="D345" s="59">
        <v>94157.0</v>
      </c>
      <c r="E345" s="59">
        <v>1087.0</v>
      </c>
      <c r="F345" s="60">
        <f t="shared" si="38"/>
        <v>10357.27</v>
      </c>
      <c r="G345" s="60">
        <f t="shared" si="51"/>
        <v>12635.8694</v>
      </c>
      <c r="H345" s="62">
        <v>12699.048746999999</v>
      </c>
      <c r="I345" s="60">
        <f t="shared" si="52"/>
        <v>110</v>
      </c>
      <c r="J345" s="64">
        <f t="shared" si="14"/>
        <v>9.528307268</v>
      </c>
      <c r="K345" s="15"/>
      <c r="L345" s="15"/>
      <c r="M345" s="15"/>
      <c r="N345" s="15"/>
      <c r="O345" s="15"/>
      <c r="P345" s="15"/>
      <c r="Q345" s="15"/>
      <c r="R345" s="15"/>
    </row>
    <row r="346">
      <c r="A346" s="173" t="s">
        <v>41</v>
      </c>
      <c r="B346" s="24" t="s">
        <v>95</v>
      </c>
      <c r="C346" s="27" t="s">
        <v>28</v>
      </c>
      <c r="D346" s="30">
        <v>454714.0</v>
      </c>
      <c r="E346" s="30">
        <v>656.0</v>
      </c>
      <c r="F346" s="37">
        <f t="shared" si="38"/>
        <v>79193.7</v>
      </c>
      <c r="G346" s="37">
        <f t="shared" si="51"/>
        <v>96616.314</v>
      </c>
      <c r="H346" s="39">
        <v>97099.39557000004</v>
      </c>
      <c r="I346" s="37">
        <f t="shared" si="52"/>
        <v>174.1615609</v>
      </c>
      <c r="J346" s="41">
        <f t="shared" si="14"/>
        <v>120.7221037</v>
      </c>
      <c r="K346" s="42"/>
      <c r="L346" s="42"/>
      <c r="M346" s="42"/>
      <c r="N346" s="42"/>
      <c r="O346" s="42"/>
      <c r="P346" s="42"/>
      <c r="Q346" s="42"/>
      <c r="R346" s="42"/>
    </row>
    <row r="347">
      <c r="B347" s="18" t="s">
        <v>95</v>
      </c>
      <c r="C347" s="45" t="s">
        <v>34</v>
      </c>
      <c r="D347" s="21">
        <v>206181.0</v>
      </c>
      <c r="E347" s="21">
        <v>487.0</v>
      </c>
      <c r="F347" s="38">
        <f t="shared" si="38"/>
        <v>50602.42</v>
      </c>
      <c r="G347" s="38">
        <f t="shared" si="51"/>
        <v>61734.9524</v>
      </c>
      <c r="H347" s="44">
        <v>62043.62716200002</v>
      </c>
      <c r="I347" s="38">
        <f t="shared" si="52"/>
        <v>245.4271732</v>
      </c>
      <c r="J347" s="49">
        <f t="shared" si="14"/>
        <v>103.9064066</v>
      </c>
      <c r="K347" s="15"/>
      <c r="L347" s="15"/>
      <c r="M347" s="15"/>
      <c r="N347" s="15"/>
      <c r="O347" s="15"/>
      <c r="P347" s="15"/>
      <c r="Q347" s="15"/>
      <c r="R347" s="15"/>
    </row>
    <row r="348">
      <c r="A348" s="61" t="s">
        <v>40</v>
      </c>
      <c r="B348" s="18" t="s">
        <v>95</v>
      </c>
      <c r="C348" s="45" t="s">
        <v>36</v>
      </c>
      <c r="D348" s="21">
        <v>2876271.0</v>
      </c>
      <c r="E348" s="21">
        <v>3270.0</v>
      </c>
      <c r="F348" s="38">
        <f t="shared" si="38"/>
        <v>230078.36</v>
      </c>
      <c r="G348" s="38">
        <f t="shared" si="51"/>
        <v>280695.5992</v>
      </c>
      <c r="H348" s="44">
        <v>282099.07719599985</v>
      </c>
      <c r="I348" s="38">
        <f t="shared" si="52"/>
        <v>79.99189228</v>
      </c>
      <c r="J348" s="49">
        <f t="shared" si="14"/>
        <v>70.36035474</v>
      </c>
      <c r="K348" s="15"/>
      <c r="L348" s="15"/>
      <c r="M348" s="15"/>
      <c r="N348" s="15"/>
      <c r="O348" s="15"/>
      <c r="P348" s="15"/>
      <c r="Q348" s="15"/>
      <c r="R348" s="15"/>
    </row>
    <row r="349">
      <c r="A349" s="17"/>
      <c r="B349" s="18" t="s">
        <v>95</v>
      </c>
      <c r="C349" s="45" t="s">
        <v>48</v>
      </c>
      <c r="D349" s="21">
        <v>1575035.0</v>
      </c>
      <c r="E349" s="21">
        <v>1654.0</v>
      </c>
      <c r="F349" s="38">
        <f t="shared" si="38"/>
        <v>126005.47</v>
      </c>
      <c r="G349" s="38">
        <f t="shared" si="51"/>
        <v>153726.6734</v>
      </c>
      <c r="H349" s="44">
        <v>154495.3067669999</v>
      </c>
      <c r="I349" s="38">
        <f t="shared" si="52"/>
        <v>80.0016952</v>
      </c>
      <c r="J349" s="49">
        <f t="shared" si="14"/>
        <v>76.18226723</v>
      </c>
      <c r="K349" s="15"/>
      <c r="L349" s="15"/>
      <c r="M349" s="15"/>
      <c r="N349" s="15"/>
      <c r="O349" s="15"/>
      <c r="P349" s="15"/>
      <c r="Q349" s="15"/>
      <c r="R349" s="15"/>
    </row>
    <row r="350">
      <c r="A350" s="196"/>
      <c r="B350" s="56" t="s">
        <v>95</v>
      </c>
      <c r="C350" s="58" t="s">
        <v>52</v>
      </c>
      <c r="D350" s="59">
        <v>382441.0</v>
      </c>
      <c r="E350" s="59">
        <v>443.0</v>
      </c>
      <c r="F350" s="60">
        <f t="shared" si="38"/>
        <v>30591.69</v>
      </c>
      <c r="G350" s="60">
        <f t="shared" si="51"/>
        <v>37321.8618</v>
      </c>
      <c r="H350" s="62">
        <v>37508.471109</v>
      </c>
      <c r="I350" s="60">
        <f t="shared" si="52"/>
        <v>79.99061293</v>
      </c>
      <c r="J350" s="64">
        <f t="shared" si="14"/>
        <v>69.05573363</v>
      </c>
      <c r="K350" s="15"/>
      <c r="L350" s="15"/>
      <c r="M350" s="15"/>
      <c r="N350" s="15"/>
      <c r="O350" s="15"/>
      <c r="P350" s="15"/>
      <c r="Q350" s="15"/>
      <c r="R350" s="15"/>
    </row>
    <row r="351">
      <c r="A351" s="19" t="s">
        <v>64</v>
      </c>
      <c r="B351" s="24" t="s">
        <v>95</v>
      </c>
      <c r="C351" s="27" t="s">
        <v>28</v>
      </c>
      <c r="D351" s="30">
        <v>26400.0</v>
      </c>
      <c r="E351" s="30">
        <v>82.0</v>
      </c>
      <c r="F351" s="37">
        <f t="shared" si="38"/>
        <v>2901.16</v>
      </c>
      <c r="G351" s="37">
        <f t="shared" si="51"/>
        <v>3539.4152</v>
      </c>
      <c r="H351" s="39">
        <v>3557.1122759999994</v>
      </c>
      <c r="I351" s="37">
        <f t="shared" si="52"/>
        <v>109.8924242</v>
      </c>
      <c r="J351" s="41">
        <f t="shared" si="14"/>
        <v>35.38</v>
      </c>
      <c r="K351" s="42"/>
      <c r="L351" s="42"/>
      <c r="M351" s="42"/>
      <c r="N351" s="42"/>
      <c r="O351" s="42"/>
      <c r="P351" s="42"/>
      <c r="Q351" s="42"/>
      <c r="R351" s="42"/>
    </row>
    <row r="352">
      <c r="B352" s="18" t="s">
        <v>95</v>
      </c>
      <c r="C352" s="45" t="s">
        <v>34</v>
      </c>
      <c r="D352" s="21">
        <v>28167.0</v>
      </c>
      <c r="E352" s="21">
        <v>67.0</v>
      </c>
      <c r="F352" s="38">
        <f t="shared" si="38"/>
        <v>2370.46</v>
      </c>
      <c r="G352" s="38">
        <f t="shared" si="51"/>
        <v>2891.9612</v>
      </c>
      <c r="H352" s="44">
        <v>2906.421006</v>
      </c>
      <c r="I352" s="38">
        <f t="shared" si="52"/>
        <v>84.15734725</v>
      </c>
      <c r="J352" s="49">
        <f t="shared" si="14"/>
        <v>35.38</v>
      </c>
      <c r="K352" s="15"/>
      <c r="L352" s="15"/>
      <c r="M352" s="15"/>
      <c r="N352" s="15"/>
      <c r="O352" s="15"/>
      <c r="P352" s="15"/>
      <c r="Q352" s="15"/>
      <c r="R352" s="15"/>
    </row>
    <row r="353">
      <c r="A353" s="17"/>
      <c r="B353" s="18" t="s">
        <v>95</v>
      </c>
      <c r="C353" s="45" t="s">
        <v>36</v>
      </c>
      <c r="D353" s="21">
        <v>6653.0</v>
      </c>
      <c r="E353" s="21">
        <v>40.0</v>
      </c>
      <c r="F353" s="38">
        <f t="shared" si="38"/>
        <v>1415.2</v>
      </c>
      <c r="G353" s="38">
        <f t="shared" si="51"/>
        <v>1726.544</v>
      </c>
      <c r="H353" s="44">
        <v>1735.17672</v>
      </c>
      <c r="I353" s="38">
        <f t="shared" si="52"/>
        <v>212.7160679</v>
      </c>
      <c r="J353" s="49">
        <f t="shared" si="14"/>
        <v>35.38</v>
      </c>
      <c r="K353" s="15"/>
      <c r="L353" s="15"/>
      <c r="M353" s="15"/>
      <c r="N353" s="15"/>
      <c r="O353" s="15"/>
      <c r="P353" s="15"/>
      <c r="Q353" s="15"/>
      <c r="R353" s="15"/>
    </row>
    <row r="354">
      <c r="A354" s="17"/>
      <c r="B354" s="18" t="s">
        <v>95</v>
      </c>
      <c r="C354" s="45" t="s">
        <v>48</v>
      </c>
      <c r="D354" s="21">
        <v>378051.0</v>
      </c>
      <c r="E354" s="21">
        <v>1083.0</v>
      </c>
      <c r="F354" s="38">
        <f t="shared" si="38"/>
        <v>54148.56</v>
      </c>
      <c r="G354" s="38">
        <f t="shared" si="51"/>
        <v>66061.2432</v>
      </c>
      <c r="H354" s="44">
        <v>66391.549416</v>
      </c>
      <c r="I354" s="38">
        <f t="shared" si="52"/>
        <v>143.2308339</v>
      </c>
      <c r="J354" s="49">
        <f t="shared" si="14"/>
        <v>49.99867036</v>
      </c>
      <c r="K354" s="15"/>
      <c r="L354" s="15"/>
      <c r="M354" s="15"/>
      <c r="N354" s="15"/>
      <c r="O354" s="15"/>
      <c r="P354" s="15"/>
      <c r="Q354" s="15"/>
      <c r="R354" s="15"/>
    </row>
    <row r="355">
      <c r="A355" s="196"/>
      <c r="B355" s="56" t="s">
        <v>95</v>
      </c>
      <c r="C355" s="58" t="s">
        <v>52</v>
      </c>
      <c r="D355" s="59">
        <v>214510.0</v>
      </c>
      <c r="E355" s="59">
        <v>512.0</v>
      </c>
      <c r="F355" s="60">
        <f t="shared" si="38"/>
        <v>25600</v>
      </c>
      <c r="G355" s="60">
        <f t="shared" si="51"/>
        <v>31232</v>
      </c>
      <c r="H355" s="62">
        <v>31388.159999999996</v>
      </c>
      <c r="I355" s="60">
        <f t="shared" si="52"/>
        <v>119.3417556</v>
      </c>
      <c r="J355" s="64">
        <f t="shared" si="14"/>
        <v>50</v>
      </c>
      <c r="K355" s="15"/>
      <c r="L355" s="15"/>
      <c r="M355" s="15"/>
      <c r="N355" s="15"/>
      <c r="O355" s="15"/>
      <c r="P355" s="15"/>
      <c r="Q355" s="15"/>
      <c r="R355" s="15"/>
    </row>
    <row r="356">
      <c r="A356" s="19" t="s">
        <v>96</v>
      </c>
      <c r="B356" s="24" t="s">
        <v>95</v>
      </c>
      <c r="C356" s="27" t="s">
        <v>28</v>
      </c>
      <c r="D356" s="30">
        <v>6173.0</v>
      </c>
      <c r="E356" s="30">
        <v>316.0</v>
      </c>
      <c r="F356" s="37">
        <f t="shared" si="38"/>
        <v>0</v>
      </c>
      <c r="G356" s="37">
        <f t="shared" si="51"/>
        <v>0</v>
      </c>
      <c r="H356" s="39">
        <v>0.0</v>
      </c>
      <c r="I356" s="37">
        <f t="shared" ref="I356:I357" si="53">F356/D355*1000</f>
        <v>0</v>
      </c>
      <c r="J356" s="41">
        <f t="shared" si="14"/>
        <v>0</v>
      </c>
      <c r="K356" s="42"/>
      <c r="L356" s="42"/>
      <c r="M356" s="42"/>
      <c r="N356" s="42"/>
      <c r="O356" s="42"/>
      <c r="P356" s="42"/>
      <c r="Q356" s="42"/>
      <c r="R356" s="42"/>
    </row>
    <row r="357">
      <c r="A357" s="17"/>
      <c r="B357" s="18" t="s">
        <v>95</v>
      </c>
      <c r="C357" s="45" t="s">
        <v>34</v>
      </c>
      <c r="D357" s="21">
        <v>7887.0</v>
      </c>
      <c r="E357" s="21">
        <v>424.0</v>
      </c>
      <c r="F357" s="38">
        <f t="shared" si="38"/>
        <v>0</v>
      </c>
      <c r="G357" s="38">
        <f t="shared" si="51"/>
        <v>0</v>
      </c>
      <c r="H357" s="44">
        <v>0.0</v>
      </c>
      <c r="I357" s="38">
        <f t="shared" si="53"/>
        <v>0</v>
      </c>
      <c r="J357" s="49">
        <f t="shared" si="14"/>
        <v>0</v>
      </c>
      <c r="K357" s="15"/>
      <c r="L357" s="15"/>
      <c r="M357" s="15"/>
      <c r="N357" s="15"/>
      <c r="O357" s="15"/>
      <c r="P357" s="15"/>
      <c r="Q357" s="15"/>
      <c r="R357" s="15"/>
    </row>
    <row r="358">
      <c r="A358" s="17"/>
      <c r="B358" s="18" t="s">
        <v>95</v>
      </c>
      <c r="C358" s="45" t="s">
        <v>36</v>
      </c>
      <c r="D358" s="21">
        <v>9212.0</v>
      </c>
      <c r="E358" s="21">
        <v>503.0</v>
      </c>
      <c r="F358" s="38">
        <f t="shared" si="38"/>
        <v>0</v>
      </c>
      <c r="G358" s="38">
        <f t="shared" si="51"/>
        <v>0</v>
      </c>
      <c r="H358" s="44">
        <v>0.0</v>
      </c>
      <c r="I358" s="38">
        <f t="shared" ref="I358:I359" si="54">F358/D358*1000</f>
        <v>0</v>
      </c>
      <c r="J358" s="49">
        <f t="shared" si="14"/>
        <v>0</v>
      </c>
      <c r="K358" s="15"/>
      <c r="L358" s="15"/>
      <c r="M358" s="15"/>
      <c r="N358" s="15"/>
      <c r="O358" s="15"/>
      <c r="P358" s="15"/>
      <c r="Q358" s="15"/>
      <c r="R358" s="15"/>
    </row>
    <row r="359">
      <c r="A359" s="196"/>
      <c r="B359" s="56" t="s">
        <v>95</v>
      </c>
      <c r="C359" s="58" t="s">
        <v>38</v>
      </c>
      <c r="D359" s="59">
        <v>10730.0</v>
      </c>
      <c r="E359" s="59">
        <v>606.0</v>
      </c>
      <c r="F359" s="60">
        <f t="shared" si="38"/>
        <v>43616.39344</v>
      </c>
      <c r="G359" s="60">
        <f t="shared" si="51"/>
        <v>53212</v>
      </c>
      <c r="H359" s="62">
        <v>53478.06</v>
      </c>
      <c r="I359" s="60">
        <f t="shared" si="54"/>
        <v>4064.901532</v>
      </c>
      <c r="J359" s="64">
        <f t="shared" si="14"/>
        <v>71.9742466</v>
      </c>
      <c r="K359" s="15"/>
      <c r="L359" s="15"/>
      <c r="M359" s="15"/>
      <c r="N359" s="15"/>
      <c r="O359" s="15"/>
      <c r="P359" s="15"/>
      <c r="Q359" s="15"/>
      <c r="R359" s="15"/>
    </row>
    <row r="360">
      <c r="A360" s="110" t="s">
        <v>46</v>
      </c>
      <c r="B360" s="111"/>
      <c r="C360" s="112"/>
      <c r="D360" s="113">
        <f t="shared" ref="D360:E360" si="55">SUM(D344:D359)</f>
        <v>6490354</v>
      </c>
      <c r="E360" s="113">
        <f t="shared" si="55"/>
        <v>13207</v>
      </c>
      <c r="F360" s="114">
        <f t="shared" si="38"/>
        <v>33872.19</v>
      </c>
      <c r="G360" s="114">
        <f>SUM(G344:G345)</f>
        <v>41324.0718</v>
      </c>
      <c r="H360" s="115">
        <f>SUM(H344:H359)</f>
        <v>834233.0494</v>
      </c>
      <c r="I360" s="114">
        <f>F360/(D360/1000)</f>
        <v>5.218850929</v>
      </c>
      <c r="J360" s="116">
        <f t="shared" si="14"/>
        <v>2.564714924</v>
      </c>
      <c r="K360" s="42"/>
      <c r="L360" s="42"/>
      <c r="M360" s="42"/>
      <c r="N360" s="42"/>
      <c r="O360" s="42"/>
      <c r="P360" s="42"/>
      <c r="Q360" s="42"/>
      <c r="R360" s="42"/>
    </row>
    <row r="361">
      <c r="A361" s="19" t="s">
        <v>96</v>
      </c>
      <c r="B361" s="24" t="s">
        <v>97</v>
      </c>
      <c r="C361" s="27" t="s">
        <v>28</v>
      </c>
      <c r="D361" s="30">
        <v>9975.0</v>
      </c>
      <c r="E361" s="30">
        <v>612.0</v>
      </c>
      <c r="F361" s="37">
        <f t="shared" si="38"/>
        <v>0</v>
      </c>
      <c r="G361" s="37">
        <f t="shared" ref="G361:G379" si="56">H361/1.005</f>
        <v>0</v>
      </c>
      <c r="H361" s="39">
        <v>0.0</v>
      </c>
      <c r="I361" s="37">
        <f t="shared" ref="I361:I379" si="57">F361/D361*1000</f>
        <v>0</v>
      </c>
      <c r="J361" s="41">
        <f t="shared" si="14"/>
        <v>0</v>
      </c>
      <c r="K361" s="42"/>
      <c r="L361" s="42"/>
      <c r="M361" s="42"/>
      <c r="N361" s="42"/>
      <c r="O361" s="42"/>
      <c r="P361" s="42"/>
      <c r="Q361" s="42"/>
      <c r="R361" s="42"/>
    </row>
    <row r="362">
      <c r="B362" s="18" t="s">
        <v>97</v>
      </c>
      <c r="C362" s="45" t="s">
        <v>34</v>
      </c>
      <c r="D362" s="21">
        <v>10794.0</v>
      </c>
      <c r="E362" s="21">
        <v>648.0</v>
      </c>
      <c r="F362" s="38">
        <f t="shared" si="38"/>
        <v>0</v>
      </c>
      <c r="G362" s="38">
        <f t="shared" si="56"/>
        <v>0</v>
      </c>
      <c r="H362" s="44">
        <v>0.0</v>
      </c>
      <c r="I362" s="38">
        <f t="shared" si="57"/>
        <v>0</v>
      </c>
      <c r="J362" s="49">
        <f t="shared" si="14"/>
        <v>0</v>
      </c>
      <c r="K362" s="15"/>
      <c r="L362" s="15"/>
      <c r="M362" s="15"/>
      <c r="N362" s="15"/>
      <c r="O362" s="15"/>
      <c r="P362" s="15"/>
      <c r="Q362" s="15"/>
      <c r="R362" s="15"/>
    </row>
    <row r="363">
      <c r="B363" s="18" t="s">
        <v>97</v>
      </c>
      <c r="C363" s="45" t="s">
        <v>36</v>
      </c>
      <c r="D363" s="21">
        <v>11331.0</v>
      </c>
      <c r="E363" s="21">
        <v>700.0</v>
      </c>
      <c r="F363" s="38">
        <f t="shared" si="38"/>
        <v>0</v>
      </c>
      <c r="G363" s="38">
        <f t="shared" si="56"/>
        <v>0</v>
      </c>
      <c r="H363" s="44">
        <v>0.0</v>
      </c>
      <c r="I363" s="38">
        <f t="shared" si="57"/>
        <v>0</v>
      </c>
      <c r="J363" s="49">
        <f t="shared" si="14"/>
        <v>0</v>
      </c>
      <c r="K363" s="15"/>
      <c r="L363" s="15"/>
      <c r="M363" s="15"/>
      <c r="N363" s="15"/>
      <c r="O363" s="15"/>
      <c r="P363" s="15"/>
      <c r="Q363" s="15"/>
      <c r="R363" s="15"/>
    </row>
    <row r="364">
      <c r="B364" s="56" t="s">
        <v>97</v>
      </c>
      <c r="C364" s="58" t="s">
        <v>38</v>
      </c>
      <c r="D364" s="59">
        <v>13212.0</v>
      </c>
      <c r="E364" s="59">
        <v>826.0</v>
      </c>
      <c r="F364" s="60">
        <f t="shared" si="38"/>
        <v>53040.98361</v>
      </c>
      <c r="G364" s="60">
        <f t="shared" si="56"/>
        <v>64710</v>
      </c>
      <c r="H364" s="62">
        <v>65033.55</v>
      </c>
      <c r="I364" s="60">
        <f t="shared" si="57"/>
        <v>4014.606691</v>
      </c>
      <c r="J364" s="64">
        <f t="shared" si="14"/>
        <v>64.21426587</v>
      </c>
      <c r="K364" s="15"/>
      <c r="L364" s="15"/>
      <c r="M364" s="15"/>
      <c r="N364" s="15"/>
      <c r="O364" s="15"/>
      <c r="P364" s="15"/>
      <c r="Q364" s="15"/>
      <c r="R364" s="15"/>
    </row>
    <row r="365">
      <c r="A365" s="19" t="s">
        <v>37</v>
      </c>
      <c r="B365" s="24" t="s">
        <v>97</v>
      </c>
      <c r="C365" s="27" t="s">
        <v>28</v>
      </c>
      <c r="D365" s="30">
        <v>334009.0</v>
      </c>
      <c r="E365" s="30">
        <v>787.0</v>
      </c>
      <c r="F365" s="37">
        <f t="shared" si="38"/>
        <v>30060.81</v>
      </c>
      <c r="G365" s="37">
        <f t="shared" si="56"/>
        <v>36674.1882</v>
      </c>
      <c r="H365" s="39">
        <v>36857.559141</v>
      </c>
      <c r="I365" s="37">
        <f t="shared" si="57"/>
        <v>90</v>
      </c>
      <c r="J365" s="41">
        <f t="shared" si="14"/>
        <v>38.19670902</v>
      </c>
      <c r="K365" s="42"/>
      <c r="L365" s="42"/>
      <c r="M365" s="42"/>
      <c r="N365" s="42"/>
      <c r="O365" s="42"/>
      <c r="P365" s="42"/>
      <c r="Q365" s="42"/>
      <c r="R365" s="42"/>
    </row>
    <row r="366">
      <c r="B366" s="18" t="s">
        <v>97</v>
      </c>
      <c r="C366" s="45" t="s">
        <v>34</v>
      </c>
      <c r="D366" s="21">
        <v>931440.0</v>
      </c>
      <c r="E366" s="21">
        <v>2079.0</v>
      </c>
      <c r="F366" s="38">
        <f t="shared" si="38"/>
        <v>83829.6</v>
      </c>
      <c r="G366" s="38">
        <f t="shared" si="56"/>
        <v>102272.112</v>
      </c>
      <c r="H366" s="44">
        <v>102783.47256</v>
      </c>
      <c r="I366" s="38">
        <f t="shared" si="57"/>
        <v>90</v>
      </c>
      <c r="J366" s="49">
        <f t="shared" si="14"/>
        <v>40.32207792</v>
      </c>
      <c r="K366" s="15"/>
      <c r="L366" s="15"/>
      <c r="M366" s="15"/>
      <c r="N366" s="15"/>
      <c r="O366" s="15"/>
      <c r="P366" s="15"/>
      <c r="Q366" s="15"/>
      <c r="R366" s="15"/>
    </row>
    <row r="367">
      <c r="B367" s="18" t="s">
        <v>97</v>
      </c>
      <c r="C367" s="45" t="s">
        <v>36</v>
      </c>
      <c r="D367" s="21">
        <v>911654.0</v>
      </c>
      <c r="E367" s="21">
        <v>2002.0</v>
      </c>
      <c r="F367" s="38">
        <f t="shared" si="38"/>
        <v>82048.86</v>
      </c>
      <c r="G367" s="38">
        <f t="shared" si="56"/>
        <v>100099.6092</v>
      </c>
      <c r="H367" s="44">
        <v>100600.10724599999</v>
      </c>
      <c r="I367" s="38">
        <f t="shared" si="57"/>
        <v>90</v>
      </c>
      <c r="J367" s="49">
        <f t="shared" si="14"/>
        <v>40.98344655</v>
      </c>
      <c r="K367" s="15"/>
      <c r="L367" s="15"/>
      <c r="M367" s="15"/>
      <c r="N367" s="15"/>
      <c r="O367" s="15"/>
      <c r="P367" s="15"/>
      <c r="Q367" s="15"/>
      <c r="R367" s="15"/>
    </row>
    <row r="368">
      <c r="B368" s="56" t="s">
        <v>97</v>
      </c>
      <c r="C368" s="58" t="s">
        <v>48</v>
      </c>
      <c r="D368" s="59">
        <v>550017.0</v>
      </c>
      <c r="E368" s="59">
        <v>2269.0</v>
      </c>
      <c r="F368" s="60">
        <f t="shared" si="38"/>
        <v>49501.53</v>
      </c>
      <c r="G368" s="60">
        <f t="shared" si="56"/>
        <v>60391.8666</v>
      </c>
      <c r="H368" s="62">
        <v>60693.825933</v>
      </c>
      <c r="I368" s="60">
        <f t="shared" si="57"/>
        <v>90</v>
      </c>
      <c r="J368" s="64">
        <f t="shared" si="14"/>
        <v>21.81645218</v>
      </c>
      <c r="K368" s="15"/>
      <c r="L368" s="15"/>
      <c r="M368" s="15"/>
      <c r="N368" s="15"/>
      <c r="O368" s="15"/>
      <c r="P368" s="15"/>
      <c r="Q368" s="15"/>
      <c r="R368" s="15"/>
    </row>
    <row r="369">
      <c r="A369" s="19" t="s">
        <v>76</v>
      </c>
      <c r="B369" s="24" t="s">
        <v>97</v>
      </c>
      <c r="C369" s="27" t="s">
        <v>36</v>
      </c>
      <c r="D369" s="30">
        <v>350774.0</v>
      </c>
      <c r="E369" s="30">
        <v>5149.0</v>
      </c>
      <c r="F369" s="37">
        <f t="shared" si="38"/>
        <v>43496</v>
      </c>
      <c r="G369" s="37">
        <f t="shared" si="56"/>
        <v>53065.12</v>
      </c>
      <c r="H369" s="39">
        <v>53330.44559999999</v>
      </c>
      <c r="I369" s="37">
        <f t="shared" si="57"/>
        <v>124.0000684</v>
      </c>
      <c r="J369" s="41">
        <f t="shared" si="14"/>
        <v>8.447465527</v>
      </c>
      <c r="K369" s="42"/>
      <c r="L369" s="42"/>
      <c r="M369" s="42"/>
      <c r="N369" s="42"/>
      <c r="O369" s="42"/>
      <c r="P369" s="42"/>
      <c r="Q369" s="42"/>
      <c r="R369" s="42"/>
    </row>
    <row r="370">
      <c r="A370" s="17"/>
      <c r="B370" s="18" t="s">
        <v>97</v>
      </c>
      <c r="C370" s="45" t="s">
        <v>48</v>
      </c>
      <c r="D370" s="21">
        <v>2458100.0</v>
      </c>
      <c r="E370" s="21">
        <v>40783.0</v>
      </c>
      <c r="F370" s="38">
        <f t="shared" si="38"/>
        <v>304804.4</v>
      </c>
      <c r="G370" s="38">
        <f t="shared" si="56"/>
        <v>371861.368</v>
      </c>
      <c r="H370" s="44">
        <v>373720.67484</v>
      </c>
      <c r="I370" s="38">
        <f t="shared" si="57"/>
        <v>124</v>
      </c>
      <c r="J370" s="49">
        <f t="shared" si="14"/>
        <v>7.473810166</v>
      </c>
      <c r="K370" s="15"/>
      <c r="L370" s="15"/>
      <c r="M370" s="15"/>
      <c r="N370" s="15"/>
      <c r="O370" s="15"/>
      <c r="P370" s="15"/>
      <c r="Q370" s="15"/>
      <c r="R370" s="15"/>
    </row>
    <row r="371">
      <c r="A371" s="196"/>
      <c r="B371" s="56" t="s">
        <v>97</v>
      </c>
      <c r="C371" s="58" t="s">
        <v>52</v>
      </c>
      <c r="D371" s="59">
        <v>584788.0</v>
      </c>
      <c r="E371" s="59">
        <v>10629.0</v>
      </c>
      <c r="F371" s="60">
        <f t="shared" si="38"/>
        <v>51738.98</v>
      </c>
      <c r="G371" s="60">
        <f t="shared" si="56"/>
        <v>63121.5556</v>
      </c>
      <c r="H371" s="62">
        <v>63437.16337799998</v>
      </c>
      <c r="I371" s="60">
        <f t="shared" si="57"/>
        <v>88.4747635</v>
      </c>
      <c r="J371" s="64">
        <f t="shared" si="14"/>
        <v>4.867718506</v>
      </c>
      <c r="K371" s="15"/>
      <c r="L371" s="15"/>
      <c r="M371" s="15"/>
      <c r="N371" s="15"/>
      <c r="O371" s="15"/>
      <c r="P371" s="15"/>
      <c r="Q371" s="15"/>
      <c r="R371" s="15"/>
    </row>
    <row r="372">
      <c r="A372" s="19" t="s">
        <v>119</v>
      </c>
      <c r="B372" s="24" t="s">
        <v>97</v>
      </c>
      <c r="C372" s="27" t="s">
        <v>28</v>
      </c>
      <c r="D372" s="30">
        <v>15762.0</v>
      </c>
      <c r="E372" s="30">
        <v>40.0</v>
      </c>
      <c r="F372" s="37">
        <f t="shared" si="38"/>
        <v>1733.82</v>
      </c>
      <c r="G372" s="37">
        <f t="shared" si="56"/>
        <v>2115.2604</v>
      </c>
      <c r="H372" s="39">
        <v>2125.8367019999996</v>
      </c>
      <c r="I372" s="37">
        <f t="shared" si="57"/>
        <v>110</v>
      </c>
      <c r="J372" s="41">
        <f t="shared" si="14"/>
        <v>43.3455</v>
      </c>
      <c r="K372" s="42"/>
      <c r="L372" s="42"/>
      <c r="M372" s="42"/>
      <c r="N372" s="42"/>
      <c r="O372" s="42"/>
      <c r="P372" s="42"/>
      <c r="Q372" s="42"/>
      <c r="R372" s="42"/>
    </row>
    <row r="373">
      <c r="B373" s="18" t="s">
        <v>97</v>
      </c>
      <c r="C373" s="45" t="s">
        <v>34</v>
      </c>
      <c r="D373" s="21">
        <v>22726.0</v>
      </c>
      <c r="E373" s="21">
        <v>49.0</v>
      </c>
      <c r="F373" s="38">
        <f t="shared" si="38"/>
        <v>2499.86</v>
      </c>
      <c r="G373" s="38">
        <f t="shared" si="56"/>
        <v>3049.8292</v>
      </c>
      <c r="H373" s="44">
        <v>3065.078346</v>
      </c>
      <c r="I373" s="38">
        <f t="shared" si="57"/>
        <v>110</v>
      </c>
      <c r="J373" s="49">
        <f t="shared" si="14"/>
        <v>51.01755102</v>
      </c>
      <c r="K373" s="15"/>
      <c r="L373" s="15"/>
      <c r="M373" s="15"/>
      <c r="N373" s="15"/>
      <c r="O373" s="15"/>
      <c r="P373" s="15"/>
      <c r="Q373" s="15"/>
      <c r="R373" s="15"/>
    </row>
    <row r="374">
      <c r="A374" s="196"/>
      <c r="B374" s="56" t="s">
        <v>97</v>
      </c>
      <c r="C374" s="58" t="s">
        <v>36</v>
      </c>
      <c r="D374" s="59">
        <v>19321.0</v>
      </c>
      <c r="E374" s="59">
        <v>119.0</v>
      </c>
      <c r="F374" s="60">
        <f t="shared" si="38"/>
        <v>2105.31</v>
      </c>
      <c r="G374" s="60">
        <f t="shared" si="56"/>
        <v>2568.4782</v>
      </c>
      <c r="H374" s="62">
        <v>2581.3205909999997</v>
      </c>
      <c r="I374" s="60">
        <f t="shared" si="57"/>
        <v>108.9648569</v>
      </c>
      <c r="J374" s="64">
        <f t="shared" si="14"/>
        <v>17.69168067</v>
      </c>
      <c r="K374" s="15"/>
      <c r="L374" s="15"/>
      <c r="M374" s="15"/>
      <c r="N374" s="15"/>
      <c r="O374" s="15"/>
      <c r="P374" s="15"/>
      <c r="Q374" s="15"/>
      <c r="R374" s="15"/>
    </row>
    <row r="375">
      <c r="A375" s="19" t="s">
        <v>128</v>
      </c>
      <c r="B375" s="24" t="s">
        <v>97</v>
      </c>
      <c r="C375" s="27" t="s">
        <v>28</v>
      </c>
      <c r="D375" s="30">
        <v>626751.0</v>
      </c>
      <c r="E375" s="30">
        <v>1688.0</v>
      </c>
      <c r="F375" s="37">
        <f t="shared" si="38"/>
        <v>116396.37</v>
      </c>
      <c r="G375" s="37">
        <f t="shared" si="56"/>
        <v>142003.5714</v>
      </c>
      <c r="H375" s="39">
        <v>142713.58925699999</v>
      </c>
      <c r="I375" s="37">
        <f t="shared" si="57"/>
        <v>185.7138959</v>
      </c>
      <c r="J375" s="41">
        <f t="shared" si="14"/>
        <v>68.9551955</v>
      </c>
      <c r="K375" s="42"/>
      <c r="L375" s="42"/>
      <c r="M375" s="42"/>
      <c r="N375" s="42"/>
      <c r="O375" s="42"/>
      <c r="P375" s="42"/>
      <c r="Q375" s="42"/>
      <c r="R375" s="42"/>
    </row>
    <row r="376">
      <c r="A376" s="17"/>
      <c r="B376" s="18" t="s">
        <v>97</v>
      </c>
      <c r="C376" s="45" t="s">
        <v>34</v>
      </c>
      <c r="D376" s="21">
        <v>586021.0</v>
      </c>
      <c r="E376" s="21">
        <v>3580.0</v>
      </c>
      <c r="F376" s="38">
        <f t="shared" si="38"/>
        <v>125871.57</v>
      </c>
      <c r="G376" s="38">
        <f t="shared" si="56"/>
        <v>153563.3154</v>
      </c>
      <c r="H376" s="44">
        <v>154331.13197699995</v>
      </c>
      <c r="I376" s="38">
        <f t="shared" si="57"/>
        <v>214.7902038</v>
      </c>
      <c r="J376" s="49">
        <f t="shared" si="14"/>
        <v>35.15965642</v>
      </c>
      <c r="K376" s="15"/>
      <c r="L376" s="15"/>
      <c r="M376" s="15"/>
      <c r="N376" s="15"/>
      <c r="O376" s="15"/>
      <c r="P376" s="15"/>
      <c r="Q376" s="15"/>
      <c r="R376" s="15"/>
    </row>
    <row r="377">
      <c r="A377" s="17"/>
      <c r="B377" s="18" t="s">
        <v>97</v>
      </c>
      <c r="C377" s="45" t="s">
        <v>36</v>
      </c>
      <c r="D377" s="21">
        <v>567540.0</v>
      </c>
      <c r="E377" s="21">
        <v>1775.0</v>
      </c>
      <c r="F377" s="38">
        <f t="shared" si="38"/>
        <v>112036.56</v>
      </c>
      <c r="G377" s="38">
        <f t="shared" si="56"/>
        <v>136684.6032</v>
      </c>
      <c r="H377" s="44">
        <v>137368.02621599997</v>
      </c>
      <c r="I377" s="38">
        <f t="shared" si="57"/>
        <v>197.4073369</v>
      </c>
      <c r="J377" s="49">
        <f t="shared" si="14"/>
        <v>63.11918873</v>
      </c>
      <c r="K377" s="15"/>
      <c r="L377" s="15"/>
      <c r="M377" s="15"/>
      <c r="N377" s="15"/>
      <c r="O377" s="15"/>
      <c r="P377" s="15"/>
      <c r="Q377" s="15"/>
      <c r="R377" s="15"/>
    </row>
    <row r="378">
      <c r="A378" s="17"/>
      <c r="B378" s="18" t="s">
        <v>97</v>
      </c>
      <c r="C378" s="45" t="s">
        <v>48</v>
      </c>
      <c r="D378" s="21">
        <v>496707.0</v>
      </c>
      <c r="E378" s="21">
        <v>1679.0</v>
      </c>
      <c r="F378" s="38">
        <f t="shared" si="38"/>
        <v>104023.9</v>
      </c>
      <c r="G378" s="38">
        <f t="shared" si="56"/>
        <v>126909.158</v>
      </c>
      <c r="H378" s="44">
        <v>127543.70379000001</v>
      </c>
      <c r="I378" s="38">
        <f t="shared" si="57"/>
        <v>209.4270868</v>
      </c>
      <c r="J378" s="49">
        <f t="shared" si="14"/>
        <v>61.95586659</v>
      </c>
      <c r="K378" s="15"/>
      <c r="L378" s="15"/>
      <c r="M378" s="15"/>
      <c r="N378" s="15"/>
      <c r="O378" s="15"/>
      <c r="P378" s="15"/>
      <c r="Q378" s="15"/>
      <c r="R378" s="15"/>
    </row>
    <row r="379">
      <c r="A379" s="196"/>
      <c r="B379" s="56" t="s">
        <v>97</v>
      </c>
      <c r="C379" s="58" t="s">
        <v>52</v>
      </c>
      <c r="D379" s="59">
        <v>122310.0</v>
      </c>
      <c r="E379" s="59">
        <v>660.0</v>
      </c>
      <c r="F379" s="60">
        <f t="shared" si="38"/>
        <v>34487.1796</v>
      </c>
      <c r="G379" s="60">
        <f t="shared" si="56"/>
        <v>42074.35911</v>
      </c>
      <c r="H379" s="62">
        <v>42284.730907559984</v>
      </c>
      <c r="I379" s="60">
        <f t="shared" si="57"/>
        <v>281.9653307</v>
      </c>
      <c r="J379" s="64">
        <f t="shared" si="14"/>
        <v>52.25330242</v>
      </c>
      <c r="K379" s="15"/>
      <c r="L379" s="15"/>
      <c r="M379" s="15"/>
      <c r="N379" s="15"/>
      <c r="O379" s="15"/>
      <c r="P379" s="15"/>
      <c r="Q379" s="15"/>
      <c r="R379" s="15"/>
    </row>
    <row r="380">
      <c r="A380" s="110" t="s">
        <v>46</v>
      </c>
      <c r="B380" s="111"/>
      <c r="C380" s="112"/>
      <c r="D380" s="113">
        <f t="shared" ref="D380:E380" si="58">SUM(D361:D379)</f>
        <v>8623232</v>
      </c>
      <c r="E380" s="113">
        <f t="shared" si="58"/>
        <v>76074</v>
      </c>
      <c r="F380" s="114">
        <f t="shared" si="38"/>
        <v>53040.98361</v>
      </c>
      <c r="G380" s="114">
        <f>SUM(G362:G364)</f>
        <v>64710</v>
      </c>
      <c r="H380" s="115">
        <f>SUM(H361:H379)</f>
        <v>1468470.216</v>
      </c>
      <c r="I380" s="114">
        <f>F380/(D380/1000)</f>
        <v>6.150940112</v>
      </c>
      <c r="J380" s="116">
        <f t="shared" si="14"/>
        <v>0.6972287984</v>
      </c>
      <c r="K380" s="42"/>
      <c r="L380" s="42"/>
      <c r="M380" s="42"/>
      <c r="N380" s="42"/>
      <c r="O380" s="42"/>
      <c r="P380" s="42"/>
      <c r="Q380" s="42"/>
      <c r="R380" s="42"/>
    </row>
    <row r="381">
      <c r="A381" s="19" t="s">
        <v>98</v>
      </c>
      <c r="B381" s="270" t="s">
        <v>99</v>
      </c>
      <c r="C381" s="27" t="s">
        <v>28</v>
      </c>
      <c r="D381" s="30">
        <v>646073.0</v>
      </c>
      <c r="E381" s="30">
        <v>4356.0</v>
      </c>
      <c r="F381" s="37">
        <f t="shared" si="38"/>
        <v>95618.8</v>
      </c>
      <c r="G381" s="37">
        <f t="shared" ref="G381:G389" si="59">H381/1.005</f>
        <v>116654.936</v>
      </c>
      <c r="H381" s="39">
        <v>117238.21067999997</v>
      </c>
      <c r="I381" s="37">
        <f t="shared" ref="I381:I389" si="60">F381/D381*1000</f>
        <v>147.9999938</v>
      </c>
      <c r="J381" s="41">
        <f t="shared" si="14"/>
        <v>21.95105601</v>
      </c>
      <c r="K381" s="42"/>
      <c r="L381" s="42"/>
      <c r="M381" s="42"/>
      <c r="N381" s="42"/>
      <c r="O381" s="42"/>
      <c r="P381" s="42"/>
      <c r="Q381" s="42"/>
      <c r="R381" s="42"/>
    </row>
    <row r="382">
      <c r="B382" s="161" t="s">
        <v>99</v>
      </c>
      <c r="C382" s="45" t="s">
        <v>34</v>
      </c>
      <c r="D382" s="21">
        <v>622639.0</v>
      </c>
      <c r="E382" s="21">
        <v>8922.0</v>
      </c>
      <c r="F382" s="38">
        <f t="shared" si="38"/>
        <v>92150.57</v>
      </c>
      <c r="G382" s="38">
        <f t="shared" si="59"/>
        <v>112423.6954</v>
      </c>
      <c r="H382" s="44">
        <v>112985.813877</v>
      </c>
      <c r="I382" s="38">
        <f t="shared" si="60"/>
        <v>147.9999968</v>
      </c>
      <c r="J382" s="49">
        <f t="shared" si="14"/>
        <v>10.32846559</v>
      </c>
      <c r="K382" s="15"/>
      <c r="L382" s="15"/>
      <c r="M382" s="15"/>
      <c r="N382" s="15"/>
      <c r="O382" s="15"/>
      <c r="P382" s="15"/>
      <c r="Q382" s="15"/>
      <c r="R382" s="15"/>
    </row>
    <row r="383">
      <c r="A383" s="17"/>
      <c r="B383" s="161" t="s">
        <v>99</v>
      </c>
      <c r="C383" s="45" t="s">
        <v>36</v>
      </c>
      <c r="D383" s="21">
        <v>504341.0</v>
      </c>
      <c r="E383" s="21">
        <v>7357.0</v>
      </c>
      <c r="F383" s="38">
        <f t="shared" si="38"/>
        <v>74642.47</v>
      </c>
      <c r="G383" s="38">
        <f t="shared" si="59"/>
        <v>91063.8134</v>
      </c>
      <c r="H383" s="44">
        <v>91519.13246699999</v>
      </c>
      <c r="I383" s="38">
        <f t="shared" si="60"/>
        <v>148.000004</v>
      </c>
      <c r="J383" s="49">
        <f t="shared" si="14"/>
        <v>10.14577545</v>
      </c>
      <c r="K383" s="15"/>
      <c r="L383" s="15"/>
      <c r="M383" s="15"/>
      <c r="N383" s="15"/>
      <c r="O383" s="15"/>
      <c r="P383" s="15"/>
      <c r="Q383" s="15"/>
      <c r="R383" s="15"/>
    </row>
    <row r="384">
      <c r="A384" s="17"/>
      <c r="B384" s="161" t="s">
        <v>99</v>
      </c>
      <c r="C384" s="45" t="s">
        <v>48</v>
      </c>
      <c r="D384" s="21">
        <v>756687.0</v>
      </c>
      <c r="E384" s="21">
        <v>8321.0</v>
      </c>
      <c r="F384" s="38">
        <f t="shared" si="38"/>
        <v>111989.67</v>
      </c>
      <c r="G384" s="38">
        <f t="shared" si="59"/>
        <v>136627.3974</v>
      </c>
      <c r="H384" s="44">
        <v>137310.53438699996</v>
      </c>
      <c r="I384" s="38">
        <f t="shared" si="60"/>
        <v>147.9999921</v>
      </c>
      <c r="J384" s="49">
        <f t="shared" si="14"/>
        <v>13.45867925</v>
      </c>
      <c r="K384" s="15"/>
      <c r="L384" s="15"/>
      <c r="M384" s="15"/>
      <c r="N384" s="15"/>
      <c r="O384" s="15"/>
      <c r="P384" s="15"/>
      <c r="Q384" s="15"/>
      <c r="R384" s="15"/>
    </row>
    <row r="385">
      <c r="A385" s="196"/>
      <c r="B385" s="272" t="s">
        <v>99</v>
      </c>
      <c r="C385" s="58" t="s">
        <v>52</v>
      </c>
      <c r="D385" s="59">
        <v>267120.0</v>
      </c>
      <c r="E385" s="59">
        <v>1883.0</v>
      </c>
      <c r="F385" s="60">
        <f t="shared" si="38"/>
        <v>39533.76</v>
      </c>
      <c r="G385" s="60">
        <f t="shared" si="59"/>
        <v>48231.1872</v>
      </c>
      <c r="H385" s="62">
        <v>48472.343135999996</v>
      </c>
      <c r="I385" s="60">
        <f t="shared" si="60"/>
        <v>148</v>
      </c>
      <c r="J385" s="64">
        <f t="shared" si="14"/>
        <v>20.99509294</v>
      </c>
      <c r="K385" s="15"/>
      <c r="L385" s="15"/>
      <c r="M385" s="15"/>
      <c r="N385" s="15"/>
      <c r="O385" s="15"/>
      <c r="P385" s="15"/>
      <c r="Q385" s="15"/>
      <c r="R385" s="15"/>
    </row>
    <row r="386">
      <c r="A386" s="19" t="s">
        <v>96</v>
      </c>
      <c r="B386" s="270" t="s">
        <v>99</v>
      </c>
      <c r="C386" s="27" t="s">
        <v>28</v>
      </c>
      <c r="D386" s="30">
        <v>8049.0</v>
      </c>
      <c r="E386" s="30">
        <v>391.0</v>
      </c>
      <c r="F386" s="37">
        <f t="shared" si="38"/>
        <v>0</v>
      </c>
      <c r="G386" s="37">
        <f t="shared" si="59"/>
        <v>0</v>
      </c>
      <c r="H386" s="39">
        <v>0.0</v>
      </c>
      <c r="I386" s="37">
        <f t="shared" si="60"/>
        <v>0</v>
      </c>
      <c r="J386" s="41">
        <f t="shared" si="14"/>
        <v>0</v>
      </c>
      <c r="K386" s="42"/>
      <c r="L386" s="42"/>
      <c r="M386" s="42"/>
      <c r="N386" s="42"/>
      <c r="O386" s="42"/>
      <c r="P386" s="42"/>
      <c r="Q386" s="42"/>
      <c r="R386" s="42"/>
    </row>
    <row r="387">
      <c r="A387" s="17"/>
      <c r="B387" s="161" t="s">
        <v>99</v>
      </c>
      <c r="C387" s="45" t="s">
        <v>34</v>
      </c>
      <c r="D387" s="21">
        <v>8811.0</v>
      </c>
      <c r="E387" s="21">
        <v>444.0</v>
      </c>
      <c r="F387" s="38">
        <f t="shared" si="38"/>
        <v>0</v>
      </c>
      <c r="G387" s="38">
        <f t="shared" si="59"/>
        <v>0</v>
      </c>
      <c r="H387" s="44">
        <v>0.0</v>
      </c>
      <c r="I387" s="38">
        <f t="shared" si="60"/>
        <v>0</v>
      </c>
      <c r="J387" s="49">
        <f t="shared" si="14"/>
        <v>0</v>
      </c>
      <c r="K387" s="15"/>
      <c r="L387" s="15"/>
      <c r="M387" s="15"/>
      <c r="N387" s="15"/>
      <c r="O387" s="15"/>
      <c r="P387" s="15"/>
      <c r="Q387" s="15"/>
      <c r="R387" s="15"/>
    </row>
    <row r="388">
      <c r="A388" s="17"/>
      <c r="B388" s="161" t="s">
        <v>99</v>
      </c>
      <c r="C388" s="45" t="s">
        <v>36</v>
      </c>
      <c r="D388" s="21">
        <v>12020.0</v>
      </c>
      <c r="E388" s="21">
        <v>618.0</v>
      </c>
      <c r="F388" s="38">
        <f t="shared" si="38"/>
        <v>0</v>
      </c>
      <c r="G388" s="38">
        <f t="shared" si="59"/>
        <v>0</v>
      </c>
      <c r="H388" s="44">
        <v>0.0</v>
      </c>
      <c r="I388" s="38">
        <f t="shared" si="60"/>
        <v>0</v>
      </c>
      <c r="J388" s="49">
        <f t="shared" si="14"/>
        <v>0</v>
      </c>
      <c r="K388" s="15"/>
      <c r="L388" s="15"/>
      <c r="M388" s="15"/>
      <c r="N388" s="15"/>
      <c r="O388" s="15"/>
      <c r="P388" s="15"/>
      <c r="Q388" s="15"/>
      <c r="R388" s="15"/>
    </row>
    <row r="389">
      <c r="A389" s="196"/>
      <c r="B389" s="272" t="s">
        <v>99</v>
      </c>
      <c r="C389" s="58" t="s">
        <v>38</v>
      </c>
      <c r="D389" s="59">
        <v>11176.0</v>
      </c>
      <c r="E389" s="59">
        <v>580.0</v>
      </c>
      <c r="F389" s="60">
        <f t="shared" si="38"/>
        <v>46569.67621</v>
      </c>
      <c r="G389" s="60">
        <f t="shared" si="59"/>
        <v>56815.00498</v>
      </c>
      <c r="H389" s="62">
        <v>57099.08</v>
      </c>
      <c r="I389" s="60">
        <f t="shared" si="60"/>
        <v>4166.935953</v>
      </c>
      <c r="J389" s="64">
        <f t="shared" si="14"/>
        <v>80.29254519</v>
      </c>
      <c r="K389" s="15"/>
      <c r="L389" s="15"/>
      <c r="M389" s="15"/>
      <c r="N389" s="15"/>
      <c r="O389" s="15"/>
      <c r="P389" s="15"/>
      <c r="Q389" s="15"/>
      <c r="R389" s="15"/>
    </row>
    <row r="390">
      <c r="A390" s="215" t="s">
        <v>46</v>
      </c>
      <c r="B390" s="209"/>
      <c r="C390" s="216"/>
      <c r="D390" s="249">
        <f t="shared" ref="D390:E390" si="61">SUM(D381:D389)</f>
        <v>2836916</v>
      </c>
      <c r="E390" s="249">
        <f t="shared" si="61"/>
        <v>32872</v>
      </c>
      <c r="F390" s="212">
        <f t="shared" si="38"/>
        <v>187769.37</v>
      </c>
      <c r="G390" s="212">
        <f>SUM(G381:G382)</f>
        <v>229078.6314</v>
      </c>
      <c r="H390" s="212">
        <f>SUM(H381:H389)</f>
        <v>564625.1145</v>
      </c>
      <c r="I390" s="212">
        <f>F390/(D390/1000)</f>
        <v>66.18784976</v>
      </c>
      <c r="J390" s="213">
        <f t="shared" si="14"/>
        <v>5.712137077</v>
      </c>
      <c r="K390" s="42"/>
      <c r="L390" s="42"/>
      <c r="M390" s="42"/>
      <c r="N390" s="42"/>
      <c r="O390" s="42"/>
      <c r="P390" s="42"/>
      <c r="Q390" s="42"/>
      <c r="R390" s="42"/>
    </row>
    <row r="391">
      <c r="A391" s="61" t="s">
        <v>100</v>
      </c>
      <c r="B391" s="18" t="s">
        <v>101</v>
      </c>
      <c r="C391" s="18"/>
      <c r="D391" s="87" t="s">
        <v>67</v>
      </c>
      <c r="E391" s="87" t="s">
        <v>67</v>
      </c>
      <c r="F391" s="38">
        <f t="shared" si="38"/>
        <v>332137.5989</v>
      </c>
      <c r="G391" s="38">
        <f t="shared" ref="G391:G393" si="62">H391/1.005</f>
        <v>405207.8706</v>
      </c>
      <c r="H391" s="44">
        <v>407233.91</v>
      </c>
      <c r="I391" s="87" t="s">
        <v>67</v>
      </c>
      <c r="J391" s="164" t="s">
        <v>67</v>
      </c>
      <c r="K391" s="15"/>
      <c r="L391" s="15"/>
      <c r="M391" s="15"/>
      <c r="N391" s="15"/>
      <c r="O391" s="15"/>
      <c r="P391" s="15"/>
      <c r="Q391" s="15"/>
      <c r="R391" s="15"/>
    </row>
    <row r="392">
      <c r="A392" s="61" t="s">
        <v>102</v>
      </c>
      <c r="B392" s="18" t="s">
        <v>101</v>
      </c>
      <c r="C392" s="18"/>
      <c r="D392" s="87" t="s">
        <v>67</v>
      </c>
      <c r="E392" s="87" t="s">
        <v>67</v>
      </c>
      <c r="F392" s="38">
        <f t="shared" si="38"/>
        <v>11537.99038</v>
      </c>
      <c r="G392" s="38">
        <f t="shared" si="62"/>
        <v>14076.34826</v>
      </c>
      <c r="H392" s="44">
        <v>14146.73</v>
      </c>
      <c r="I392" s="87" t="s">
        <v>67</v>
      </c>
      <c r="J392" s="164" t="s">
        <v>67</v>
      </c>
      <c r="K392" s="15"/>
      <c r="L392" s="15"/>
      <c r="M392" s="15"/>
      <c r="N392" s="15"/>
      <c r="O392" s="15"/>
      <c r="P392" s="15"/>
      <c r="Q392" s="15"/>
      <c r="R392" s="15"/>
    </row>
    <row r="393">
      <c r="A393" s="17" t="s">
        <v>103</v>
      </c>
      <c r="B393" s="18" t="s">
        <v>101</v>
      </c>
      <c r="C393" s="18"/>
      <c r="D393" s="87" t="s">
        <v>67</v>
      </c>
      <c r="E393" s="87" t="s">
        <v>67</v>
      </c>
      <c r="F393" s="38">
        <f t="shared" si="38"/>
        <v>28725.90327</v>
      </c>
      <c r="G393" s="38">
        <f t="shared" si="62"/>
        <v>35045.60199</v>
      </c>
      <c r="H393" s="44">
        <v>35220.83</v>
      </c>
      <c r="I393" s="87" t="s">
        <v>67</v>
      </c>
      <c r="J393" s="164" t="s">
        <v>67</v>
      </c>
      <c r="K393" s="15"/>
      <c r="L393" s="15"/>
      <c r="M393" s="15"/>
      <c r="N393" s="15"/>
      <c r="O393" s="15"/>
      <c r="P393" s="15"/>
      <c r="Q393" s="15"/>
      <c r="R393" s="15"/>
    </row>
    <row r="394">
      <c r="A394" s="166" t="s">
        <v>46</v>
      </c>
      <c r="B394" s="167"/>
      <c r="C394" s="274"/>
      <c r="D394" s="168" t="s">
        <v>67</v>
      </c>
      <c r="E394" s="168" t="s">
        <v>67</v>
      </c>
      <c r="F394" s="169">
        <f t="shared" si="38"/>
        <v>372401.4925</v>
      </c>
      <c r="G394" s="169">
        <f>SUM(G391:G393)</f>
        <v>454329.8209</v>
      </c>
      <c r="H394" s="169">
        <f>G394*1.01</f>
        <v>458873.1191</v>
      </c>
      <c r="I394" s="168" t="s">
        <v>67</v>
      </c>
      <c r="J394" s="170" t="s">
        <v>67</v>
      </c>
      <c r="K394" s="15"/>
      <c r="L394" s="15"/>
      <c r="M394" s="15"/>
      <c r="N394" s="15"/>
      <c r="O394" s="15"/>
      <c r="P394" s="15"/>
      <c r="Q394" s="15"/>
      <c r="R394" s="15"/>
    </row>
    <row r="395">
      <c r="A395" s="15"/>
      <c r="B395" s="15"/>
      <c r="C395" s="15"/>
      <c r="D395" s="15"/>
      <c r="E395" s="15"/>
      <c r="F395" s="74"/>
      <c r="G395" s="74"/>
      <c r="H395" s="74"/>
      <c r="I395" s="74"/>
      <c r="J395" s="74"/>
      <c r="K395" s="15"/>
      <c r="L395" s="15"/>
      <c r="M395" s="15"/>
      <c r="N395" s="15"/>
      <c r="O395" s="15"/>
      <c r="P395" s="15"/>
      <c r="Q395" s="15"/>
      <c r="R395" s="15"/>
    </row>
    <row r="396">
      <c r="D396" s="15"/>
      <c r="E396" s="15"/>
      <c r="F396" s="74"/>
      <c r="G396" s="74"/>
      <c r="H396" s="74"/>
      <c r="I396" s="74"/>
      <c r="J396" s="74"/>
      <c r="K396" s="15"/>
      <c r="L396" s="15"/>
      <c r="M396" s="15"/>
      <c r="N396" s="15"/>
      <c r="O396" s="15"/>
      <c r="P396" s="15"/>
      <c r="Q396" s="15"/>
      <c r="R396" s="15"/>
    </row>
    <row r="397">
      <c r="D397" s="15"/>
      <c r="E397" s="15"/>
      <c r="F397" s="74"/>
      <c r="G397" s="74"/>
      <c r="H397" s="74"/>
      <c r="I397" s="74"/>
      <c r="J397" s="74"/>
      <c r="K397" s="15"/>
      <c r="L397" s="15"/>
      <c r="M397" s="15"/>
      <c r="N397" s="15"/>
      <c r="O397" s="15"/>
      <c r="P397" s="15"/>
      <c r="Q397" s="15"/>
      <c r="R397" s="15"/>
    </row>
    <row r="398">
      <c r="D398" s="15"/>
      <c r="E398" s="15"/>
      <c r="F398" s="74"/>
      <c r="G398" s="74"/>
      <c r="H398" s="74"/>
      <c r="I398" s="74"/>
      <c r="J398" s="74"/>
      <c r="K398" s="15"/>
      <c r="L398" s="15"/>
      <c r="M398" s="15"/>
      <c r="N398" s="15"/>
      <c r="O398" s="15"/>
      <c r="P398" s="15"/>
      <c r="Q398" s="15"/>
      <c r="R398" s="15"/>
    </row>
    <row r="399">
      <c r="A399" s="15"/>
      <c r="B399" s="15"/>
      <c r="C399" s="15"/>
      <c r="D399" s="15"/>
      <c r="E399" s="15"/>
      <c r="F399" s="74"/>
      <c r="G399" s="74"/>
      <c r="H399" s="74"/>
      <c r="I399" s="74"/>
      <c r="J399" s="74"/>
      <c r="K399" s="15"/>
      <c r="L399" s="15"/>
      <c r="M399" s="15"/>
      <c r="N399" s="15"/>
      <c r="O399" s="15"/>
      <c r="P399" s="15"/>
      <c r="Q399" s="15"/>
      <c r="R399" s="15"/>
    </row>
    <row r="400">
      <c r="A400" s="15"/>
      <c r="B400" s="15"/>
      <c r="C400" s="15"/>
      <c r="D400" s="15"/>
      <c r="E400" s="15"/>
      <c r="F400" s="74"/>
      <c r="G400" s="74"/>
      <c r="H400" s="74"/>
      <c r="I400" s="74"/>
      <c r="J400" s="74"/>
      <c r="K400" s="15"/>
      <c r="L400" s="15"/>
      <c r="M400" s="15"/>
      <c r="N400" s="15"/>
      <c r="O400" s="15"/>
      <c r="P400" s="15"/>
      <c r="Q400" s="15"/>
      <c r="R400" s="15"/>
    </row>
    <row r="401">
      <c r="A401" s="15"/>
      <c r="B401" s="15"/>
      <c r="C401" s="15"/>
      <c r="D401" s="15"/>
      <c r="E401" s="15"/>
      <c r="F401" s="74"/>
      <c r="G401" s="74"/>
      <c r="H401" s="74"/>
      <c r="I401" s="74"/>
      <c r="J401" s="74"/>
      <c r="K401" s="15"/>
      <c r="L401" s="15"/>
      <c r="M401" s="15"/>
      <c r="N401" s="15"/>
      <c r="O401" s="15"/>
      <c r="P401" s="15"/>
      <c r="Q401" s="15"/>
      <c r="R401" s="15"/>
    </row>
    <row r="402">
      <c r="A402" s="15"/>
      <c r="B402" s="15"/>
      <c r="C402" s="15"/>
      <c r="D402" s="15"/>
      <c r="E402" s="15"/>
      <c r="F402" s="74"/>
      <c r="G402" s="74"/>
      <c r="H402" s="74"/>
      <c r="I402" s="74"/>
      <c r="J402" s="74"/>
      <c r="K402" s="15"/>
      <c r="L402" s="15"/>
      <c r="M402" s="15"/>
      <c r="N402" s="15"/>
      <c r="O402" s="15"/>
      <c r="P402" s="15"/>
      <c r="Q402" s="15"/>
      <c r="R402" s="15"/>
    </row>
    <row r="403">
      <c r="A403" s="15"/>
      <c r="B403" s="15"/>
      <c r="C403" s="15"/>
      <c r="D403" s="15"/>
      <c r="E403" s="15"/>
      <c r="F403" s="74"/>
      <c r="G403" s="74"/>
      <c r="H403" s="74"/>
      <c r="I403" s="74"/>
      <c r="J403" s="74"/>
      <c r="K403" s="15"/>
      <c r="L403" s="15"/>
      <c r="M403" s="15"/>
      <c r="N403" s="15"/>
      <c r="O403" s="15"/>
      <c r="P403" s="15"/>
      <c r="Q403" s="15"/>
      <c r="R403" s="15"/>
    </row>
    <row r="404">
      <c r="A404" s="15"/>
      <c r="B404" s="15"/>
      <c r="C404" s="15"/>
      <c r="D404" s="15"/>
      <c r="E404" s="15"/>
      <c r="F404" s="74"/>
      <c r="G404" s="74"/>
      <c r="H404" s="74"/>
      <c r="I404" s="74"/>
      <c r="J404" s="74"/>
      <c r="K404" s="15"/>
      <c r="L404" s="15"/>
      <c r="M404" s="15"/>
      <c r="N404" s="15"/>
      <c r="O404" s="15"/>
      <c r="P404" s="15"/>
      <c r="Q404" s="15"/>
      <c r="R404" s="15"/>
    </row>
    <row r="405">
      <c r="A405" s="15"/>
      <c r="B405" s="15"/>
      <c r="C405" s="15"/>
      <c r="D405" s="15"/>
      <c r="E405" s="15"/>
      <c r="F405" s="74"/>
      <c r="G405" s="74"/>
      <c r="H405" s="74"/>
      <c r="I405" s="74"/>
      <c r="J405" s="74"/>
      <c r="K405" s="15"/>
      <c r="L405" s="15"/>
      <c r="M405" s="15"/>
      <c r="N405" s="15"/>
      <c r="O405" s="15"/>
      <c r="P405" s="15"/>
      <c r="Q405" s="15"/>
      <c r="R405" s="15"/>
    </row>
    <row r="406">
      <c r="A406" s="15"/>
      <c r="B406" s="15"/>
      <c r="C406" s="15"/>
      <c r="D406" s="15"/>
      <c r="E406" s="15"/>
      <c r="F406" s="74"/>
      <c r="G406" s="74"/>
      <c r="H406" s="74"/>
      <c r="I406" s="74"/>
      <c r="J406" s="74"/>
      <c r="K406" s="15"/>
      <c r="L406" s="15"/>
      <c r="M406" s="15"/>
      <c r="N406" s="15"/>
      <c r="O406" s="15"/>
      <c r="P406" s="15"/>
      <c r="Q406" s="15"/>
      <c r="R406" s="15"/>
    </row>
    <row r="407">
      <c r="A407" s="15"/>
      <c r="B407" s="15"/>
      <c r="C407" s="15"/>
      <c r="D407" s="15"/>
      <c r="E407" s="15"/>
      <c r="F407" s="74"/>
      <c r="G407" s="74"/>
      <c r="H407" s="74"/>
      <c r="I407" s="74"/>
      <c r="J407" s="74"/>
      <c r="K407" s="15"/>
      <c r="L407" s="15"/>
      <c r="M407" s="15"/>
      <c r="N407" s="15"/>
      <c r="O407" s="15"/>
      <c r="P407" s="15"/>
      <c r="Q407" s="15"/>
      <c r="R407" s="15"/>
    </row>
    <row r="408">
      <c r="A408" s="15"/>
      <c r="B408" s="15"/>
      <c r="C408" s="15"/>
      <c r="D408" s="15"/>
      <c r="E408" s="15"/>
      <c r="F408" s="74"/>
      <c r="G408" s="74"/>
      <c r="H408" s="74"/>
      <c r="I408" s="74"/>
      <c r="J408" s="74"/>
      <c r="K408" s="15"/>
      <c r="L408" s="15"/>
      <c r="M408" s="15"/>
      <c r="N408" s="15"/>
      <c r="O408" s="15"/>
      <c r="P408" s="15"/>
      <c r="Q408" s="15"/>
      <c r="R408" s="15"/>
    </row>
    <row r="409">
      <c r="A409" s="15"/>
      <c r="B409" s="15"/>
      <c r="C409" s="15"/>
      <c r="D409" s="15"/>
      <c r="E409" s="15"/>
      <c r="F409" s="74"/>
      <c r="G409" s="74"/>
      <c r="H409" s="74"/>
      <c r="I409" s="74"/>
      <c r="J409" s="74"/>
      <c r="K409" s="15"/>
      <c r="L409" s="15"/>
      <c r="M409" s="15"/>
      <c r="N409" s="15"/>
      <c r="O409" s="15"/>
      <c r="P409" s="15"/>
      <c r="Q409" s="15"/>
      <c r="R409" s="15"/>
    </row>
    <row r="410">
      <c r="A410" s="15"/>
      <c r="B410" s="15"/>
      <c r="C410" s="15"/>
      <c r="D410" s="15"/>
      <c r="E410" s="15"/>
      <c r="F410" s="74"/>
      <c r="G410" s="74"/>
      <c r="H410" s="74"/>
      <c r="I410" s="74"/>
      <c r="J410" s="74"/>
      <c r="K410" s="15"/>
      <c r="L410" s="15"/>
      <c r="M410" s="15"/>
      <c r="N410" s="15"/>
      <c r="O410" s="15"/>
      <c r="P410" s="15"/>
      <c r="Q410" s="15"/>
      <c r="R410" s="15"/>
    </row>
    <row r="411">
      <c r="A411" s="15"/>
      <c r="B411" s="15"/>
      <c r="C411" s="15"/>
      <c r="D411" s="15"/>
      <c r="E411" s="15"/>
      <c r="F411" s="74"/>
      <c r="G411" s="74"/>
      <c r="H411" s="74"/>
      <c r="I411" s="74"/>
      <c r="J411" s="74"/>
      <c r="K411" s="15"/>
      <c r="L411" s="15"/>
      <c r="M411" s="15"/>
      <c r="N411" s="15"/>
      <c r="O411" s="15"/>
      <c r="P411" s="15"/>
      <c r="Q411" s="15"/>
      <c r="R411" s="15"/>
    </row>
    <row r="412">
      <c r="A412" s="15"/>
      <c r="B412" s="15"/>
      <c r="C412" s="15"/>
      <c r="D412" s="15"/>
      <c r="E412" s="15"/>
      <c r="F412" s="74"/>
      <c r="G412" s="74"/>
      <c r="H412" s="74"/>
      <c r="I412" s="74"/>
      <c r="J412" s="74"/>
      <c r="K412" s="15"/>
      <c r="L412" s="15"/>
      <c r="M412" s="15"/>
      <c r="N412" s="15"/>
      <c r="O412" s="15"/>
      <c r="P412" s="15"/>
      <c r="Q412" s="15"/>
      <c r="R412" s="15"/>
    </row>
    <row r="413">
      <c r="A413" s="15"/>
      <c r="B413" s="15"/>
      <c r="C413" s="15"/>
      <c r="D413" s="15"/>
      <c r="E413" s="15"/>
      <c r="F413" s="74"/>
      <c r="G413" s="74"/>
      <c r="H413" s="74"/>
      <c r="I413" s="74"/>
      <c r="J413" s="74"/>
      <c r="K413" s="15"/>
      <c r="L413" s="15"/>
      <c r="M413" s="15"/>
      <c r="N413" s="15"/>
      <c r="O413" s="15"/>
      <c r="P413" s="15"/>
      <c r="Q413" s="15"/>
      <c r="R413" s="15"/>
    </row>
    <row r="414">
      <c r="A414" s="15"/>
      <c r="B414" s="15"/>
      <c r="C414" s="15"/>
      <c r="D414" s="15"/>
      <c r="E414" s="15"/>
      <c r="F414" s="74"/>
      <c r="G414" s="74"/>
      <c r="H414" s="74"/>
      <c r="I414" s="74"/>
      <c r="J414" s="74"/>
      <c r="K414" s="15"/>
      <c r="L414" s="15"/>
      <c r="M414" s="15"/>
      <c r="N414" s="15"/>
      <c r="O414" s="15"/>
      <c r="P414" s="15"/>
      <c r="Q414" s="15"/>
      <c r="R414" s="15"/>
    </row>
    <row r="415">
      <c r="A415" s="15"/>
      <c r="B415" s="15"/>
      <c r="C415" s="15"/>
      <c r="D415" s="15"/>
      <c r="E415" s="15"/>
      <c r="F415" s="74"/>
      <c r="G415" s="74"/>
      <c r="H415" s="74"/>
      <c r="I415" s="74"/>
      <c r="J415" s="74"/>
      <c r="K415" s="15"/>
      <c r="L415" s="15"/>
      <c r="M415" s="15"/>
      <c r="N415" s="15"/>
      <c r="O415" s="15"/>
      <c r="P415" s="15"/>
      <c r="Q415" s="15"/>
      <c r="R415" s="15"/>
    </row>
    <row r="416">
      <c r="A416" s="15"/>
      <c r="B416" s="15"/>
      <c r="C416" s="15"/>
      <c r="D416" s="15"/>
      <c r="E416" s="15"/>
      <c r="F416" s="74"/>
      <c r="G416" s="74"/>
      <c r="H416" s="74"/>
      <c r="I416" s="74"/>
      <c r="J416" s="74"/>
      <c r="K416" s="15"/>
      <c r="L416" s="15"/>
      <c r="M416" s="15"/>
      <c r="N416" s="15"/>
      <c r="O416" s="15"/>
      <c r="P416" s="15"/>
      <c r="Q416" s="15"/>
      <c r="R416" s="15"/>
    </row>
    <row r="417">
      <c r="A417" s="15"/>
      <c r="B417" s="15"/>
      <c r="C417" s="15"/>
      <c r="D417" s="15"/>
      <c r="E417" s="15"/>
      <c r="F417" s="74"/>
      <c r="G417" s="74"/>
      <c r="H417" s="74"/>
      <c r="I417" s="74"/>
      <c r="J417" s="74"/>
      <c r="K417" s="15"/>
      <c r="L417" s="15"/>
      <c r="M417" s="15"/>
      <c r="N417" s="15"/>
      <c r="O417" s="15"/>
      <c r="P417" s="15"/>
      <c r="Q417" s="15"/>
      <c r="R417" s="15"/>
    </row>
    <row r="418">
      <c r="A418" s="15"/>
      <c r="B418" s="15"/>
      <c r="C418" s="15"/>
      <c r="D418" s="15"/>
      <c r="E418" s="15"/>
      <c r="F418" s="74"/>
      <c r="G418" s="74"/>
      <c r="H418" s="74"/>
      <c r="I418" s="74"/>
      <c r="J418" s="74"/>
      <c r="K418" s="15"/>
      <c r="L418" s="15"/>
      <c r="M418" s="15"/>
      <c r="N418" s="15"/>
      <c r="O418" s="15"/>
      <c r="P418" s="15"/>
      <c r="Q418" s="15"/>
      <c r="R418" s="15"/>
    </row>
    <row r="419">
      <c r="A419" s="15"/>
      <c r="B419" s="15"/>
      <c r="C419" s="15"/>
      <c r="D419" s="15"/>
      <c r="E419" s="15"/>
      <c r="F419" s="74"/>
      <c r="G419" s="74"/>
      <c r="H419" s="74"/>
      <c r="I419" s="74"/>
      <c r="J419" s="74"/>
      <c r="K419" s="15"/>
      <c r="L419" s="15"/>
      <c r="M419" s="15"/>
      <c r="N419" s="15"/>
      <c r="O419" s="15"/>
      <c r="P419" s="15"/>
      <c r="Q419" s="15"/>
      <c r="R419" s="15"/>
    </row>
    <row r="420">
      <c r="A420" s="15"/>
      <c r="B420" s="15"/>
      <c r="C420" s="15"/>
      <c r="D420" s="15"/>
      <c r="E420" s="15"/>
      <c r="F420" s="74"/>
      <c r="G420" s="74"/>
      <c r="H420" s="74"/>
      <c r="I420" s="74"/>
      <c r="J420" s="74"/>
      <c r="K420" s="15"/>
      <c r="L420" s="15"/>
      <c r="M420" s="15"/>
      <c r="N420" s="15"/>
      <c r="O420" s="15"/>
      <c r="P420" s="15"/>
      <c r="Q420" s="15"/>
      <c r="R420" s="15"/>
    </row>
    <row r="421">
      <c r="A421" s="15"/>
      <c r="B421" s="15"/>
      <c r="C421" s="15"/>
      <c r="D421" s="15"/>
      <c r="E421" s="15"/>
      <c r="F421" s="74"/>
      <c r="G421" s="74"/>
      <c r="H421" s="74"/>
      <c r="I421" s="74"/>
      <c r="J421" s="74"/>
      <c r="K421" s="15"/>
      <c r="L421" s="15"/>
      <c r="M421" s="15"/>
      <c r="N421" s="15"/>
      <c r="O421" s="15"/>
      <c r="P421" s="15"/>
      <c r="Q421" s="15"/>
      <c r="R421" s="15"/>
    </row>
    <row r="422">
      <c r="A422" s="15"/>
      <c r="B422" s="15"/>
      <c r="C422" s="15"/>
      <c r="D422" s="15"/>
      <c r="E422" s="15"/>
      <c r="F422" s="74"/>
      <c r="G422" s="74"/>
      <c r="H422" s="74"/>
      <c r="I422" s="74"/>
      <c r="J422" s="74"/>
      <c r="K422" s="15"/>
      <c r="L422" s="15"/>
      <c r="M422" s="15"/>
      <c r="N422" s="15"/>
      <c r="O422" s="15"/>
      <c r="P422" s="15"/>
      <c r="Q422" s="15"/>
      <c r="R422" s="15"/>
    </row>
    <row r="423">
      <c r="A423" s="15"/>
      <c r="B423" s="15"/>
      <c r="C423" s="15"/>
      <c r="D423" s="15"/>
      <c r="E423" s="15"/>
      <c r="F423" s="74"/>
      <c r="G423" s="74"/>
      <c r="H423" s="74"/>
      <c r="I423" s="74"/>
      <c r="J423" s="74"/>
      <c r="K423" s="15"/>
      <c r="L423" s="15"/>
      <c r="M423" s="15"/>
      <c r="N423" s="15"/>
      <c r="O423" s="15"/>
      <c r="P423" s="15"/>
      <c r="Q423" s="15"/>
      <c r="R423" s="15"/>
    </row>
    <row r="424">
      <c r="A424" s="15"/>
      <c r="B424" s="15"/>
      <c r="C424" s="15"/>
      <c r="D424" s="15"/>
      <c r="E424" s="15"/>
      <c r="F424" s="74"/>
      <c r="G424" s="74"/>
      <c r="H424" s="74"/>
      <c r="I424" s="74"/>
      <c r="J424" s="74"/>
      <c r="K424" s="15"/>
      <c r="L424" s="15"/>
      <c r="M424" s="15"/>
      <c r="N424" s="15"/>
      <c r="O424" s="15"/>
      <c r="P424" s="15"/>
      <c r="Q424" s="15"/>
      <c r="R424" s="15"/>
    </row>
    <row r="425">
      <c r="A425" s="15"/>
      <c r="B425" s="15"/>
      <c r="C425" s="15"/>
      <c r="D425" s="15"/>
      <c r="E425" s="15"/>
      <c r="F425" s="74"/>
      <c r="G425" s="74"/>
      <c r="H425" s="74"/>
      <c r="I425" s="74"/>
      <c r="J425" s="74"/>
      <c r="K425" s="15"/>
      <c r="L425" s="15"/>
      <c r="M425" s="15"/>
      <c r="N425" s="15"/>
      <c r="O425" s="15"/>
      <c r="P425" s="15"/>
      <c r="Q425" s="15"/>
      <c r="R425" s="15"/>
    </row>
    <row r="426">
      <c r="A426" s="15"/>
      <c r="B426" s="15"/>
      <c r="C426" s="15"/>
      <c r="D426" s="15"/>
      <c r="E426" s="15"/>
      <c r="F426" s="74"/>
      <c r="G426" s="74"/>
      <c r="H426" s="74"/>
      <c r="I426" s="74"/>
      <c r="J426" s="74"/>
      <c r="K426" s="15"/>
      <c r="L426" s="15"/>
      <c r="M426" s="15"/>
      <c r="N426" s="15"/>
      <c r="O426" s="15"/>
      <c r="P426" s="15"/>
      <c r="Q426" s="15"/>
      <c r="R426" s="15"/>
    </row>
    <row r="427">
      <c r="A427" s="15"/>
      <c r="B427" s="15"/>
      <c r="C427" s="15"/>
      <c r="D427" s="15"/>
      <c r="E427" s="15"/>
      <c r="F427" s="74"/>
      <c r="G427" s="74"/>
      <c r="H427" s="74"/>
      <c r="I427" s="74"/>
      <c r="J427" s="74"/>
      <c r="K427" s="15"/>
      <c r="L427" s="15"/>
      <c r="M427" s="15"/>
      <c r="N427" s="15"/>
      <c r="O427" s="15"/>
      <c r="P427" s="15"/>
      <c r="Q427" s="15"/>
      <c r="R427" s="15"/>
    </row>
    <row r="428">
      <c r="A428" s="15"/>
      <c r="B428" s="15"/>
      <c r="C428" s="15"/>
      <c r="D428" s="15"/>
      <c r="E428" s="15"/>
      <c r="F428" s="74"/>
      <c r="G428" s="74"/>
      <c r="H428" s="74"/>
      <c r="I428" s="74"/>
      <c r="J428" s="74"/>
      <c r="K428" s="15"/>
      <c r="L428" s="15"/>
      <c r="M428" s="15"/>
      <c r="N428" s="15"/>
      <c r="O428" s="15"/>
      <c r="P428" s="15"/>
      <c r="Q428" s="15"/>
      <c r="R428" s="15"/>
    </row>
    <row r="429">
      <c r="A429" s="15"/>
      <c r="B429" s="15"/>
      <c r="C429" s="15"/>
      <c r="D429" s="15"/>
      <c r="E429" s="15"/>
      <c r="F429" s="74"/>
      <c r="G429" s="74"/>
      <c r="H429" s="74"/>
      <c r="I429" s="74"/>
      <c r="J429" s="74"/>
      <c r="K429" s="15"/>
      <c r="L429" s="15"/>
      <c r="M429" s="15"/>
      <c r="N429" s="15"/>
      <c r="O429" s="15"/>
      <c r="P429" s="15"/>
      <c r="Q429" s="15"/>
      <c r="R429" s="15"/>
    </row>
    <row r="430">
      <c r="A430" s="15"/>
      <c r="B430" s="15"/>
      <c r="C430" s="15"/>
      <c r="D430" s="15"/>
      <c r="E430" s="15"/>
      <c r="F430" s="74"/>
      <c r="G430" s="74"/>
      <c r="H430" s="74"/>
      <c r="I430" s="74"/>
      <c r="J430" s="74"/>
      <c r="K430" s="15"/>
      <c r="L430" s="15"/>
      <c r="M430" s="15"/>
      <c r="N430" s="15"/>
      <c r="O430" s="15"/>
      <c r="P430" s="15"/>
      <c r="Q430" s="15"/>
      <c r="R430" s="15"/>
    </row>
    <row r="431">
      <c r="A431" s="15"/>
      <c r="B431" s="15"/>
      <c r="C431" s="15"/>
      <c r="D431" s="15"/>
      <c r="E431" s="15"/>
      <c r="F431" s="74"/>
      <c r="G431" s="74"/>
      <c r="H431" s="74"/>
      <c r="I431" s="74"/>
      <c r="J431" s="74"/>
      <c r="K431" s="15"/>
      <c r="L431" s="15"/>
      <c r="M431" s="15"/>
      <c r="N431" s="15"/>
      <c r="O431" s="15"/>
      <c r="P431" s="15"/>
      <c r="Q431" s="15"/>
      <c r="R431" s="15"/>
    </row>
    <row r="432">
      <c r="A432" s="15"/>
      <c r="B432" s="15"/>
      <c r="C432" s="15"/>
      <c r="D432" s="15"/>
      <c r="E432" s="15"/>
      <c r="F432" s="74"/>
      <c r="G432" s="74"/>
      <c r="H432" s="74"/>
      <c r="I432" s="74"/>
      <c r="J432" s="74"/>
      <c r="K432" s="15"/>
      <c r="L432" s="15"/>
      <c r="M432" s="15"/>
      <c r="N432" s="15"/>
      <c r="O432" s="15"/>
      <c r="P432" s="15"/>
      <c r="Q432" s="15"/>
      <c r="R432" s="15"/>
    </row>
    <row r="433">
      <c r="A433" s="15"/>
      <c r="B433" s="15"/>
      <c r="C433" s="15"/>
      <c r="D433" s="15"/>
      <c r="E433" s="15"/>
      <c r="F433" s="74"/>
      <c r="G433" s="74"/>
      <c r="H433" s="74"/>
      <c r="I433" s="74"/>
      <c r="J433" s="74"/>
      <c r="K433" s="15"/>
      <c r="L433" s="15"/>
      <c r="M433" s="15"/>
      <c r="N433" s="15"/>
      <c r="O433" s="15"/>
      <c r="P433" s="15"/>
      <c r="Q433" s="15"/>
      <c r="R433" s="15"/>
    </row>
    <row r="434">
      <c r="A434" s="15"/>
      <c r="B434" s="15"/>
      <c r="C434" s="15"/>
      <c r="D434" s="15"/>
      <c r="E434" s="15"/>
      <c r="F434" s="74"/>
      <c r="G434" s="74"/>
      <c r="H434" s="74"/>
      <c r="I434" s="74"/>
      <c r="J434" s="74"/>
      <c r="K434" s="15"/>
      <c r="L434" s="15"/>
      <c r="M434" s="15"/>
      <c r="N434" s="15"/>
      <c r="O434" s="15"/>
      <c r="P434" s="15"/>
      <c r="Q434" s="15"/>
      <c r="R434" s="15"/>
    </row>
    <row r="435">
      <c r="A435" s="15"/>
      <c r="B435" s="15"/>
      <c r="C435" s="15"/>
      <c r="D435" s="15"/>
      <c r="E435" s="15"/>
      <c r="F435" s="74"/>
      <c r="G435" s="74"/>
      <c r="H435" s="74"/>
      <c r="I435" s="74"/>
      <c r="J435" s="74"/>
      <c r="K435" s="15"/>
      <c r="L435" s="15"/>
      <c r="M435" s="15"/>
      <c r="N435" s="15"/>
      <c r="O435" s="15"/>
      <c r="P435" s="15"/>
      <c r="Q435" s="15"/>
      <c r="R435" s="15"/>
    </row>
    <row r="436">
      <c r="A436" s="15"/>
      <c r="B436" s="15"/>
      <c r="C436" s="15"/>
      <c r="D436" s="15"/>
      <c r="E436" s="15"/>
      <c r="F436" s="74"/>
      <c r="G436" s="74"/>
      <c r="H436" s="74"/>
      <c r="I436" s="74"/>
      <c r="J436" s="74"/>
      <c r="K436" s="15"/>
      <c r="L436" s="15"/>
      <c r="M436" s="15"/>
      <c r="N436" s="15"/>
      <c r="O436" s="15"/>
      <c r="P436" s="15"/>
      <c r="Q436" s="15"/>
      <c r="R436" s="15"/>
    </row>
    <row r="437">
      <c r="A437" s="15"/>
      <c r="B437" s="15"/>
      <c r="C437" s="15"/>
      <c r="D437" s="15"/>
      <c r="E437" s="15"/>
      <c r="F437" s="74"/>
      <c r="G437" s="74"/>
      <c r="H437" s="74"/>
      <c r="I437" s="74"/>
      <c r="J437" s="74"/>
      <c r="K437" s="15"/>
      <c r="L437" s="15"/>
      <c r="M437" s="15"/>
      <c r="N437" s="15"/>
      <c r="O437" s="15"/>
      <c r="P437" s="15"/>
      <c r="Q437" s="15"/>
      <c r="R437" s="15"/>
    </row>
    <row r="438">
      <c r="A438" s="15"/>
      <c r="B438" s="15"/>
      <c r="C438" s="15"/>
      <c r="D438" s="15"/>
      <c r="E438" s="15"/>
      <c r="F438" s="74"/>
      <c r="G438" s="74"/>
      <c r="H438" s="74"/>
      <c r="I438" s="74"/>
      <c r="J438" s="74"/>
      <c r="K438" s="15"/>
      <c r="L438" s="15"/>
      <c r="M438" s="15"/>
      <c r="N438" s="15"/>
      <c r="O438" s="15"/>
      <c r="P438" s="15"/>
      <c r="Q438" s="15"/>
      <c r="R438" s="15"/>
    </row>
    <row r="439">
      <c r="A439" s="15"/>
      <c r="B439" s="15"/>
      <c r="C439" s="15"/>
      <c r="D439" s="15"/>
      <c r="E439" s="15"/>
      <c r="F439" s="74"/>
      <c r="G439" s="74"/>
      <c r="H439" s="74"/>
      <c r="I439" s="74"/>
      <c r="J439" s="74"/>
      <c r="K439" s="15"/>
      <c r="L439" s="15"/>
      <c r="M439" s="15"/>
      <c r="N439" s="15"/>
      <c r="O439" s="15"/>
      <c r="P439" s="15"/>
      <c r="Q439" s="15"/>
      <c r="R439" s="15"/>
    </row>
    <row r="440">
      <c r="A440" s="15"/>
      <c r="B440" s="15"/>
      <c r="C440" s="15"/>
      <c r="D440" s="15"/>
      <c r="E440" s="15"/>
      <c r="F440" s="74"/>
      <c r="G440" s="74"/>
      <c r="H440" s="74"/>
      <c r="I440" s="74"/>
      <c r="J440" s="74"/>
      <c r="K440" s="15"/>
      <c r="L440" s="15"/>
      <c r="M440" s="15"/>
      <c r="N440" s="15"/>
      <c r="O440" s="15"/>
      <c r="P440" s="15"/>
      <c r="Q440" s="15"/>
      <c r="R440" s="15"/>
    </row>
    <row r="441">
      <c r="A441" s="15"/>
      <c r="B441" s="15"/>
      <c r="C441" s="15"/>
      <c r="D441" s="15"/>
      <c r="E441" s="15"/>
      <c r="F441" s="74"/>
      <c r="G441" s="74"/>
      <c r="H441" s="74"/>
      <c r="I441" s="74"/>
      <c r="J441" s="74"/>
      <c r="K441" s="15"/>
      <c r="L441" s="15"/>
      <c r="M441" s="15"/>
      <c r="N441" s="15"/>
      <c r="O441" s="15"/>
      <c r="P441" s="15"/>
      <c r="Q441" s="15"/>
      <c r="R441" s="15"/>
    </row>
    <row r="442">
      <c r="A442" s="15"/>
      <c r="B442" s="15"/>
      <c r="C442" s="15"/>
      <c r="D442" s="15"/>
      <c r="E442" s="15"/>
      <c r="F442" s="74"/>
      <c r="G442" s="74"/>
      <c r="H442" s="74"/>
      <c r="I442" s="74"/>
      <c r="J442" s="74"/>
      <c r="K442" s="15"/>
      <c r="L442" s="15"/>
      <c r="M442" s="15"/>
      <c r="N442" s="15"/>
      <c r="O442" s="15"/>
      <c r="P442" s="15"/>
      <c r="Q442" s="15"/>
      <c r="R442" s="15"/>
    </row>
    <row r="443">
      <c r="A443" s="15"/>
      <c r="B443" s="15"/>
      <c r="C443" s="15"/>
      <c r="D443" s="15"/>
      <c r="E443" s="15"/>
      <c r="F443" s="74"/>
      <c r="G443" s="74"/>
      <c r="H443" s="74"/>
      <c r="I443" s="74"/>
      <c r="J443" s="74"/>
      <c r="K443" s="15"/>
      <c r="L443" s="15"/>
      <c r="M443" s="15"/>
      <c r="N443" s="15"/>
      <c r="O443" s="15"/>
      <c r="P443" s="15"/>
      <c r="Q443" s="15"/>
      <c r="R443" s="15"/>
    </row>
    <row r="444">
      <c r="A444" s="15"/>
      <c r="B444" s="15"/>
      <c r="C444" s="15"/>
      <c r="D444" s="15"/>
      <c r="E444" s="15"/>
      <c r="F444" s="74"/>
      <c r="G444" s="74"/>
      <c r="H444" s="74"/>
      <c r="I444" s="74"/>
      <c r="J444" s="74"/>
      <c r="K444" s="15"/>
      <c r="L444" s="15"/>
      <c r="M444" s="15"/>
      <c r="N444" s="15"/>
      <c r="O444" s="15"/>
      <c r="P444" s="15"/>
      <c r="Q444" s="15"/>
      <c r="R444" s="15"/>
    </row>
    <row r="445">
      <c r="A445" s="15"/>
      <c r="B445" s="15"/>
      <c r="C445" s="15"/>
      <c r="D445" s="15"/>
      <c r="E445" s="15"/>
      <c r="F445" s="74"/>
      <c r="G445" s="74"/>
      <c r="H445" s="74"/>
      <c r="I445" s="74"/>
      <c r="J445" s="74"/>
      <c r="K445" s="15"/>
      <c r="L445" s="15"/>
      <c r="M445" s="15"/>
      <c r="N445" s="15"/>
      <c r="O445" s="15"/>
      <c r="P445" s="15"/>
      <c r="Q445" s="15"/>
      <c r="R445" s="15"/>
    </row>
    <row r="446">
      <c r="A446" s="15"/>
      <c r="B446" s="15"/>
      <c r="C446" s="15"/>
      <c r="D446" s="15"/>
      <c r="E446" s="15"/>
      <c r="F446" s="74"/>
      <c r="G446" s="74"/>
      <c r="H446" s="74"/>
      <c r="I446" s="74"/>
      <c r="J446" s="74"/>
      <c r="K446" s="15"/>
      <c r="L446" s="15"/>
      <c r="M446" s="15"/>
      <c r="N446" s="15"/>
      <c r="O446" s="15"/>
      <c r="P446" s="15"/>
      <c r="Q446" s="15"/>
      <c r="R446" s="15"/>
    </row>
    <row r="447">
      <c r="A447" s="15"/>
      <c r="B447" s="15"/>
      <c r="C447" s="15"/>
      <c r="D447" s="15"/>
      <c r="E447" s="15"/>
      <c r="F447" s="74"/>
      <c r="G447" s="74"/>
      <c r="H447" s="74"/>
      <c r="I447" s="74"/>
      <c r="J447" s="74"/>
      <c r="K447" s="15"/>
      <c r="L447" s="15"/>
      <c r="M447" s="15"/>
      <c r="N447" s="15"/>
      <c r="O447" s="15"/>
      <c r="P447" s="15"/>
      <c r="Q447" s="15"/>
      <c r="R447" s="15"/>
    </row>
    <row r="448">
      <c r="A448" s="15"/>
      <c r="B448" s="15"/>
      <c r="C448" s="15"/>
      <c r="D448" s="15"/>
      <c r="E448" s="15"/>
      <c r="F448" s="74"/>
      <c r="G448" s="74"/>
      <c r="H448" s="74"/>
      <c r="I448" s="74"/>
      <c r="J448" s="74"/>
      <c r="K448" s="15"/>
      <c r="L448" s="15"/>
      <c r="M448" s="15"/>
      <c r="N448" s="15"/>
      <c r="O448" s="15"/>
      <c r="P448" s="15"/>
      <c r="Q448" s="15"/>
      <c r="R448" s="15"/>
    </row>
    <row r="449">
      <c r="A449" s="15"/>
      <c r="B449" s="15"/>
      <c r="C449" s="15"/>
      <c r="D449" s="15"/>
      <c r="E449" s="15"/>
      <c r="F449" s="74"/>
      <c r="G449" s="74"/>
      <c r="H449" s="74"/>
      <c r="I449" s="74"/>
      <c r="J449" s="74"/>
      <c r="K449" s="15"/>
      <c r="L449" s="15"/>
      <c r="M449" s="15"/>
      <c r="N449" s="15"/>
      <c r="O449" s="15"/>
      <c r="P449" s="15"/>
      <c r="Q449" s="15"/>
      <c r="R449" s="15"/>
    </row>
    <row r="450">
      <c r="A450" s="15"/>
      <c r="B450" s="15"/>
      <c r="C450" s="15"/>
      <c r="D450" s="15"/>
      <c r="E450" s="15"/>
      <c r="F450" s="74"/>
      <c r="G450" s="74"/>
      <c r="H450" s="74"/>
      <c r="I450" s="74"/>
      <c r="J450" s="74"/>
      <c r="K450" s="15"/>
      <c r="L450" s="15"/>
      <c r="M450" s="15"/>
      <c r="N450" s="15"/>
      <c r="O450" s="15"/>
      <c r="P450" s="15"/>
      <c r="Q450" s="15"/>
      <c r="R450" s="15"/>
    </row>
    <row r="451">
      <c r="A451" s="15"/>
      <c r="B451" s="15"/>
      <c r="C451" s="15"/>
      <c r="D451" s="15"/>
      <c r="E451" s="15"/>
      <c r="F451" s="74"/>
      <c r="G451" s="74"/>
      <c r="H451" s="74"/>
      <c r="I451" s="74"/>
      <c r="J451" s="74"/>
      <c r="K451" s="15"/>
      <c r="L451" s="15"/>
      <c r="M451" s="15"/>
      <c r="N451" s="15"/>
      <c r="O451" s="15"/>
      <c r="P451" s="15"/>
      <c r="Q451" s="15"/>
      <c r="R451" s="15"/>
    </row>
    <row r="452">
      <c r="A452" s="15"/>
      <c r="B452" s="15"/>
      <c r="C452" s="15"/>
      <c r="D452" s="15"/>
      <c r="E452" s="15"/>
      <c r="F452" s="74"/>
      <c r="G452" s="74"/>
      <c r="H452" s="74"/>
      <c r="I452" s="74"/>
      <c r="J452" s="74"/>
      <c r="K452" s="15"/>
      <c r="L452" s="15"/>
      <c r="M452" s="15"/>
      <c r="N452" s="15"/>
      <c r="O452" s="15"/>
      <c r="P452" s="15"/>
      <c r="Q452" s="15"/>
      <c r="R452" s="15"/>
    </row>
    <row r="453">
      <c r="A453" s="15"/>
      <c r="B453" s="15"/>
      <c r="C453" s="15"/>
      <c r="D453" s="15"/>
      <c r="E453" s="15"/>
      <c r="F453" s="74"/>
      <c r="G453" s="74"/>
      <c r="H453" s="74"/>
      <c r="I453" s="74"/>
      <c r="J453" s="74"/>
      <c r="K453" s="15"/>
      <c r="L453" s="15"/>
      <c r="M453" s="15"/>
      <c r="N453" s="15"/>
      <c r="O453" s="15"/>
      <c r="P453" s="15"/>
      <c r="Q453" s="15"/>
      <c r="R453" s="15"/>
    </row>
    <row r="454">
      <c r="A454" s="15"/>
      <c r="B454" s="15"/>
      <c r="C454" s="15"/>
      <c r="D454" s="15"/>
      <c r="E454" s="15"/>
      <c r="F454" s="74"/>
      <c r="G454" s="74"/>
      <c r="H454" s="74"/>
      <c r="I454" s="74"/>
      <c r="J454" s="74"/>
      <c r="K454" s="15"/>
      <c r="L454" s="15"/>
      <c r="M454" s="15"/>
      <c r="N454" s="15"/>
      <c r="O454" s="15"/>
      <c r="P454" s="15"/>
      <c r="Q454" s="15"/>
      <c r="R454" s="15"/>
    </row>
    <row r="455">
      <c r="A455" s="15"/>
      <c r="B455" s="15"/>
      <c r="C455" s="15"/>
      <c r="D455" s="15"/>
      <c r="E455" s="15"/>
      <c r="F455" s="74"/>
      <c r="G455" s="74"/>
      <c r="H455" s="74"/>
      <c r="I455" s="74"/>
      <c r="J455" s="74"/>
      <c r="K455" s="15"/>
      <c r="L455" s="15"/>
      <c r="M455" s="15"/>
      <c r="N455" s="15"/>
      <c r="O455" s="15"/>
      <c r="P455" s="15"/>
      <c r="Q455" s="15"/>
      <c r="R455" s="15"/>
    </row>
    <row r="456">
      <c r="A456" s="15"/>
      <c r="B456" s="15"/>
      <c r="C456" s="15"/>
      <c r="D456" s="15"/>
      <c r="E456" s="15"/>
      <c r="F456" s="74"/>
      <c r="G456" s="74"/>
      <c r="H456" s="74"/>
      <c r="I456" s="74"/>
      <c r="J456" s="74"/>
      <c r="K456" s="15"/>
      <c r="L456" s="15"/>
      <c r="M456" s="15"/>
      <c r="N456" s="15"/>
      <c r="O456" s="15"/>
      <c r="P456" s="15"/>
      <c r="Q456" s="15"/>
      <c r="R456" s="15"/>
    </row>
    <row r="457">
      <c r="A457" s="15"/>
      <c r="B457" s="15"/>
      <c r="C457" s="15"/>
      <c r="D457" s="15"/>
      <c r="E457" s="15"/>
      <c r="F457" s="74"/>
      <c r="G457" s="74"/>
      <c r="H457" s="74"/>
      <c r="I457" s="74"/>
      <c r="J457" s="74"/>
      <c r="K457" s="15"/>
      <c r="L457" s="15"/>
      <c r="M457" s="15"/>
      <c r="N457" s="15"/>
      <c r="O457" s="15"/>
      <c r="P457" s="15"/>
      <c r="Q457" s="15"/>
      <c r="R457" s="15"/>
    </row>
    <row r="458">
      <c r="A458" s="15"/>
      <c r="B458" s="15"/>
      <c r="C458" s="15"/>
      <c r="D458" s="15"/>
      <c r="E458" s="15"/>
      <c r="F458" s="74"/>
      <c r="G458" s="74"/>
      <c r="H458" s="74"/>
      <c r="I458" s="74"/>
      <c r="J458" s="74"/>
      <c r="K458" s="15"/>
      <c r="L458" s="15"/>
      <c r="M458" s="15"/>
      <c r="N458" s="15"/>
      <c r="O458" s="15"/>
      <c r="P458" s="15"/>
      <c r="Q458" s="15"/>
      <c r="R458" s="15"/>
    </row>
    <row r="459">
      <c r="A459" s="15"/>
      <c r="B459" s="15"/>
      <c r="C459" s="15"/>
      <c r="D459" s="15"/>
      <c r="E459" s="15"/>
      <c r="F459" s="74"/>
      <c r="G459" s="74"/>
      <c r="H459" s="74"/>
      <c r="I459" s="74"/>
      <c r="J459" s="74"/>
      <c r="K459" s="15"/>
      <c r="L459" s="15"/>
      <c r="M459" s="15"/>
      <c r="N459" s="15"/>
      <c r="O459" s="15"/>
      <c r="P459" s="15"/>
      <c r="Q459" s="15"/>
      <c r="R459" s="15"/>
    </row>
    <row r="460">
      <c r="A460" s="15"/>
      <c r="B460" s="15"/>
      <c r="C460" s="15"/>
      <c r="D460" s="15"/>
      <c r="E460" s="15"/>
      <c r="F460" s="74"/>
      <c r="G460" s="74"/>
      <c r="H460" s="74"/>
      <c r="I460" s="74"/>
      <c r="J460" s="74"/>
      <c r="K460" s="15"/>
      <c r="L460" s="15"/>
      <c r="M460" s="15"/>
      <c r="N460" s="15"/>
      <c r="O460" s="15"/>
      <c r="P460" s="15"/>
      <c r="Q460" s="15"/>
      <c r="R460" s="15"/>
    </row>
    <row r="461">
      <c r="A461" s="15"/>
      <c r="B461" s="15"/>
      <c r="C461" s="15"/>
      <c r="D461" s="15"/>
      <c r="E461" s="15"/>
      <c r="F461" s="74"/>
      <c r="G461" s="74"/>
      <c r="H461" s="74"/>
      <c r="I461" s="74"/>
      <c r="J461" s="74"/>
      <c r="K461" s="15"/>
      <c r="L461" s="15"/>
      <c r="M461" s="15"/>
      <c r="N461" s="15"/>
      <c r="O461" s="15"/>
      <c r="P461" s="15"/>
      <c r="Q461" s="15"/>
      <c r="R461" s="15"/>
    </row>
    <row r="462">
      <c r="A462" s="15"/>
      <c r="B462" s="15"/>
      <c r="C462" s="15"/>
      <c r="D462" s="15"/>
      <c r="E462" s="15"/>
      <c r="F462" s="74"/>
      <c r="G462" s="74"/>
      <c r="H462" s="74"/>
      <c r="I462" s="74"/>
      <c r="J462" s="74"/>
      <c r="K462" s="15"/>
      <c r="L462" s="15"/>
      <c r="M462" s="15"/>
      <c r="N462" s="15"/>
      <c r="O462" s="15"/>
      <c r="P462" s="15"/>
      <c r="Q462" s="15"/>
      <c r="R462" s="15"/>
    </row>
    <row r="463">
      <c r="A463" s="15"/>
      <c r="B463" s="15"/>
      <c r="C463" s="15"/>
      <c r="D463" s="15"/>
      <c r="E463" s="15"/>
      <c r="F463" s="74"/>
      <c r="G463" s="74"/>
      <c r="H463" s="74"/>
      <c r="I463" s="74"/>
      <c r="J463" s="74"/>
      <c r="K463" s="15"/>
      <c r="L463" s="15"/>
      <c r="M463" s="15"/>
      <c r="N463" s="15"/>
      <c r="O463" s="15"/>
      <c r="P463" s="15"/>
      <c r="Q463" s="15"/>
      <c r="R463" s="15"/>
    </row>
    <row r="464">
      <c r="A464" s="15"/>
      <c r="B464" s="15"/>
      <c r="C464" s="15"/>
      <c r="D464" s="15"/>
      <c r="E464" s="15"/>
      <c r="F464" s="74"/>
      <c r="G464" s="74"/>
      <c r="H464" s="74"/>
      <c r="I464" s="74"/>
      <c r="J464" s="74"/>
      <c r="K464" s="15"/>
      <c r="L464" s="15"/>
      <c r="M464" s="15"/>
      <c r="N464" s="15"/>
      <c r="O464" s="15"/>
      <c r="P464" s="15"/>
      <c r="Q464" s="15"/>
      <c r="R464" s="15"/>
    </row>
    <row r="465">
      <c r="A465" s="15"/>
      <c r="B465" s="15"/>
      <c r="C465" s="15"/>
      <c r="D465" s="15"/>
      <c r="E465" s="15"/>
      <c r="F465" s="74"/>
      <c r="G465" s="74"/>
      <c r="H465" s="74"/>
      <c r="I465" s="74"/>
      <c r="J465" s="74"/>
      <c r="K465" s="15"/>
      <c r="L465" s="15"/>
      <c r="M465" s="15"/>
      <c r="N465" s="15"/>
      <c r="O465" s="15"/>
      <c r="P465" s="15"/>
      <c r="Q465" s="15"/>
      <c r="R465" s="15"/>
    </row>
    <row r="466">
      <c r="A466" s="15"/>
      <c r="B466" s="15"/>
      <c r="C466" s="15"/>
      <c r="D466" s="15"/>
      <c r="E466" s="15"/>
      <c r="F466" s="74"/>
      <c r="G466" s="74"/>
      <c r="H466" s="74"/>
      <c r="I466" s="74"/>
      <c r="J466" s="74"/>
      <c r="K466" s="15"/>
      <c r="L466" s="15"/>
      <c r="M466" s="15"/>
      <c r="N466" s="15"/>
      <c r="O466" s="15"/>
      <c r="P466" s="15"/>
      <c r="Q466" s="15"/>
      <c r="R466" s="15"/>
    </row>
    <row r="467">
      <c r="A467" s="15"/>
      <c r="B467" s="15"/>
      <c r="C467" s="15"/>
      <c r="D467" s="15"/>
      <c r="E467" s="15"/>
      <c r="F467" s="74"/>
      <c r="G467" s="74"/>
      <c r="H467" s="74"/>
      <c r="I467" s="74"/>
      <c r="J467" s="74"/>
      <c r="K467" s="15"/>
      <c r="L467" s="15"/>
      <c r="M467" s="15"/>
      <c r="N467" s="15"/>
      <c r="O467" s="15"/>
      <c r="P467" s="15"/>
      <c r="Q467" s="15"/>
      <c r="R467" s="15"/>
    </row>
    <row r="468">
      <c r="A468" s="15"/>
      <c r="B468" s="15"/>
      <c r="C468" s="15"/>
      <c r="D468" s="15"/>
      <c r="E468" s="15"/>
      <c r="F468" s="74"/>
      <c r="G468" s="74"/>
      <c r="H468" s="74"/>
      <c r="I468" s="74"/>
      <c r="J468" s="74"/>
      <c r="K468" s="15"/>
      <c r="L468" s="15"/>
      <c r="M468" s="15"/>
      <c r="N468" s="15"/>
      <c r="O468" s="15"/>
      <c r="P468" s="15"/>
      <c r="Q468" s="15"/>
      <c r="R468" s="15"/>
    </row>
    <row r="469">
      <c r="A469" s="15"/>
      <c r="B469" s="15"/>
      <c r="C469" s="15"/>
      <c r="D469" s="15"/>
      <c r="E469" s="15"/>
      <c r="F469" s="74"/>
      <c r="G469" s="74"/>
      <c r="H469" s="74"/>
      <c r="I469" s="74"/>
      <c r="J469" s="74"/>
      <c r="K469" s="15"/>
      <c r="L469" s="15"/>
      <c r="M469" s="15"/>
      <c r="N469" s="15"/>
      <c r="O469" s="15"/>
      <c r="P469" s="15"/>
      <c r="Q469" s="15"/>
      <c r="R469" s="15"/>
    </row>
    <row r="470">
      <c r="A470" s="15"/>
      <c r="B470" s="15"/>
      <c r="C470" s="15"/>
      <c r="D470" s="15"/>
      <c r="E470" s="15"/>
      <c r="F470" s="74"/>
      <c r="G470" s="74"/>
      <c r="H470" s="74"/>
      <c r="I470" s="74"/>
      <c r="J470" s="74"/>
      <c r="K470" s="15"/>
      <c r="L470" s="15"/>
      <c r="M470" s="15"/>
      <c r="N470" s="15"/>
      <c r="O470" s="15"/>
      <c r="P470" s="15"/>
      <c r="Q470" s="15"/>
      <c r="R470" s="15"/>
    </row>
    <row r="471">
      <c r="A471" s="15"/>
      <c r="B471" s="15"/>
      <c r="C471" s="15"/>
      <c r="D471" s="15"/>
      <c r="E471" s="15"/>
      <c r="F471" s="74"/>
      <c r="G471" s="74"/>
      <c r="H471" s="74"/>
      <c r="I471" s="74"/>
      <c r="J471" s="74"/>
      <c r="K471" s="15"/>
      <c r="L471" s="15"/>
      <c r="M471" s="15"/>
      <c r="N471" s="15"/>
      <c r="O471" s="15"/>
      <c r="P471" s="15"/>
      <c r="Q471" s="15"/>
      <c r="R471" s="15"/>
    </row>
    <row r="472">
      <c r="A472" s="15"/>
      <c r="B472" s="15"/>
      <c r="C472" s="15"/>
      <c r="D472" s="15"/>
      <c r="E472" s="15"/>
      <c r="F472" s="74"/>
      <c r="G472" s="74"/>
      <c r="H472" s="74"/>
      <c r="I472" s="74"/>
      <c r="J472" s="74"/>
      <c r="K472" s="15"/>
      <c r="L472" s="15"/>
      <c r="M472" s="15"/>
      <c r="N472" s="15"/>
      <c r="O472" s="15"/>
      <c r="P472" s="15"/>
      <c r="Q472" s="15"/>
      <c r="R472" s="15"/>
    </row>
    <row r="473">
      <c r="A473" s="15"/>
      <c r="B473" s="15"/>
      <c r="C473" s="15"/>
      <c r="D473" s="15"/>
      <c r="E473" s="15"/>
      <c r="F473" s="74"/>
      <c r="G473" s="74"/>
      <c r="H473" s="74"/>
      <c r="I473" s="74"/>
      <c r="J473" s="74"/>
      <c r="K473" s="15"/>
      <c r="L473" s="15"/>
      <c r="M473" s="15"/>
      <c r="N473" s="15"/>
      <c r="O473" s="15"/>
      <c r="P473" s="15"/>
      <c r="Q473" s="15"/>
      <c r="R473" s="15"/>
    </row>
    <row r="474">
      <c r="A474" s="15"/>
      <c r="B474" s="15"/>
      <c r="C474" s="15"/>
      <c r="D474" s="15"/>
      <c r="E474" s="15"/>
      <c r="F474" s="74"/>
      <c r="G474" s="74"/>
      <c r="H474" s="74"/>
      <c r="I474" s="74"/>
      <c r="J474" s="74"/>
      <c r="K474" s="15"/>
      <c r="L474" s="15"/>
      <c r="M474" s="15"/>
      <c r="N474" s="15"/>
      <c r="O474" s="15"/>
      <c r="P474" s="15"/>
      <c r="Q474" s="15"/>
      <c r="R474" s="15"/>
    </row>
    <row r="475">
      <c r="A475" s="15"/>
      <c r="B475" s="15"/>
      <c r="C475" s="15"/>
      <c r="D475" s="15"/>
      <c r="E475" s="15"/>
      <c r="F475" s="74"/>
      <c r="G475" s="74"/>
      <c r="H475" s="74"/>
      <c r="I475" s="74"/>
      <c r="J475" s="74"/>
      <c r="K475" s="15"/>
      <c r="L475" s="15"/>
      <c r="M475" s="15"/>
      <c r="N475" s="15"/>
      <c r="O475" s="15"/>
      <c r="P475" s="15"/>
      <c r="Q475" s="15"/>
      <c r="R475" s="15"/>
    </row>
    <row r="476">
      <c r="A476" s="15"/>
      <c r="B476" s="15"/>
      <c r="C476" s="15"/>
      <c r="D476" s="15"/>
      <c r="E476" s="15"/>
      <c r="F476" s="74"/>
      <c r="G476" s="74"/>
      <c r="H476" s="74"/>
      <c r="I476" s="74"/>
      <c r="J476" s="74"/>
      <c r="K476" s="15"/>
      <c r="L476" s="15"/>
      <c r="M476" s="15"/>
      <c r="N476" s="15"/>
      <c r="O476" s="15"/>
      <c r="P476" s="15"/>
      <c r="Q476" s="15"/>
      <c r="R476" s="15"/>
    </row>
    <row r="477">
      <c r="A477" s="15"/>
      <c r="B477" s="15"/>
      <c r="C477" s="15"/>
      <c r="D477" s="15"/>
      <c r="E477" s="15"/>
      <c r="F477" s="74"/>
      <c r="G477" s="74"/>
      <c r="H477" s="74"/>
      <c r="I477" s="74"/>
      <c r="J477" s="74"/>
      <c r="K477" s="15"/>
      <c r="L477" s="15"/>
      <c r="M477" s="15"/>
      <c r="N477" s="15"/>
      <c r="O477" s="15"/>
      <c r="P477" s="15"/>
      <c r="Q477" s="15"/>
      <c r="R477" s="15"/>
    </row>
    <row r="478">
      <c r="A478" s="15"/>
      <c r="B478" s="15"/>
      <c r="C478" s="15"/>
      <c r="D478" s="15"/>
      <c r="E478" s="15"/>
      <c r="F478" s="74"/>
      <c r="G478" s="74"/>
      <c r="H478" s="74"/>
      <c r="I478" s="74"/>
      <c r="J478" s="74"/>
      <c r="K478" s="15"/>
      <c r="L478" s="15"/>
      <c r="M478" s="15"/>
      <c r="N478" s="15"/>
      <c r="O478" s="15"/>
      <c r="P478" s="15"/>
      <c r="Q478" s="15"/>
      <c r="R478" s="15"/>
    </row>
    <row r="479">
      <c r="A479" s="15"/>
      <c r="B479" s="15"/>
      <c r="C479" s="15"/>
      <c r="D479" s="15"/>
      <c r="E479" s="15"/>
      <c r="F479" s="74"/>
      <c r="G479" s="74"/>
      <c r="H479" s="74"/>
      <c r="I479" s="74"/>
      <c r="J479" s="74"/>
      <c r="K479" s="15"/>
      <c r="L479" s="15"/>
      <c r="M479" s="15"/>
      <c r="N479" s="15"/>
      <c r="O479" s="15"/>
      <c r="P479" s="15"/>
      <c r="Q479" s="15"/>
      <c r="R479" s="15"/>
    </row>
    <row r="480">
      <c r="A480" s="15"/>
      <c r="B480" s="15"/>
      <c r="C480" s="15"/>
      <c r="D480" s="15"/>
      <c r="E480" s="15"/>
      <c r="F480" s="74"/>
      <c r="G480" s="74"/>
      <c r="H480" s="74"/>
      <c r="I480" s="74"/>
      <c r="J480" s="74"/>
      <c r="K480" s="15"/>
      <c r="L480" s="15"/>
      <c r="M480" s="15"/>
      <c r="N480" s="15"/>
      <c r="O480" s="15"/>
      <c r="P480" s="15"/>
      <c r="Q480" s="15"/>
      <c r="R480" s="15"/>
    </row>
    <row r="481">
      <c r="A481" s="15"/>
      <c r="B481" s="15"/>
      <c r="C481" s="15"/>
      <c r="D481" s="15"/>
      <c r="E481" s="15"/>
      <c r="F481" s="74"/>
      <c r="G481" s="74"/>
      <c r="H481" s="74"/>
      <c r="I481" s="74"/>
      <c r="J481" s="74"/>
      <c r="K481" s="15"/>
      <c r="L481" s="15"/>
      <c r="M481" s="15"/>
      <c r="N481" s="15"/>
      <c r="O481" s="15"/>
      <c r="P481" s="15"/>
      <c r="Q481" s="15"/>
      <c r="R481" s="15"/>
    </row>
    <row r="482">
      <c r="A482" s="15"/>
      <c r="B482" s="15"/>
      <c r="C482" s="15"/>
      <c r="D482" s="15"/>
      <c r="E482" s="15"/>
      <c r="F482" s="74"/>
      <c r="G482" s="74"/>
      <c r="H482" s="74"/>
      <c r="I482" s="74"/>
      <c r="J482" s="74"/>
      <c r="K482" s="15"/>
      <c r="L482" s="15"/>
      <c r="M482" s="15"/>
      <c r="N482" s="15"/>
      <c r="O482" s="15"/>
      <c r="P482" s="15"/>
      <c r="Q482" s="15"/>
      <c r="R482" s="15"/>
    </row>
    <row r="483">
      <c r="A483" s="15"/>
      <c r="B483" s="15"/>
      <c r="C483" s="15"/>
      <c r="D483" s="15"/>
      <c r="E483" s="15"/>
      <c r="F483" s="74"/>
      <c r="G483" s="74"/>
      <c r="H483" s="74"/>
      <c r="I483" s="74"/>
      <c r="J483" s="74"/>
      <c r="K483" s="15"/>
      <c r="L483" s="15"/>
      <c r="M483" s="15"/>
      <c r="N483" s="15"/>
      <c r="O483" s="15"/>
      <c r="P483" s="15"/>
      <c r="Q483" s="15"/>
      <c r="R483" s="15"/>
    </row>
    <row r="484">
      <c r="A484" s="15"/>
      <c r="B484" s="15"/>
      <c r="C484" s="15"/>
      <c r="D484" s="15"/>
      <c r="E484" s="15"/>
      <c r="F484" s="74"/>
      <c r="G484" s="74"/>
      <c r="H484" s="74"/>
      <c r="I484" s="74"/>
      <c r="J484" s="74"/>
      <c r="K484" s="15"/>
      <c r="L484" s="15"/>
      <c r="M484" s="15"/>
      <c r="N484" s="15"/>
      <c r="O484" s="15"/>
      <c r="P484" s="15"/>
      <c r="Q484" s="15"/>
      <c r="R484" s="15"/>
    </row>
    <row r="485">
      <c r="A485" s="15"/>
      <c r="B485" s="15"/>
      <c r="C485" s="15"/>
      <c r="D485" s="15"/>
      <c r="E485" s="15"/>
      <c r="F485" s="74"/>
      <c r="G485" s="74"/>
      <c r="H485" s="74"/>
      <c r="I485" s="74"/>
      <c r="J485" s="74"/>
      <c r="K485" s="15"/>
      <c r="L485" s="15"/>
      <c r="M485" s="15"/>
      <c r="N485" s="15"/>
      <c r="O485" s="15"/>
      <c r="P485" s="15"/>
      <c r="Q485" s="15"/>
      <c r="R485" s="15"/>
    </row>
    <row r="486">
      <c r="A486" s="15"/>
      <c r="B486" s="15"/>
      <c r="C486" s="15"/>
      <c r="D486" s="15"/>
      <c r="E486" s="15"/>
      <c r="F486" s="74"/>
      <c r="G486" s="74"/>
      <c r="H486" s="74"/>
      <c r="I486" s="74"/>
      <c r="J486" s="74"/>
      <c r="K486" s="15"/>
      <c r="L486" s="15"/>
      <c r="M486" s="15"/>
      <c r="N486" s="15"/>
      <c r="O486" s="15"/>
      <c r="P486" s="15"/>
      <c r="Q486" s="15"/>
      <c r="R486" s="15"/>
    </row>
    <row r="487">
      <c r="A487" s="15"/>
      <c r="B487" s="15"/>
      <c r="C487" s="15"/>
      <c r="D487" s="15"/>
      <c r="E487" s="15"/>
      <c r="F487" s="74"/>
      <c r="G487" s="74"/>
      <c r="H487" s="74"/>
      <c r="I487" s="74"/>
      <c r="J487" s="74"/>
      <c r="K487" s="15"/>
      <c r="L487" s="15"/>
      <c r="M487" s="15"/>
      <c r="N487" s="15"/>
      <c r="O487" s="15"/>
      <c r="P487" s="15"/>
      <c r="Q487" s="15"/>
      <c r="R487" s="15"/>
    </row>
    <row r="488">
      <c r="A488" s="15"/>
      <c r="B488" s="15"/>
      <c r="C488" s="15"/>
      <c r="D488" s="15"/>
      <c r="E488" s="15"/>
      <c r="F488" s="74"/>
      <c r="G488" s="74"/>
      <c r="H488" s="74"/>
      <c r="I488" s="74"/>
      <c r="J488" s="74"/>
      <c r="K488" s="15"/>
      <c r="L488" s="15"/>
      <c r="M488" s="15"/>
      <c r="N488" s="15"/>
      <c r="O488" s="15"/>
      <c r="P488" s="15"/>
      <c r="Q488" s="15"/>
      <c r="R488" s="15"/>
    </row>
    <row r="489">
      <c r="A489" s="15"/>
      <c r="B489" s="15"/>
      <c r="C489" s="15"/>
      <c r="D489" s="15"/>
      <c r="E489" s="15"/>
      <c r="F489" s="74"/>
      <c r="G489" s="74"/>
      <c r="H489" s="74"/>
      <c r="I489" s="74"/>
      <c r="J489" s="74"/>
      <c r="K489" s="15"/>
      <c r="L489" s="15"/>
      <c r="M489" s="15"/>
      <c r="N489" s="15"/>
      <c r="O489" s="15"/>
      <c r="P489" s="15"/>
      <c r="Q489" s="15"/>
      <c r="R489" s="15"/>
    </row>
    <row r="490">
      <c r="A490" s="15"/>
      <c r="B490" s="15"/>
      <c r="C490" s="15"/>
      <c r="D490" s="15"/>
      <c r="E490" s="15"/>
      <c r="F490" s="74"/>
      <c r="G490" s="74"/>
      <c r="H490" s="74"/>
      <c r="I490" s="74"/>
      <c r="J490" s="74"/>
      <c r="K490" s="15"/>
      <c r="L490" s="15"/>
      <c r="M490" s="15"/>
      <c r="N490" s="15"/>
      <c r="O490" s="15"/>
      <c r="P490" s="15"/>
      <c r="Q490" s="15"/>
      <c r="R490" s="15"/>
    </row>
    <row r="491">
      <c r="A491" s="15"/>
      <c r="B491" s="15"/>
      <c r="C491" s="15"/>
      <c r="D491" s="15"/>
      <c r="E491" s="15"/>
      <c r="F491" s="74"/>
      <c r="G491" s="74"/>
      <c r="H491" s="74"/>
      <c r="I491" s="74"/>
      <c r="J491" s="74"/>
      <c r="K491" s="15"/>
      <c r="L491" s="15"/>
      <c r="M491" s="15"/>
      <c r="N491" s="15"/>
      <c r="O491" s="15"/>
      <c r="P491" s="15"/>
      <c r="Q491" s="15"/>
      <c r="R491" s="15"/>
    </row>
    <row r="492">
      <c r="A492" s="15"/>
      <c r="B492" s="15"/>
      <c r="C492" s="15"/>
      <c r="D492" s="15"/>
      <c r="E492" s="15"/>
      <c r="F492" s="74"/>
      <c r="G492" s="74"/>
      <c r="H492" s="74"/>
      <c r="I492" s="74"/>
      <c r="J492" s="74"/>
      <c r="K492" s="15"/>
      <c r="L492" s="15"/>
      <c r="M492" s="15"/>
      <c r="N492" s="15"/>
      <c r="O492" s="15"/>
      <c r="P492" s="15"/>
      <c r="Q492" s="15"/>
      <c r="R492" s="15"/>
    </row>
    <row r="493">
      <c r="A493" s="15"/>
      <c r="B493" s="15"/>
      <c r="C493" s="15"/>
      <c r="D493" s="15"/>
      <c r="E493" s="15"/>
      <c r="F493" s="74"/>
      <c r="G493" s="74"/>
      <c r="H493" s="74"/>
      <c r="I493" s="74"/>
      <c r="J493" s="74"/>
      <c r="K493" s="15"/>
      <c r="L493" s="15"/>
      <c r="M493" s="15"/>
      <c r="N493" s="15"/>
      <c r="O493" s="15"/>
      <c r="P493" s="15"/>
      <c r="Q493" s="15"/>
      <c r="R493" s="15"/>
    </row>
    <row r="494">
      <c r="A494" s="15"/>
      <c r="B494" s="15"/>
      <c r="C494" s="15"/>
      <c r="D494" s="15"/>
      <c r="E494" s="15"/>
      <c r="F494" s="74"/>
      <c r="G494" s="74"/>
      <c r="H494" s="74"/>
      <c r="I494" s="74"/>
      <c r="J494" s="74"/>
      <c r="K494" s="15"/>
      <c r="L494" s="15"/>
      <c r="M494" s="15"/>
      <c r="N494" s="15"/>
      <c r="O494" s="15"/>
      <c r="P494" s="15"/>
      <c r="Q494" s="15"/>
      <c r="R494" s="15"/>
    </row>
    <row r="495">
      <c r="A495" s="15"/>
      <c r="B495" s="15"/>
      <c r="C495" s="15"/>
      <c r="D495" s="15"/>
      <c r="E495" s="15"/>
      <c r="F495" s="74"/>
      <c r="G495" s="74"/>
      <c r="H495" s="74"/>
      <c r="I495" s="74"/>
      <c r="J495" s="74"/>
      <c r="K495" s="15"/>
      <c r="L495" s="15"/>
      <c r="M495" s="15"/>
      <c r="N495" s="15"/>
      <c r="O495" s="15"/>
      <c r="P495" s="15"/>
      <c r="Q495" s="15"/>
      <c r="R495" s="15"/>
    </row>
    <row r="496">
      <c r="A496" s="15"/>
      <c r="B496" s="15"/>
      <c r="C496" s="15"/>
      <c r="D496" s="15"/>
      <c r="E496" s="15"/>
      <c r="F496" s="74"/>
      <c r="G496" s="74"/>
      <c r="H496" s="74"/>
      <c r="I496" s="74"/>
      <c r="J496" s="74"/>
      <c r="K496" s="15"/>
      <c r="L496" s="15"/>
      <c r="M496" s="15"/>
      <c r="N496" s="15"/>
      <c r="O496" s="15"/>
      <c r="P496" s="15"/>
      <c r="Q496" s="15"/>
      <c r="R496" s="15"/>
    </row>
    <row r="497">
      <c r="A497" s="15"/>
      <c r="B497" s="15"/>
      <c r="C497" s="15"/>
      <c r="D497" s="15"/>
      <c r="E497" s="15"/>
      <c r="F497" s="74"/>
      <c r="G497" s="74"/>
      <c r="H497" s="74"/>
      <c r="I497" s="74"/>
      <c r="J497" s="74"/>
      <c r="K497" s="15"/>
      <c r="L497" s="15"/>
      <c r="M497" s="15"/>
      <c r="N497" s="15"/>
      <c r="O497" s="15"/>
      <c r="P497" s="15"/>
      <c r="Q497" s="15"/>
      <c r="R497" s="15"/>
    </row>
    <row r="498">
      <c r="A498" s="15"/>
      <c r="B498" s="15"/>
      <c r="C498" s="15"/>
      <c r="D498" s="15"/>
      <c r="E498" s="15"/>
      <c r="F498" s="74"/>
      <c r="G498" s="74"/>
      <c r="H498" s="74"/>
      <c r="I498" s="74"/>
      <c r="J498" s="74"/>
      <c r="K498" s="15"/>
      <c r="L498" s="15"/>
      <c r="M498" s="15"/>
      <c r="N498" s="15"/>
      <c r="O498" s="15"/>
      <c r="P498" s="15"/>
      <c r="Q498" s="15"/>
      <c r="R498" s="15"/>
    </row>
    <row r="499">
      <c r="A499" s="15"/>
      <c r="B499" s="15"/>
      <c r="C499" s="15"/>
      <c r="D499" s="15"/>
      <c r="E499" s="15"/>
      <c r="F499" s="74"/>
      <c r="G499" s="74"/>
      <c r="H499" s="74"/>
      <c r="I499" s="74"/>
      <c r="J499" s="74"/>
      <c r="K499" s="15"/>
      <c r="L499" s="15"/>
      <c r="M499" s="15"/>
      <c r="N499" s="15"/>
      <c r="O499" s="15"/>
      <c r="P499" s="15"/>
      <c r="Q499" s="15"/>
      <c r="R499" s="15"/>
    </row>
    <row r="500">
      <c r="A500" s="15"/>
      <c r="B500" s="15"/>
      <c r="C500" s="15"/>
      <c r="D500" s="15"/>
      <c r="E500" s="15"/>
      <c r="F500" s="74"/>
      <c r="G500" s="74"/>
      <c r="H500" s="74"/>
      <c r="I500" s="74"/>
      <c r="J500" s="74"/>
      <c r="K500" s="15"/>
      <c r="L500" s="15"/>
      <c r="M500" s="15"/>
      <c r="N500" s="15"/>
      <c r="O500" s="15"/>
      <c r="P500" s="15"/>
      <c r="Q500" s="15"/>
      <c r="R500" s="15"/>
    </row>
    <row r="501">
      <c r="A501" s="15"/>
      <c r="B501" s="15"/>
      <c r="C501" s="15"/>
      <c r="D501" s="15"/>
      <c r="E501" s="15"/>
      <c r="F501" s="74"/>
      <c r="G501" s="74"/>
      <c r="H501" s="74"/>
      <c r="I501" s="74"/>
      <c r="J501" s="74"/>
      <c r="K501" s="15"/>
      <c r="L501" s="15"/>
      <c r="M501" s="15"/>
      <c r="N501" s="15"/>
      <c r="O501" s="15"/>
      <c r="P501" s="15"/>
      <c r="Q501" s="15"/>
      <c r="R501" s="15"/>
    </row>
    <row r="502">
      <c r="A502" s="15"/>
      <c r="B502" s="15"/>
      <c r="C502" s="15"/>
      <c r="D502" s="15"/>
      <c r="E502" s="15"/>
      <c r="F502" s="74"/>
      <c r="G502" s="74"/>
      <c r="H502" s="74"/>
      <c r="I502" s="74"/>
      <c r="J502" s="74"/>
      <c r="K502" s="15"/>
      <c r="L502" s="15"/>
      <c r="M502" s="15"/>
      <c r="N502" s="15"/>
      <c r="O502" s="15"/>
      <c r="P502" s="15"/>
      <c r="Q502" s="15"/>
      <c r="R502" s="15"/>
    </row>
    <row r="503">
      <c r="A503" s="15"/>
      <c r="B503" s="15"/>
      <c r="C503" s="15"/>
      <c r="D503" s="15"/>
      <c r="E503" s="15"/>
      <c r="F503" s="74"/>
      <c r="G503" s="74"/>
      <c r="H503" s="74"/>
      <c r="I503" s="74"/>
      <c r="J503" s="74"/>
      <c r="K503" s="15"/>
      <c r="L503" s="15"/>
      <c r="M503" s="15"/>
      <c r="N503" s="15"/>
      <c r="O503" s="15"/>
      <c r="P503" s="15"/>
      <c r="Q503" s="15"/>
      <c r="R503" s="15"/>
    </row>
    <row r="504">
      <c r="A504" s="15"/>
      <c r="B504" s="15"/>
      <c r="C504" s="15"/>
      <c r="D504" s="15"/>
      <c r="E504" s="15"/>
      <c r="F504" s="74"/>
      <c r="G504" s="74"/>
      <c r="H504" s="74"/>
      <c r="I504" s="74"/>
      <c r="J504" s="74"/>
      <c r="K504" s="15"/>
      <c r="L504" s="15"/>
      <c r="M504" s="15"/>
      <c r="N504" s="15"/>
      <c r="O504" s="15"/>
      <c r="P504" s="15"/>
      <c r="Q504" s="15"/>
      <c r="R504" s="15"/>
    </row>
    <row r="505">
      <c r="A505" s="15"/>
      <c r="B505" s="15"/>
      <c r="C505" s="15"/>
      <c r="D505" s="15"/>
      <c r="E505" s="15"/>
      <c r="F505" s="74"/>
      <c r="G505" s="74"/>
      <c r="H505" s="74"/>
      <c r="I505" s="74"/>
      <c r="J505" s="74"/>
      <c r="K505" s="15"/>
      <c r="L505" s="15"/>
      <c r="M505" s="15"/>
      <c r="N505" s="15"/>
      <c r="O505" s="15"/>
      <c r="P505" s="15"/>
      <c r="Q505" s="15"/>
      <c r="R505" s="15"/>
    </row>
    <row r="506">
      <c r="A506" s="15"/>
      <c r="B506" s="15"/>
      <c r="C506" s="15"/>
      <c r="D506" s="15"/>
      <c r="E506" s="15"/>
      <c r="F506" s="74"/>
      <c r="G506" s="74"/>
      <c r="H506" s="74"/>
      <c r="I506" s="74"/>
      <c r="J506" s="74"/>
      <c r="K506" s="15"/>
      <c r="L506" s="15"/>
      <c r="M506" s="15"/>
      <c r="N506" s="15"/>
      <c r="O506" s="15"/>
      <c r="P506" s="15"/>
      <c r="Q506" s="15"/>
      <c r="R506" s="15"/>
    </row>
    <row r="507">
      <c r="A507" s="15"/>
      <c r="B507" s="15"/>
      <c r="C507" s="15"/>
      <c r="D507" s="15"/>
      <c r="E507" s="15"/>
      <c r="F507" s="74"/>
      <c r="G507" s="74"/>
      <c r="H507" s="74"/>
      <c r="I507" s="74"/>
      <c r="J507" s="74"/>
      <c r="K507" s="15"/>
      <c r="L507" s="15"/>
      <c r="M507" s="15"/>
      <c r="N507" s="15"/>
      <c r="O507" s="15"/>
      <c r="P507" s="15"/>
      <c r="Q507" s="15"/>
      <c r="R507" s="15"/>
    </row>
    <row r="508">
      <c r="A508" s="15"/>
      <c r="B508" s="15"/>
      <c r="C508" s="15"/>
      <c r="D508" s="15"/>
      <c r="E508" s="15"/>
      <c r="F508" s="74"/>
      <c r="G508" s="74"/>
      <c r="H508" s="74"/>
      <c r="I508" s="74"/>
      <c r="J508" s="74"/>
      <c r="K508" s="15"/>
      <c r="L508" s="15"/>
      <c r="M508" s="15"/>
      <c r="N508" s="15"/>
      <c r="O508" s="15"/>
      <c r="P508" s="15"/>
      <c r="Q508" s="15"/>
      <c r="R508" s="15"/>
    </row>
    <row r="509">
      <c r="A509" s="15"/>
      <c r="B509" s="15"/>
      <c r="C509" s="15"/>
      <c r="D509" s="15"/>
      <c r="E509" s="15"/>
      <c r="F509" s="74"/>
      <c r="G509" s="74"/>
      <c r="H509" s="74"/>
      <c r="I509" s="74"/>
      <c r="J509" s="74"/>
      <c r="K509" s="15"/>
      <c r="L509" s="15"/>
      <c r="M509" s="15"/>
      <c r="N509" s="15"/>
      <c r="O509" s="15"/>
      <c r="P509" s="15"/>
      <c r="Q509" s="15"/>
      <c r="R509" s="15"/>
    </row>
    <row r="510">
      <c r="A510" s="15"/>
      <c r="B510" s="15"/>
      <c r="C510" s="15"/>
      <c r="D510" s="15"/>
      <c r="E510" s="15"/>
      <c r="F510" s="74"/>
      <c r="G510" s="74"/>
      <c r="H510" s="74"/>
      <c r="I510" s="74"/>
      <c r="J510" s="74"/>
      <c r="K510" s="15"/>
      <c r="L510" s="15"/>
      <c r="M510" s="15"/>
      <c r="N510" s="15"/>
      <c r="O510" s="15"/>
      <c r="P510" s="15"/>
      <c r="Q510" s="15"/>
      <c r="R510" s="15"/>
    </row>
    <row r="511">
      <c r="A511" s="15"/>
      <c r="B511" s="15"/>
      <c r="C511" s="15"/>
      <c r="D511" s="15"/>
      <c r="E511" s="15"/>
      <c r="F511" s="74"/>
      <c r="G511" s="74"/>
      <c r="H511" s="74"/>
      <c r="I511" s="74"/>
      <c r="J511" s="74"/>
      <c r="K511" s="15"/>
      <c r="L511" s="15"/>
      <c r="M511" s="15"/>
      <c r="N511" s="15"/>
      <c r="O511" s="15"/>
      <c r="P511" s="15"/>
      <c r="Q511" s="15"/>
      <c r="R511" s="15"/>
    </row>
    <row r="512">
      <c r="A512" s="15"/>
      <c r="B512" s="15"/>
      <c r="C512" s="15"/>
      <c r="D512" s="15"/>
      <c r="E512" s="15"/>
      <c r="F512" s="74"/>
      <c r="G512" s="74"/>
      <c r="H512" s="74"/>
      <c r="I512" s="74"/>
      <c r="J512" s="74"/>
      <c r="K512" s="15"/>
      <c r="L512" s="15"/>
      <c r="M512" s="15"/>
      <c r="N512" s="15"/>
      <c r="O512" s="15"/>
      <c r="P512" s="15"/>
      <c r="Q512" s="15"/>
      <c r="R512" s="15"/>
    </row>
    <row r="513">
      <c r="A513" s="15"/>
      <c r="B513" s="15"/>
      <c r="C513" s="15"/>
      <c r="D513" s="15"/>
      <c r="E513" s="15"/>
      <c r="F513" s="74"/>
      <c r="G513" s="74"/>
      <c r="H513" s="74"/>
      <c r="I513" s="74"/>
      <c r="J513" s="74"/>
      <c r="K513" s="15"/>
      <c r="L513" s="15"/>
      <c r="M513" s="15"/>
      <c r="N513" s="15"/>
      <c r="O513" s="15"/>
      <c r="P513" s="15"/>
      <c r="Q513" s="15"/>
      <c r="R513" s="15"/>
    </row>
    <row r="514">
      <c r="A514" s="15"/>
      <c r="B514" s="15"/>
      <c r="C514" s="15"/>
      <c r="D514" s="15"/>
      <c r="E514" s="15"/>
      <c r="F514" s="74"/>
      <c r="G514" s="74"/>
      <c r="H514" s="74"/>
      <c r="I514" s="74"/>
      <c r="J514" s="74"/>
      <c r="K514" s="15"/>
      <c r="L514" s="15"/>
      <c r="M514" s="15"/>
      <c r="N514" s="15"/>
      <c r="O514" s="15"/>
      <c r="P514" s="15"/>
      <c r="Q514" s="15"/>
      <c r="R514" s="15"/>
    </row>
    <row r="515">
      <c r="A515" s="15"/>
      <c r="B515" s="15"/>
      <c r="C515" s="15"/>
      <c r="D515" s="15"/>
      <c r="E515" s="15"/>
      <c r="F515" s="74"/>
      <c r="G515" s="74"/>
      <c r="H515" s="74"/>
      <c r="I515" s="74"/>
      <c r="J515" s="74"/>
      <c r="K515" s="15"/>
      <c r="L515" s="15"/>
      <c r="M515" s="15"/>
      <c r="N515" s="15"/>
      <c r="O515" s="15"/>
      <c r="P515" s="15"/>
      <c r="Q515" s="15"/>
      <c r="R515" s="15"/>
    </row>
    <row r="516">
      <c r="A516" s="15"/>
      <c r="B516" s="15"/>
      <c r="C516" s="15"/>
      <c r="D516" s="15"/>
      <c r="E516" s="15"/>
      <c r="F516" s="74"/>
      <c r="G516" s="74"/>
      <c r="H516" s="74"/>
      <c r="I516" s="74"/>
      <c r="J516" s="74"/>
      <c r="K516" s="15"/>
      <c r="L516" s="15"/>
      <c r="M516" s="15"/>
      <c r="N516" s="15"/>
      <c r="O516" s="15"/>
      <c r="P516" s="15"/>
      <c r="Q516" s="15"/>
      <c r="R516" s="15"/>
    </row>
    <row r="517">
      <c r="A517" s="15"/>
      <c r="B517" s="15"/>
      <c r="C517" s="15"/>
      <c r="D517" s="15"/>
      <c r="E517" s="15"/>
      <c r="F517" s="74"/>
      <c r="G517" s="74"/>
      <c r="H517" s="74"/>
      <c r="I517" s="74"/>
      <c r="J517" s="74"/>
      <c r="K517" s="15"/>
      <c r="L517" s="15"/>
      <c r="M517" s="15"/>
      <c r="N517" s="15"/>
      <c r="O517" s="15"/>
      <c r="P517" s="15"/>
      <c r="Q517" s="15"/>
      <c r="R517" s="15"/>
    </row>
    <row r="518">
      <c r="A518" s="15"/>
      <c r="B518" s="15"/>
      <c r="C518" s="15"/>
      <c r="D518" s="15"/>
      <c r="E518" s="15"/>
      <c r="F518" s="74"/>
      <c r="G518" s="74"/>
      <c r="H518" s="74"/>
      <c r="I518" s="74"/>
      <c r="J518" s="74"/>
      <c r="K518" s="15"/>
      <c r="L518" s="15"/>
      <c r="M518" s="15"/>
      <c r="N518" s="15"/>
      <c r="O518" s="15"/>
      <c r="P518" s="15"/>
      <c r="Q518" s="15"/>
      <c r="R518" s="15"/>
    </row>
    <row r="519">
      <c r="A519" s="15"/>
      <c r="B519" s="15"/>
      <c r="C519" s="15"/>
      <c r="D519" s="15"/>
      <c r="E519" s="15"/>
      <c r="F519" s="74"/>
      <c r="G519" s="74"/>
      <c r="H519" s="74"/>
      <c r="I519" s="74"/>
      <c r="J519" s="74"/>
      <c r="K519" s="15"/>
      <c r="L519" s="15"/>
      <c r="M519" s="15"/>
      <c r="N519" s="15"/>
      <c r="O519" s="15"/>
      <c r="P519" s="15"/>
      <c r="Q519" s="15"/>
      <c r="R519" s="15"/>
    </row>
    <row r="520">
      <c r="A520" s="15"/>
      <c r="B520" s="15"/>
      <c r="C520" s="15"/>
      <c r="D520" s="15"/>
      <c r="E520" s="15"/>
      <c r="F520" s="74"/>
      <c r="G520" s="74"/>
      <c r="H520" s="74"/>
      <c r="I520" s="74"/>
      <c r="J520" s="74"/>
      <c r="K520" s="15"/>
      <c r="L520" s="15"/>
      <c r="M520" s="15"/>
      <c r="N520" s="15"/>
      <c r="O520" s="15"/>
      <c r="P520" s="15"/>
      <c r="Q520" s="15"/>
      <c r="R520" s="15"/>
    </row>
    <row r="521">
      <c r="A521" s="15"/>
      <c r="B521" s="15"/>
      <c r="C521" s="15"/>
      <c r="D521" s="15"/>
      <c r="E521" s="15"/>
      <c r="F521" s="74"/>
      <c r="G521" s="74"/>
      <c r="H521" s="74"/>
      <c r="I521" s="74"/>
      <c r="J521" s="74"/>
      <c r="K521" s="15"/>
      <c r="L521" s="15"/>
      <c r="M521" s="15"/>
      <c r="N521" s="15"/>
      <c r="O521" s="15"/>
      <c r="P521" s="15"/>
      <c r="Q521" s="15"/>
      <c r="R521" s="15"/>
    </row>
    <row r="522">
      <c r="A522" s="15"/>
      <c r="B522" s="15"/>
      <c r="C522" s="15"/>
      <c r="D522" s="15"/>
      <c r="E522" s="15"/>
      <c r="F522" s="74"/>
      <c r="G522" s="74"/>
      <c r="H522" s="74"/>
      <c r="I522" s="74"/>
      <c r="J522" s="74"/>
      <c r="K522" s="15"/>
      <c r="L522" s="15"/>
      <c r="M522" s="15"/>
      <c r="N522" s="15"/>
      <c r="O522" s="15"/>
      <c r="P522" s="15"/>
      <c r="Q522" s="15"/>
      <c r="R522" s="15"/>
    </row>
    <row r="523">
      <c r="A523" s="15"/>
      <c r="B523" s="15"/>
      <c r="C523" s="15"/>
      <c r="D523" s="15"/>
      <c r="E523" s="15"/>
      <c r="F523" s="74"/>
      <c r="G523" s="74"/>
      <c r="H523" s="74"/>
      <c r="I523" s="74"/>
      <c r="J523" s="74"/>
      <c r="K523" s="15"/>
      <c r="L523" s="15"/>
      <c r="M523" s="15"/>
      <c r="N523" s="15"/>
      <c r="O523" s="15"/>
      <c r="P523" s="15"/>
      <c r="Q523" s="15"/>
      <c r="R523" s="15"/>
    </row>
    <row r="524">
      <c r="A524" s="15"/>
      <c r="B524" s="15"/>
      <c r="C524" s="15"/>
      <c r="D524" s="15"/>
      <c r="E524" s="15"/>
      <c r="F524" s="74"/>
      <c r="G524" s="74"/>
      <c r="H524" s="74"/>
      <c r="I524" s="74"/>
      <c r="J524" s="74"/>
      <c r="K524" s="15"/>
      <c r="L524" s="15"/>
      <c r="M524" s="15"/>
      <c r="N524" s="15"/>
      <c r="O524" s="15"/>
      <c r="P524" s="15"/>
      <c r="Q524" s="15"/>
      <c r="R524" s="15"/>
    </row>
    <row r="525">
      <c r="A525" s="15"/>
      <c r="B525" s="15"/>
      <c r="C525" s="15"/>
      <c r="D525" s="15"/>
      <c r="E525" s="15"/>
      <c r="F525" s="74"/>
      <c r="G525" s="74"/>
      <c r="H525" s="74"/>
      <c r="I525" s="74"/>
      <c r="J525" s="74"/>
      <c r="K525" s="15"/>
      <c r="L525" s="15"/>
      <c r="M525" s="15"/>
      <c r="N525" s="15"/>
      <c r="O525" s="15"/>
      <c r="P525" s="15"/>
      <c r="Q525" s="15"/>
      <c r="R525" s="15"/>
    </row>
    <row r="526">
      <c r="A526" s="15"/>
      <c r="B526" s="15"/>
      <c r="C526" s="15"/>
      <c r="D526" s="15"/>
      <c r="E526" s="15"/>
      <c r="F526" s="74"/>
      <c r="G526" s="74"/>
      <c r="H526" s="74"/>
      <c r="I526" s="74"/>
      <c r="J526" s="74"/>
      <c r="K526" s="15"/>
      <c r="L526" s="15"/>
      <c r="M526" s="15"/>
      <c r="N526" s="15"/>
      <c r="O526" s="15"/>
      <c r="P526" s="15"/>
      <c r="Q526" s="15"/>
      <c r="R526" s="15"/>
    </row>
    <row r="527">
      <c r="A527" s="15"/>
      <c r="B527" s="15"/>
      <c r="C527" s="15"/>
      <c r="D527" s="15"/>
      <c r="E527" s="15"/>
      <c r="F527" s="74"/>
      <c r="G527" s="74"/>
      <c r="H527" s="74"/>
      <c r="I527" s="74"/>
      <c r="J527" s="74"/>
      <c r="K527" s="15"/>
      <c r="L527" s="15"/>
      <c r="M527" s="15"/>
      <c r="N527" s="15"/>
      <c r="O527" s="15"/>
      <c r="P527" s="15"/>
      <c r="Q527" s="15"/>
      <c r="R527" s="15"/>
    </row>
    <row r="528">
      <c r="A528" s="15"/>
      <c r="B528" s="15"/>
      <c r="C528" s="15"/>
      <c r="D528" s="15"/>
      <c r="E528" s="15"/>
      <c r="F528" s="74"/>
      <c r="G528" s="74"/>
      <c r="H528" s="74"/>
      <c r="I528" s="74"/>
      <c r="J528" s="74"/>
      <c r="K528" s="15"/>
      <c r="L528" s="15"/>
      <c r="M528" s="15"/>
      <c r="N528" s="15"/>
      <c r="O528" s="15"/>
      <c r="P528" s="15"/>
      <c r="Q528" s="15"/>
      <c r="R528" s="15"/>
    </row>
    <row r="529">
      <c r="A529" s="15"/>
      <c r="B529" s="15"/>
      <c r="C529" s="15"/>
      <c r="D529" s="15"/>
      <c r="E529" s="15"/>
      <c r="F529" s="74"/>
      <c r="G529" s="74"/>
      <c r="H529" s="74"/>
      <c r="I529" s="74"/>
      <c r="J529" s="74"/>
      <c r="K529" s="15"/>
      <c r="L529" s="15"/>
      <c r="M529" s="15"/>
      <c r="N529" s="15"/>
      <c r="O529" s="15"/>
      <c r="P529" s="15"/>
      <c r="Q529" s="15"/>
      <c r="R529" s="15"/>
    </row>
    <row r="530">
      <c r="A530" s="15"/>
      <c r="B530" s="15"/>
      <c r="C530" s="15"/>
      <c r="D530" s="15"/>
      <c r="E530" s="15"/>
      <c r="F530" s="74"/>
      <c r="G530" s="74"/>
      <c r="H530" s="74"/>
      <c r="I530" s="74"/>
      <c r="J530" s="74"/>
      <c r="K530" s="15"/>
      <c r="L530" s="15"/>
      <c r="M530" s="15"/>
      <c r="N530" s="15"/>
      <c r="O530" s="15"/>
      <c r="P530" s="15"/>
      <c r="Q530" s="15"/>
      <c r="R530" s="15"/>
    </row>
    <row r="531">
      <c r="A531" s="15"/>
      <c r="B531" s="15"/>
      <c r="C531" s="15"/>
      <c r="D531" s="15"/>
      <c r="E531" s="15"/>
      <c r="F531" s="74"/>
      <c r="G531" s="74"/>
      <c r="H531" s="74"/>
      <c r="I531" s="74"/>
      <c r="J531" s="74"/>
      <c r="K531" s="15"/>
      <c r="L531" s="15"/>
      <c r="M531" s="15"/>
      <c r="N531" s="15"/>
      <c r="O531" s="15"/>
      <c r="P531" s="15"/>
      <c r="Q531" s="15"/>
      <c r="R531" s="15"/>
    </row>
    <row r="532">
      <c r="A532" s="15"/>
      <c r="B532" s="15"/>
      <c r="C532" s="15"/>
      <c r="D532" s="15"/>
      <c r="E532" s="15"/>
      <c r="F532" s="74"/>
      <c r="G532" s="74"/>
      <c r="H532" s="74"/>
      <c r="I532" s="74"/>
      <c r="J532" s="74"/>
      <c r="K532" s="15"/>
      <c r="L532" s="15"/>
      <c r="M532" s="15"/>
      <c r="N532" s="15"/>
      <c r="O532" s="15"/>
      <c r="P532" s="15"/>
      <c r="Q532" s="15"/>
      <c r="R532" s="15"/>
    </row>
    <row r="533">
      <c r="A533" s="15"/>
      <c r="B533" s="15"/>
      <c r="C533" s="15"/>
      <c r="D533" s="15"/>
      <c r="E533" s="15"/>
      <c r="F533" s="74"/>
      <c r="G533" s="74"/>
      <c r="H533" s="74"/>
      <c r="I533" s="74"/>
      <c r="J533" s="74"/>
      <c r="K533" s="15"/>
      <c r="L533" s="15"/>
      <c r="M533" s="15"/>
      <c r="N533" s="15"/>
      <c r="O533" s="15"/>
      <c r="P533" s="15"/>
      <c r="Q533" s="15"/>
      <c r="R533" s="15"/>
    </row>
    <row r="534">
      <c r="A534" s="15"/>
      <c r="B534" s="15"/>
      <c r="C534" s="15"/>
      <c r="D534" s="15"/>
      <c r="E534" s="15"/>
      <c r="F534" s="74"/>
      <c r="G534" s="74"/>
      <c r="H534" s="74"/>
      <c r="I534" s="74"/>
      <c r="J534" s="74"/>
      <c r="K534" s="15"/>
      <c r="L534" s="15"/>
      <c r="M534" s="15"/>
      <c r="N534" s="15"/>
      <c r="O534" s="15"/>
      <c r="P534" s="15"/>
      <c r="Q534" s="15"/>
      <c r="R534" s="15"/>
    </row>
    <row r="535">
      <c r="A535" s="15"/>
      <c r="B535" s="15"/>
      <c r="C535" s="15"/>
      <c r="D535" s="15"/>
      <c r="E535" s="15"/>
      <c r="F535" s="74"/>
      <c r="G535" s="74"/>
      <c r="H535" s="74"/>
      <c r="I535" s="74"/>
      <c r="J535" s="74"/>
      <c r="K535" s="15"/>
      <c r="L535" s="15"/>
      <c r="M535" s="15"/>
      <c r="N535" s="15"/>
      <c r="O535" s="15"/>
      <c r="P535" s="15"/>
      <c r="Q535" s="15"/>
      <c r="R535" s="15"/>
    </row>
    <row r="536">
      <c r="A536" s="15"/>
      <c r="B536" s="15"/>
      <c r="C536" s="15"/>
      <c r="D536" s="15"/>
      <c r="E536" s="15"/>
      <c r="F536" s="74"/>
      <c r="G536" s="74"/>
      <c r="H536" s="74"/>
      <c r="I536" s="74"/>
      <c r="J536" s="74"/>
      <c r="K536" s="15"/>
      <c r="L536" s="15"/>
      <c r="M536" s="15"/>
      <c r="N536" s="15"/>
      <c r="O536" s="15"/>
      <c r="P536" s="15"/>
      <c r="Q536" s="15"/>
      <c r="R536" s="15"/>
    </row>
    <row r="537">
      <c r="A537" s="15"/>
      <c r="B537" s="15"/>
      <c r="C537" s="15"/>
      <c r="D537" s="15"/>
      <c r="E537" s="15"/>
      <c r="F537" s="74"/>
      <c r="G537" s="74"/>
      <c r="H537" s="74"/>
      <c r="I537" s="74"/>
      <c r="J537" s="74"/>
      <c r="K537" s="15"/>
      <c r="L537" s="15"/>
      <c r="M537" s="15"/>
      <c r="N537" s="15"/>
      <c r="O537" s="15"/>
      <c r="P537" s="15"/>
      <c r="Q537" s="15"/>
      <c r="R537" s="15"/>
    </row>
    <row r="538">
      <c r="A538" s="15"/>
      <c r="B538" s="15"/>
      <c r="C538" s="15"/>
      <c r="D538" s="15"/>
      <c r="E538" s="15"/>
      <c r="F538" s="74"/>
      <c r="G538" s="74"/>
      <c r="H538" s="74"/>
      <c r="I538" s="74"/>
      <c r="J538" s="74"/>
      <c r="K538" s="15"/>
      <c r="L538" s="15"/>
      <c r="M538" s="15"/>
      <c r="N538" s="15"/>
      <c r="O538" s="15"/>
      <c r="P538" s="15"/>
      <c r="Q538" s="15"/>
      <c r="R538" s="15"/>
    </row>
    <row r="539">
      <c r="A539" s="15"/>
      <c r="B539" s="15"/>
      <c r="C539" s="15"/>
      <c r="D539" s="15"/>
      <c r="E539" s="15"/>
      <c r="F539" s="74"/>
      <c r="G539" s="74"/>
      <c r="H539" s="74"/>
      <c r="I539" s="74"/>
      <c r="J539" s="74"/>
      <c r="K539" s="15"/>
      <c r="L539" s="15"/>
      <c r="M539" s="15"/>
      <c r="N539" s="15"/>
      <c r="O539" s="15"/>
      <c r="P539" s="15"/>
      <c r="Q539" s="15"/>
      <c r="R539" s="15"/>
    </row>
    <row r="540">
      <c r="A540" s="15"/>
      <c r="B540" s="15"/>
      <c r="C540" s="15"/>
      <c r="D540" s="15"/>
      <c r="E540" s="15"/>
      <c r="F540" s="74"/>
      <c r="G540" s="74"/>
      <c r="H540" s="74"/>
      <c r="I540" s="74"/>
      <c r="J540" s="74"/>
      <c r="K540" s="15"/>
      <c r="L540" s="15"/>
      <c r="M540" s="15"/>
      <c r="N540" s="15"/>
      <c r="O540" s="15"/>
      <c r="P540" s="15"/>
      <c r="Q540" s="15"/>
      <c r="R540" s="15"/>
    </row>
    <row r="541">
      <c r="A541" s="15"/>
      <c r="B541" s="15"/>
      <c r="C541" s="15"/>
      <c r="D541" s="15"/>
      <c r="E541" s="15"/>
      <c r="F541" s="74"/>
      <c r="G541" s="74"/>
      <c r="H541" s="74"/>
      <c r="I541" s="74"/>
      <c r="J541" s="74"/>
      <c r="K541" s="15"/>
      <c r="L541" s="15"/>
      <c r="M541" s="15"/>
      <c r="N541" s="15"/>
      <c r="O541" s="15"/>
      <c r="P541" s="15"/>
      <c r="Q541" s="15"/>
      <c r="R541" s="15"/>
    </row>
    <row r="542">
      <c r="A542" s="15"/>
      <c r="B542" s="15"/>
      <c r="C542" s="15"/>
      <c r="D542" s="15"/>
      <c r="E542" s="15"/>
      <c r="F542" s="74"/>
      <c r="G542" s="74"/>
      <c r="H542" s="74"/>
      <c r="I542" s="74"/>
      <c r="J542" s="74"/>
      <c r="K542" s="15"/>
      <c r="L542" s="15"/>
      <c r="M542" s="15"/>
      <c r="N542" s="15"/>
      <c r="O542" s="15"/>
      <c r="P542" s="15"/>
      <c r="Q542" s="15"/>
      <c r="R542" s="15"/>
    </row>
    <row r="543">
      <c r="A543" s="15"/>
      <c r="B543" s="15"/>
      <c r="C543" s="15"/>
      <c r="D543" s="15"/>
      <c r="E543" s="15"/>
      <c r="F543" s="74"/>
      <c r="G543" s="74"/>
      <c r="H543" s="74"/>
      <c r="I543" s="74"/>
      <c r="J543" s="74"/>
      <c r="K543" s="15"/>
      <c r="L543" s="15"/>
      <c r="M543" s="15"/>
      <c r="N543" s="15"/>
      <c r="O543" s="15"/>
      <c r="P543" s="15"/>
      <c r="Q543" s="15"/>
      <c r="R543" s="15"/>
    </row>
    <row r="544">
      <c r="A544" s="15"/>
      <c r="B544" s="15"/>
      <c r="C544" s="15"/>
      <c r="D544" s="15"/>
      <c r="E544" s="15"/>
      <c r="F544" s="74"/>
      <c r="G544" s="74"/>
      <c r="H544" s="74"/>
      <c r="I544" s="74"/>
      <c r="J544" s="74"/>
      <c r="K544" s="15"/>
      <c r="L544" s="15"/>
      <c r="M544" s="15"/>
      <c r="N544" s="15"/>
      <c r="O544" s="15"/>
      <c r="P544" s="15"/>
      <c r="Q544" s="15"/>
      <c r="R544" s="15"/>
    </row>
    <row r="545">
      <c r="A545" s="15"/>
      <c r="B545" s="15"/>
      <c r="C545" s="15"/>
      <c r="D545" s="15"/>
      <c r="E545" s="15"/>
      <c r="F545" s="74"/>
      <c r="G545" s="74"/>
      <c r="H545" s="74"/>
      <c r="I545" s="74"/>
      <c r="J545" s="74"/>
      <c r="K545" s="15"/>
      <c r="L545" s="15"/>
      <c r="M545" s="15"/>
      <c r="N545" s="15"/>
      <c r="O545" s="15"/>
      <c r="P545" s="15"/>
      <c r="Q545" s="15"/>
      <c r="R545" s="15"/>
    </row>
    <row r="546">
      <c r="A546" s="15"/>
      <c r="B546" s="15"/>
      <c r="C546" s="15"/>
      <c r="D546" s="15"/>
      <c r="E546" s="15"/>
      <c r="F546" s="74"/>
      <c r="G546" s="74"/>
      <c r="H546" s="74"/>
      <c r="I546" s="74"/>
      <c r="J546" s="74"/>
      <c r="K546" s="15"/>
      <c r="L546" s="15"/>
      <c r="M546" s="15"/>
      <c r="N546" s="15"/>
      <c r="O546" s="15"/>
      <c r="P546" s="15"/>
      <c r="Q546" s="15"/>
      <c r="R546" s="15"/>
    </row>
    <row r="547">
      <c r="A547" s="15"/>
      <c r="B547" s="15"/>
      <c r="C547" s="15"/>
      <c r="D547" s="15"/>
      <c r="E547" s="15"/>
      <c r="F547" s="74"/>
      <c r="G547" s="74"/>
      <c r="H547" s="74"/>
      <c r="I547" s="74"/>
      <c r="J547" s="74"/>
      <c r="K547" s="15"/>
      <c r="L547" s="15"/>
      <c r="M547" s="15"/>
      <c r="N547" s="15"/>
      <c r="O547" s="15"/>
      <c r="P547" s="15"/>
      <c r="Q547" s="15"/>
      <c r="R547" s="15"/>
    </row>
    <row r="548">
      <c r="A548" s="15"/>
      <c r="B548" s="15"/>
      <c r="C548" s="15"/>
      <c r="D548" s="15"/>
      <c r="E548" s="15"/>
      <c r="F548" s="74"/>
      <c r="G548" s="74"/>
      <c r="H548" s="74"/>
      <c r="I548" s="74"/>
      <c r="J548" s="74"/>
      <c r="K548" s="15"/>
      <c r="L548" s="15"/>
      <c r="M548" s="15"/>
      <c r="N548" s="15"/>
      <c r="O548" s="15"/>
      <c r="P548" s="15"/>
      <c r="Q548" s="15"/>
      <c r="R548" s="15"/>
    </row>
    <row r="549">
      <c r="A549" s="15"/>
      <c r="B549" s="15"/>
      <c r="C549" s="15"/>
      <c r="D549" s="15"/>
      <c r="E549" s="15"/>
      <c r="F549" s="74"/>
      <c r="G549" s="74"/>
      <c r="H549" s="74"/>
      <c r="I549" s="74"/>
      <c r="J549" s="74"/>
      <c r="K549" s="15"/>
      <c r="L549" s="15"/>
      <c r="M549" s="15"/>
      <c r="N549" s="15"/>
      <c r="O549" s="15"/>
      <c r="P549" s="15"/>
      <c r="Q549" s="15"/>
      <c r="R549" s="15"/>
    </row>
    <row r="550">
      <c r="A550" s="15"/>
      <c r="B550" s="15"/>
      <c r="C550" s="15"/>
      <c r="D550" s="15"/>
      <c r="E550" s="15"/>
      <c r="F550" s="74"/>
      <c r="G550" s="74"/>
      <c r="H550" s="74"/>
      <c r="I550" s="74"/>
      <c r="J550" s="74"/>
      <c r="K550" s="15"/>
      <c r="L550" s="15"/>
      <c r="M550" s="15"/>
      <c r="N550" s="15"/>
      <c r="O550" s="15"/>
      <c r="P550" s="15"/>
      <c r="Q550" s="15"/>
      <c r="R550" s="15"/>
    </row>
    <row r="551">
      <c r="A551" s="15"/>
      <c r="B551" s="15"/>
      <c r="C551" s="15"/>
      <c r="D551" s="15"/>
      <c r="E551" s="15"/>
      <c r="F551" s="74"/>
      <c r="G551" s="74"/>
      <c r="H551" s="74"/>
      <c r="I551" s="74"/>
      <c r="J551" s="74"/>
      <c r="K551" s="15"/>
      <c r="L551" s="15"/>
      <c r="M551" s="15"/>
      <c r="N551" s="15"/>
      <c r="O551" s="15"/>
      <c r="P551" s="15"/>
      <c r="Q551" s="15"/>
      <c r="R551" s="15"/>
    </row>
    <row r="552">
      <c r="A552" s="15"/>
      <c r="B552" s="15"/>
      <c r="C552" s="15"/>
      <c r="D552" s="15"/>
      <c r="E552" s="15"/>
      <c r="F552" s="74"/>
      <c r="G552" s="74"/>
      <c r="H552" s="74"/>
      <c r="I552" s="74"/>
      <c r="J552" s="74"/>
      <c r="K552" s="15"/>
      <c r="L552" s="15"/>
      <c r="M552" s="15"/>
      <c r="N552" s="15"/>
      <c r="O552" s="15"/>
      <c r="P552" s="15"/>
      <c r="Q552" s="15"/>
      <c r="R552" s="15"/>
    </row>
    <row r="553">
      <c r="A553" s="15"/>
      <c r="B553" s="15"/>
      <c r="C553" s="15"/>
      <c r="D553" s="15"/>
      <c r="E553" s="15"/>
      <c r="F553" s="74"/>
      <c r="G553" s="74"/>
      <c r="H553" s="74"/>
      <c r="I553" s="74"/>
      <c r="J553" s="74"/>
      <c r="K553" s="15"/>
      <c r="L553" s="15"/>
      <c r="M553" s="15"/>
      <c r="N553" s="15"/>
      <c r="O553" s="15"/>
      <c r="P553" s="15"/>
      <c r="Q553" s="15"/>
      <c r="R553" s="15"/>
    </row>
    <row r="554">
      <c r="A554" s="15"/>
      <c r="B554" s="15"/>
      <c r="C554" s="15"/>
      <c r="D554" s="15"/>
      <c r="E554" s="15"/>
      <c r="F554" s="74"/>
      <c r="G554" s="74"/>
      <c r="H554" s="74"/>
      <c r="I554" s="74"/>
      <c r="J554" s="74"/>
      <c r="K554" s="15"/>
      <c r="L554" s="15"/>
      <c r="M554" s="15"/>
      <c r="N554" s="15"/>
      <c r="O554" s="15"/>
      <c r="P554" s="15"/>
      <c r="Q554" s="15"/>
      <c r="R554" s="15"/>
    </row>
    <row r="555">
      <c r="A555" s="15"/>
      <c r="B555" s="15"/>
      <c r="C555" s="15"/>
      <c r="D555" s="15"/>
      <c r="E555" s="15"/>
      <c r="F555" s="74"/>
      <c r="G555" s="74"/>
      <c r="H555" s="74"/>
      <c r="I555" s="74"/>
      <c r="J555" s="74"/>
      <c r="K555" s="15"/>
      <c r="L555" s="15"/>
      <c r="M555" s="15"/>
      <c r="N555" s="15"/>
      <c r="O555" s="15"/>
      <c r="P555" s="15"/>
      <c r="Q555" s="15"/>
      <c r="R555" s="15"/>
    </row>
    <row r="556">
      <c r="A556" s="15"/>
      <c r="B556" s="15"/>
      <c r="C556" s="15"/>
      <c r="D556" s="15"/>
      <c r="E556" s="15"/>
      <c r="F556" s="74"/>
      <c r="G556" s="74"/>
      <c r="H556" s="74"/>
      <c r="I556" s="74"/>
      <c r="J556" s="74"/>
      <c r="K556" s="15"/>
      <c r="L556" s="15"/>
      <c r="M556" s="15"/>
      <c r="N556" s="15"/>
      <c r="O556" s="15"/>
      <c r="P556" s="15"/>
      <c r="Q556" s="15"/>
      <c r="R556" s="15"/>
    </row>
    <row r="557">
      <c r="A557" s="15"/>
      <c r="B557" s="15"/>
      <c r="C557" s="15"/>
      <c r="D557" s="15"/>
      <c r="E557" s="15"/>
      <c r="F557" s="74"/>
      <c r="G557" s="74"/>
      <c r="H557" s="74"/>
      <c r="I557" s="74"/>
      <c r="J557" s="74"/>
      <c r="K557" s="15"/>
      <c r="L557" s="15"/>
      <c r="M557" s="15"/>
      <c r="N557" s="15"/>
      <c r="O557" s="15"/>
      <c r="P557" s="15"/>
      <c r="Q557" s="15"/>
      <c r="R557" s="15"/>
    </row>
    <row r="558">
      <c r="A558" s="15"/>
      <c r="B558" s="15"/>
      <c r="C558" s="15"/>
      <c r="D558" s="15"/>
      <c r="E558" s="15"/>
      <c r="F558" s="74"/>
      <c r="G558" s="74"/>
      <c r="H558" s="74"/>
      <c r="I558" s="74"/>
      <c r="J558" s="74"/>
      <c r="K558" s="15"/>
      <c r="L558" s="15"/>
      <c r="M558" s="15"/>
      <c r="N558" s="15"/>
      <c r="O558" s="15"/>
      <c r="P558" s="15"/>
      <c r="Q558" s="15"/>
      <c r="R558" s="15"/>
    </row>
    <row r="559">
      <c r="A559" s="15"/>
      <c r="B559" s="15"/>
      <c r="C559" s="15"/>
      <c r="D559" s="15"/>
      <c r="E559" s="15"/>
      <c r="F559" s="74"/>
      <c r="G559" s="74"/>
      <c r="H559" s="74"/>
      <c r="I559" s="74"/>
      <c r="J559" s="74"/>
      <c r="K559" s="15"/>
      <c r="L559" s="15"/>
      <c r="M559" s="15"/>
      <c r="N559" s="15"/>
      <c r="O559" s="15"/>
      <c r="P559" s="15"/>
      <c r="Q559" s="15"/>
      <c r="R559" s="15"/>
    </row>
    <row r="560">
      <c r="A560" s="15"/>
      <c r="B560" s="15"/>
      <c r="C560" s="15"/>
      <c r="D560" s="15"/>
      <c r="E560" s="15"/>
      <c r="F560" s="74"/>
      <c r="G560" s="74"/>
      <c r="H560" s="74"/>
      <c r="I560" s="74"/>
      <c r="J560" s="74"/>
      <c r="K560" s="15"/>
      <c r="L560" s="15"/>
      <c r="M560" s="15"/>
      <c r="N560" s="15"/>
      <c r="O560" s="15"/>
      <c r="P560" s="15"/>
      <c r="Q560" s="15"/>
      <c r="R560" s="15"/>
    </row>
    <row r="561">
      <c r="A561" s="15"/>
      <c r="B561" s="15"/>
      <c r="C561" s="15"/>
      <c r="D561" s="15"/>
      <c r="E561" s="15"/>
      <c r="F561" s="74"/>
      <c r="G561" s="74"/>
      <c r="H561" s="74"/>
      <c r="I561" s="74"/>
      <c r="J561" s="74"/>
      <c r="K561" s="15"/>
      <c r="L561" s="15"/>
      <c r="M561" s="15"/>
      <c r="N561" s="15"/>
      <c r="O561" s="15"/>
      <c r="P561" s="15"/>
      <c r="Q561" s="15"/>
      <c r="R561" s="15"/>
    </row>
    <row r="562">
      <c r="A562" s="15"/>
      <c r="B562" s="15"/>
      <c r="C562" s="15"/>
      <c r="D562" s="15"/>
      <c r="E562" s="15"/>
      <c r="F562" s="74"/>
      <c r="G562" s="74"/>
      <c r="H562" s="74"/>
      <c r="I562" s="74"/>
      <c r="J562" s="74"/>
      <c r="K562" s="15"/>
      <c r="L562" s="15"/>
      <c r="M562" s="15"/>
      <c r="N562" s="15"/>
      <c r="O562" s="15"/>
      <c r="P562" s="15"/>
      <c r="Q562" s="15"/>
      <c r="R562" s="15"/>
    </row>
    <row r="563">
      <c r="A563" s="15"/>
      <c r="B563" s="15"/>
      <c r="C563" s="15"/>
      <c r="D563" s="15"/>
      <c r="E563" s="15"/>
      <c r="F563" s="74"/>
      <c r="G563" s="74"/>
      <c r="H563" s="74"/>
      <c r="I563" s="74"/>
      <c r="J563" s="74"/>
      <c r="K563" s="15"/>
      <c r="L563" s="15"/>
      <c r="M563" s="15"/>
      <c r="N563" s="15"/>
      <c r="O563" s="15"/>
      <c r="P563" s="15"/>
      <c r="Q563" s="15"/>
      <c r="R563" s="15"/>
    </row>
    <row r="564">
      <c r="A564" s="15"/>
      <c r="B564" s="15"/>
      <c r="C564" s="15"/>
      <c r="D564" s="15"/>
      <c r="E564" s="15"/>
      <c r="F564" s="74"/>
      <c r="G564" s="74"/>
      <c r="H564" s="74"/>
      <c r="I564" s="74"/>
      <c r="J564" s="74"/>
      <c r="K564" s="15"/>
      <c r="L564" s="15"/>
      <c r="M564" s="15"/>
      <c r="N564" s="15"/>
      <c r="O564" s="15"/>
      <c r="P564" s="15"/>
      <c r="Q564" s="15"/>
      <c r="R564" s="15"/>
    </row>
    <row r="565">
      <c r="A565" s="15"/>
      <c r="B565" s="15"/>
      <c r="C565" s="15"/>
      <c r="D565" s="15"/>
      <c r="E565" s="15"/>
      <c r="F565" s="74"/>
      <c r="G565" s="74"/>
      <c r="H565" s="74"/>
      <c r="I565" s="74"/>
      <c r="J565" s="74"/>
      <c r="K565" s="15"/>
      <c r="L565" s="15"/>
      <c r="M565" s="15"/>
      <c r="N565" s="15"/>
      <c r="O565" s="15"/>
      <c r="P565" s="15"/>
      <c r="Q565" s="15"/>
      <c r="R565" s="15"/>
    </row>
    <row r="566">
      <c r="A566" s="15"/>
      <c r="B566" s="15"/>
      <c r="C566" s="15"/>
      <c r="D566" s="15"/>
      <c r="E566" s="15"/>
      <c r="F566" s="74"/>
      <c r="G566" s="74"/>
      <c r="H566" s="74"/>
      <c r="I566" s="74"/>
      <c r="J566" s="74"/>
      <c r="K566" s="15"/>
      <c r="L566" s="15"/>
      <c r="M566" s="15"/>
      <c r="N566" s="15"/>
      <c r="O566" s="15"/>
      <c r="P566" s="15"/>
      <c r="Q566" s="15"/>
      <c r="R566" s="15"/>
    </row>
    <row r="567">
      <c r="A567" s="15"/>
      <c r="B567" s="15"/>
      <c r="C567" s="15"/>
      <c r="D567" s="15"/>
      <c r="E567" s="15"/>
      <c r="F567" s="74"/>
      <c r="G567" s="74"/>
      <c r="H567" s="74"/>
      <c r="I567" s="74"/>
      <c r="J567" s="74"/>
      <c r="K567" s="15"/>
      <c r="L567" s="15"/>
      <c r="M567" s="15"/>
      <c r="N567" s="15"/>
      <c r="O567" s="15"/>
      <c r="P567" s="15"/>
      <c r="Q567" s="15"/>
      <c r="R567" s="15"/>
    </row>
    <row r="568">
      <c r="A568" s="15"/>
      <c r="B568" s="15"/>
      <c r="C568" s="15"/>
      <c r="D568" s="15"/>
      <c r="E568" s="15"/>
      <c r="F568" s="74"/>
      <c r="G568" s="74"/>
      <c r="H568" s="74"/>
      <c r="I568" s="74"/>
      <c r="J568" s="74"/>
      <c r="K568" s="15"/>
      <c r="L568" s="15"/>
      <c r="M568" s="15"/>
      <c r="N568" s="15"/>
      <c r="O568" s="15"/>
      <c r="P568" s="15"/>
      <c r="Q568" s="15"/>
      <c r="R568" s="15"/>
    </row>
    <row r="569">
      <c r="A569" s="15"/>
      <c r="B569" s="15"/>
      <c r="C569" s="15"/>
      <c r="D569" s="15"/>
      <c r="E569" s="15"/>
      <c r="F569" s="74"/>
      <c r="G569" s="74"/>
      <c r="H569" s="74"/>
      <c r="I569" s="74"/>
      <c r="J569" s="74"/>
      <c r="K569" s="15"/>
      <c r="L569" s="15"/>
      <c r="M569" s="15"/>
      <c r="N569" s="15"/>
      <c r="O569" s="15"/>
      <c r="P569" s="15"/>
      <c r="Q569" s="15"/>
      <c r="R569" s="15"/>
    </row>
    <row r="570">
      <c r="A570" s="15"/>
      <c r="B570" s="15"/>
      <c r="C570" s="15"/>
      <c r="D570" s="15"/>
      <c r="E570" s="15"/>
      <c r="F570" s="74"/>
      <c r="G570" s="74"/>
      <c r="H570" s="74"/>
      <c r="I570" s="74"/>
      <c r="J570" s="74"/>
      <c r="K570" s="15"/>
      <c r="L570" s="15"/>
      <c r="M570" s="15"/>
      <c r="N570" s="15"/>
      <c r="O570" s="15"/>
      <c r="P570" s="15"/>
      <c r="Q570" s="15"/>
      <c r="R570" s="15"/>
    </row>
    <row r="571">
      <c r="A571" s="15"/>
      <c r="B571" s="15"/>
      <c r="C571" s="15"/>
      <c r="D571" s="15"/>
      <c r="E571" s="15"/>
      <c r="F571" s="74"/>
      <c r="G571" s="74"/>
      <c r="H571" s="74"/>
      <c r="I571" s="74"/>
      <c r="J571" s="74"/>
      <c r="K571" s="15"/>
      <c r="L571" s="15"/>
      <c r="M571" s="15"/>
      <c r="N571" s="15"/>
      <c r="O571" s="15"/>
      <c r="P571" s="15"/>
      <c r="Q571" s="15"/>
      <c r="R571" s="15"/>
    </row>
    <row r="572">
      <c r="A572" s="15"/>
      <c r="B572" s="15"/>
      <c r="C572" s="15"/>
      <c r="D572" s="15"/>
      <c r="E572" s="15"/>
      <c r="F572" s="74"/>
      <c r="G572" s="74"/>
      <c r="H572" s="74"/>
      <c r="I572" s="74"/>
      <c r="J572" s="74"/>
      <c r="K572" s="15"/>
      <c r="L572" s="15"/>
      <c r="M572" s="15"/>
      <c r="N572" s="15"/>
      <c r="O572" s="15"/>
      <c r="P572" s="15"/>
      <c r="Q572" s="15"/>
      <c r="R572" s="15"/>
    </row>
    <row r="573">
      <c r="A573" s="15"/>
      <c r="B573" s="15"/>
      <c r="C573" s="15"/>
      <c r="D573" s="15"/>
      <c r="E573" s="15"/>
      <c r="F573" s="74"/>
      <c r="G573" s="74"/>
      <c r="H573" s="74"/>
      <c r="I573" s="74"/>
      <c r="J573" s="74"/>
      <c r="K573" s="15"/>
      <c r="L573" s="15"/>
      <c r="M573" s="15"/>
      <c r="N573" s="15"/>
      <c r="O573" s="15"/>
      <c r="P573" s="15"/>
      <c r="Q573" s="15"/>
      <c r="R573" s="15"/>
    </row>
    <row r="574">
      <c r="A574" s="15"/>
      <c r="B574" s="15"/>
      <c r="C574" s="15"/>
      <c r="D574" s="15"/>
      <c r="E574" s="15"/>
      <c r="F574" s="74"/>
      <c r="G574" s="74"/>
      <c r="H574" s="74"/>
      <c r="I574" s="74"/>
      <c r="J574" s="74"/>
      <c r="K574" s="15"/>
      <c r="L574" s="15"/>
      <c r="M574" s="15"/>
      <c r="N574" s="15"/>
      <c r="O574" s="15"/>
      <c r="P574" s="15"/>
      <c r="Q574" s="15"/>
      <c r="R574" s="15"/>
    </row>
    <row r="575">
      <c r="A575" s="15"/>
      <c r="B575" s="15"/>
      <c r="C575" s="15"/>
      <c r="D575" s="15"/>
      <c r="E575" s="15"/>
      <c r="F575" s="74"/>
      <c r="G575" s="74"/>
      <c r="H575" s="74"/>
      <c r="I575" s="74"/>
      <c r="J575" s="74"/>
      <c r="K575" s="15"/>
      <c r="L575" s="15"/>
      <c r="M575" s="15"/>
      <c r="N575" s="15"/>
      <c r="O575" s="15"/>
      <c r="P575" s="15"/>
      <c r="Q575" s="15"/>
      <c r="R575" s="15"/>
    </row>
    <row r="576">
      <c r="A576" s="15"/>
      <c r="B576" s="15"/>
      <c r="C576" s="15"/>
      <c r="D576" s="15"/>
      <c r="E576" s="15"/>
      <c r="F576" s="74"/>
      <c r="G576" s="74"/>
      <c r="H576" s="74"/>
      <c r="I576" s="74"/>
      <c r="J576" s="74"/>
      <c r="K576" s="15"/>
      <c r="L576" s="15"/>
      <c r="M576" s="15"/>
      <c r="N576" s="15"/>
      <c r="O576" s="15"/>
      <c r="P576" s="15"/>
      <c r="Q576" s="15"/>
      <c r="R576" s="15"/>
    </row>
    <row r="577">
      <c r="A577" s="15"/>
      <c r="B577" s="15"/>
      <c r="C577" s="15"/>
      <c r="D577" s="15"/>
      <c r="E577" s="15"/>
      <c r="F577" s="74"/>
      <c r="G577" s="74"/>
      <c r="H577" s="74"/>
      <c r="I577" s="74"/>
      <c r="J577" s="74"/>
      <c r="K577" s="15"/>
      <c r="L577" s="15"/>
      <c r="M577" s="15"/>
      <c r="N577" s="15"/>
      <c r="O577" s="15"/>
      <c r="P577" s="15"/>
      <c r="Q577" s="15"/>
      <c r="R577" s="15"/>
    </row>
    <row r="578">
      <c r="A578" s="15"/>
      <c r="B578" s="15"/>
      <c r="C578" s="15"/>
      <c r="D578" s="15"/>
      <c r="E578" s="15"/>
      <c r="F578" s="74"/>
      <c r="G578" s="74"/>
      <c r="H578" s="74"/>
      <c r="I578" s="74"/>
      <c r="J578" s="74"/>
      <c r="K578" s="15"/>
      <c r="L578" s="15"/>
      <c r="M578" s="15"/>
      <c r="N578" s="15"/>
      <c r="O578" s="15"/>
      <c r="P578" s="15"/>
      <c r="Q578" s="15"/>
      <c r="R578" s="15"/>
    </row>
    <row r="579">
      <c r="A579" s="15"/>
      <c r="B579" s="15"/>
      <c r="C579" s="15"/>
      <c r="D579" s="15"/>
      <c r="E579" s="15"/>
      <c r="F579" s="74"/>
      <c r="G579" s="74"/>
      <c r="H579" s="74"/>
      <c r="I579" s="74"/>
      <c r="J579" s="74"/>
      <c r="K579" s="15"/>
      <c r="L579" s="15"/>
      <c r="M579" s="15"/>
      <c r="N579" s="15"/>
      <c r="O579" s="15"/>
      <c r="P579" s="15"/>
      <c r="Q579" s="15"/>
      <c r="R579" s="15"/>
    </row>
    <row r="580">
      <c r="A580" s="15"/>
      <c r="B580" s="15"/>
      <c r="C580" s="15"/>
      <c r="D580" s="15"/>
      <c r="E580" s="15"/>
      <c r="F580" s="74"/>
      <c r="G580" s="74"/>
      <c r="H580" s="74"/>
      <c r="I580" s="74"/>
      <c r="J580" s="74"/>
      <c r="K580" s="15"/>
      <c r="L580" s="15"/>
      <c r="M580" s="15"/>
      <c r="N580" s="15"/>
      <c r="O580" s="15"/>
      <c r="P580" s="15"/>
      <c r="Q580" s="15"/>
      <c r="R580" s="15"/>
    </row>
    <row r="581">
      <c r="A581" s="15"/>
      <c r="B581" s="15"/>
      <c r="C581" s="15"/>
      <c r="D581" s="15"/>
      <c r="E581" s="15"/>
      <c r="F581" s="74"/>
      <c r="G581" s="74"/>
      <c r="H581" s="74"/>
      <c r="I581" s="74"/>
      <c r="J581" s="74"/>
      <c r="K581" s="15"/>
      <c r="L581" s="15"/>
      <c r="M581" s="15"/>
      <c r="N581" s="15"/>
      <c r="O581" s="15"/>
      <c r="P581" s="15"/>
      <c r="Q581" s="15"/>
      <c r="R581" s="15"/>
    </row>
    <row r="582">
      <c r="A582" s="15"/>
      <c r="B582" s="15"/>
      <c r="C582" s="15"/>
      <c r="D582" s="15"/>
      <c r="E582" s="15"/>
      <c r="F582" s="74"/>
      <c r="G582" s="74"/>
      <c r="H582" s="74"/>
      <c r="I582" s="74"/>
      <c r="J582" s="74"/>
      <c r="K582" s="15"/>
      <c r="L582" s="15"/>
      <c r="M582" s="15"/>
      <c r="N582" s="15"/>
      <c r="O582" s="15"/>
      <c r="P582" s="15"/>
      <c r="Q582" s="15"/>
      <c r="R582" s="15"/>
    </row>
    <row r="583">
      <c r="A583" s="15"/>
      <c r="B583" s="15"/>
      <c r="C583" s="15"/>
      <c r="D583" s="15"/>
      <c r="E583" s="15"/>
      <c r="F583" s="74"/>
      <c r="G583" s="74"/>
      <c r="H583" s="74"/>
      <c r="I583" s="74"/>
      <c r="J583" s="74"/>
      <c r="K583" s="15"/>
      <c r="L583" s="15"/>
      <c r="M583" s="15"/>
      <c r="N583" s="15"/>
      <c r="O583" s="15"/>
      <c r="P583" s="15"/>
      <c r="Q583" s="15"/>
      <c r="R583" s="15"/>
    </row>
    <row r="584">
      <c r="A584" s="15"/>
      <c r="B584" s="15"/>
      <c r="C584" s="15"/>
      <c r="D584" s="15"/>
      <c r="E584" s="15"/>
      <c r="F584" s="74"/>
      <c r="G584" s="74"/>
      <c r="H584" s="74"/>
      <c r="I584" s="74"/>
      <c r="J584" s="74"/>
      <c r="K584" s="15"/>
      <c r="L584" s="15"/>
      <c r="M584" s="15"/>
      <c r="N584" s="15"/>
      <c r="O584" s="15"/>
      <c r="P584" s="15"/>
      <c r="Q584" s="15"/>
      <c r="R584" s="15"/>
    </row>
    <row r="585">
      <c r="A585" s="15"/>
      <c r="B585" s="15"/>
      <c r="C585" s="15"/>
      <c r="D585" s="15"/>
      <c r="E585" s="15"/>
      <c r="F585" s="74"/>
      <c r="G585" s="74"/>
      <c r="H585" s="74"/>
      <c r="I585" s="74"/>
      <c r="J585" s="74"/>
      <c r="K585" s="15"/>
      <c r="L585" s="15"/>
      <c r="M585" s="15"/>
      <c r="N585" s="15"/>
      <c r="O585" s="15"/>
      <c r="P585" s="15"/>
      <c r="Q585" s="15"/>
      <c r="R585" s="15"/>
    </row>
    <row r="586">
      <c r="A586" s="15"/>
      <c r="B586" s="15"/>
      <c r="C586" s="15"/>
      <c r="D586" s="15"/>
      <c r="E586" s="15"/>
      <c r="F586" s="74"/>
      <c r="G586" s="74"/>
      <c r="H586" s="74"/>
      <c r="I586" s="74"/>
      <c r="J586" s="74"/>
      <c r="K586" s="15"/>
      <c r="L586" s="15"/>
      <c r="M586" s="15"/>
      <c r="N586" s="15"/>
      <c r="O586" s="15"/>
      <c r="P586" s="15"/>
      <c r="Q586" s="15"/>
      <c r="R586" s="15"/>
    </row>
    <row r="587">
      <c r="A587" s="15"/>
      <c r="B587" s="15"/>
      <c r="C587" s="15"/>
      <c r="D587" s="15"/>
      <c r="E587" s="15"/>
      <c r="F587" s="74"/>
      <c r="G587" s="74"/>
      <c r="H587" s="74"/>
      <c r="I587" s="74"/>
      <c r="J587" s="74"/>
      <c r="K587" s="15"/>
      <c r="L587" s="15"/>
      <c r="M587" s="15"/>
      <c r="N587" s="15"/>
      <c r="O587" s="15"/>
      <c r="P587" s="15"/>
      <c r="Q587" s="15"/>
      <c r="R587" s="15"/>
    </row>
    <row r="588">
      <c r="A588" s="15"/>
      <c r="B588" s="15"/>
      <c r="C588" s="15"/>
      <c r="D588" s="15"/>
      <c r="E588" s="15"/>
      <c r="F588" s="74"/>
      <c r="G588" s="74"/>
      <c r="H588" s="74"/>
      <c r="I588" s="74"/>
      <c r="J588" s="74"/>
      <c r="K588" s="15"/>
      <c r="L588" s="15"/>
      <c r="M588" s="15"/>
      <c r="N588" s="15"/>
      <c r="O588" s="15"/>
      <c r="P588" s="15"/>
      <c r="Q588" s="15"/>
      <c r="R588" s="15"/>
    </row>
    <row r="589">
      <c r="A589" s="15"/>
      <c r="B589" s="15"/>
      <c r="C589" s="15"/>
      <c r="D589" s="15"/>
      <c r="E589" s="15"/>
      <c r="F589" s="74"/>
      <c r="G589" s="74"/>
      <c r="H589" s="74"/>
      <c r="I589" s="74"/>
      <c r="J589" s="74"/>
      <c r="K589" s="15"/>
      <c r="L589" s="15"/>
      <c r="M589" s="15"/>
      <c r="N589" s="15"/>
      <c r="O589" s="15"/>
      <c r="P589" s="15"/>
      <c r="Q589" s="15"/>
      <c r="R589" s="15"/>
    </row>
    <row r="590">
      <c r="A590" s="15"/>
      <c r="B590" s="15"/>
      <c r="C590" s="15"/>
      <c r="D590" s="15"/>
      <c r="E590" s="15"/>
      <c r="F590" s="74"/>
      <c r="G590" s="74"/>
      <c r="H590" s="74"/>
      <c r="I590" s="74"/>
      <c r="J590" s="74"/>
      <c r="K590" s="15"/>
      <c r="L590" s="15"/>
      <c r="M590" s="15"/>
      <c r="N590" s="15"/>
      <c r="O590" s="15"/>
      <c r="P590" s="15"/>
      <c r="Q590" s="15"/>
      <c r="R590" s="15"/>
    </row>
    <row r="591">
      <c r="A591" s="15"/>
      <c r="B591" s="15"/>
      <c r="C591" s="15"/>
      <c r="D591" s="15"/>
      <c r="E591" s="15"/>
      <c r="F591" s="74"/>
      <c r="G591" s="74"/>
      <c r="H591" s="74"/>
      <c r="I591" s="74"/>
      <c r="J591" s="74"/>
      <c r="K591" s="15"/>
      <c r="L591" s="15"/>
      <c r="M591" s="15"/>
      <c r="N591" s="15"/>
      <c r="O591" s="15"/>
      <c r="P591" s="15"/>
      <c r="Q591" s="15"/>
      <c r="R591" s="15"/>
    </row>
    <row r="592">
      <c r="A592" s="15"/>
      <c r="B592" s="15"/>
      <c r="C592" s="15"/>
      <c r="D592" s="15"/>
      <c r="E592" s="15"/>
      <c r="F592" s="74"/>
      <c r="G592" s="74"/>
      <c r="H592" s="74"/>
      <c r="I592" s="74"/>
      <c r="J592" s="74"/>
      <c r="K592" s="15"/>
      <c r="L592" s="15"/>
      <c r="M592" s="15"/>
      <c r="N592" s="15"/>
      <c r="O592" s="15"/>
      <c r="P592" s="15"/>
      <c r="Q592" s="15"/>
      <c r="R592" s="15"/>
    </row>
    <row r="593">
      <c r="A593" s="15"/>
      <c r="B593" s="15"/>
      <c r="C593" s="15"/>
      <c r="D593" s="15"/>
      <c r="E593" s="15"/>
      <c r="F593" s="74"/>
      <c r="G593" s="74"/>
      <c r="H593" s="74"/>
      <c r="I593" s="74"/>
      <c r="J593" s="74"/>
      <c r="K593" s="15"/>
      <c r="L593" s="15"/>
      <c r="M593" s="15"/>
      <c r="N593" s="15"/>
      <c r="O593" s="15"/>
      <c r="P593" s="15"/>
      <c r="Q593" s="15"/>
      <c r="R593" s="15"/>
    </row>
    <row r="594">
      <c r="A594" s="15"/>
      <c r="B594" s="15"/>
      <c r="C594" s="15"/>
      <c r="D594" s="15"/>
      <c r="E594" s="15"/>
      <c r="F594" s="74"/>
      <c r="G594" s="74"/>
      <c r="H594" s="74"/>
      <c r="I594" s="74"/>
      <c r="J594" s="74"/>
      <c r="K594" s="15"/>
      <c r="L594" s="15"/>
      <c r="M594" s="15"/>
      <c r="N594" s="15"/>
      <c r="O594" s="15"/>
      <c r="P594" s="15"/>
      <c r="Q594" s="15"/>
      <c r="R594" s="15"/>
    </row>
    <row r="595">
      <c r="A595" s="15"/>
      <c r="B595" s="15"/>
      <c r="C595" s="15"/>
      <c r="D595" s="15"/>
      <c r="E595" s="15"/>
      <c r="F595" s="74"/>
      <c r="G595" s="74"/>
      <c r="H595" s="74"/>
      <c r="I595" s="74"/>
      <c r="J595" s="74"/>
      <c r="K595" s="15"/>
      <c r="L595" s="15"/>
      <c r="M595" s="15"/>
      <c r="N595" s="15"/>
      <c r="O595" s="15"/>
      <c r="P595" s="15"/>
      <c r="Q595" s="15"/>
      <c r="R595" s="15"/>
    </row>
    <row r="596">
      <c r="A596" s="15"/>
      <c r="B596" s="15"/>
      <c r="C596" s="15"/>
      <c r="D596" s="15"/>
      <c r="E596" s="15"/>
      <c r="F596" s="74"/>
      <c r="G596" s="74"/>
      <c r="H596" s="74"/>
      <c r="I596" s="74"/>
      <c r="J596" s="74"/>
      <c r="K596" s="15"/>
      <c r="L596" s="15"/>
      <c r="M596" s="15"/>
      <c r="N596" s="15"/>
      <c r="O596" s="15"/>
      <c r="P596" s="15"/>
      <c r="Q596" s="15"/>
      <c r="R596" s="15"/>
    </row>
    <row r="597">
      <c r="A597" s="15"/>
      <c r="B597" s="15"/>
      <c r="C597" s="15"/>
      <c r="D597" s="15"/>
      <c r="E597" s="15"/>
      <c r="F597" s="74"/>
      <c r="G597" s="74"/>
      <c r="H597" s="74"/>
      <c r="I597" s="74"/>
      <c r="J597" s="74"/>
      <c r="K597" s="15"/>
      <c r="L597" s="15"/>
      <c r="M597" s="15"/>
      <c r="N597" s="15"/>
      <c r="O597" s="15"/>
      <c r="P597" s="15"/>
      <c r="Q597" s="15"/>
      <c r="R597" s="15"/>
    </row>
    <row r="598">
      <c r="A598" s="15"/>
      <c r="B598" s="15"/>
      <c r="C598" s="15"/>
      <c r="D598" s="15"/>
      <c r="E598" s="15"/>
      <c r="F598" s="74"/>
      <c r="G598" s="74"/>
      <c r="H598" s="74"/>
      <c r="I598" s="74"/>
      <c r="J598" s="74"/>
      <c r="K598" s="15"/>
      <c r="L598" s="15"/>
      <c r="M598" s="15"/>
      <c r="N598" s="15"/>
      <c r="O598" s="15"/>
      <c r="P598" s="15"/>
      <c r="Q598" s="15"/>
      <c r="R598" s="15"/>
    </row>
    <row r="599">
      <c r="A599" s="15"/>
      <c r="B599" s="15"/>
      <c r="C599" s="15"/>
      <c r="D599" s="15"/>
      <c r="E599" s="15"/>
      <c r="F599" s="74"/>
      <c r="G599" s="74"/>
      <c r="H599" s="74"/>
      <c r="I599" s="74"/>
      <c r="J599" s="74"/>
      <c r="K599" s="15"/>
      <c r="L599" s="15"/>
      <c r="M599" s="15"/>
      <c r="N599" s="15"/>
      <c r="O599" s="15"/>
      <c r="P599" s="15"/>
      <c r="Q599" s="15"/>
      <c r="R599" s="15"/>
    </row>
    <row r="600">
      <c r="A600" s="15"/>
      <c r="B600" s="15"/>
      <c r="C600" s="15"/>
      <c r="D600" s="15"/>
      <c r="E600" s="15"/>
      <c r="F600" s="74"/>
      <c r="G600" s="74"/>
      <c r="H600" s="74"/>
      <c r="I600" s="74"/>
      <c r="J600" s="74"/>
      <c r="K600" s="15"/>
      <c r="L600" s="15"/>
      <c r="M600" s="15"/>
      <c r="N600" s="15"/>
      <c r="O600" s="15"/>
      <c r="P600" s="15"/>
      <c r="Q600" s="15"/>
      <c r="R600" s="15"/>
    </row>
    <row r="601">
      <c r="A601" s="15"/>
      <c r="B601" s="15"/>
      <c r="C601" s="15"/>
      <c r="D601" s="15"/>
      <c r="E601" s="15"/>
      <c r="F601" s="74"/>
      <c r="G601" s="74"/>
      <c r="H601" s="74"/>
      <c r="I601" s="74"/>
      <c r="J601" s="74"/>
      <c r="K601" s="15"/>
      <c r="L601" s="15"/>
      <c r="M601" s="15"/>
      <c r="N601" s="15"/>
      <c r="O601" s="15"/>
      <c r="P601" s="15"/>
      <c r="Q601" s="15"/>
      <c r="R601" s="15"/>
    </row>
    <row r="602">
      <c r="A602" s="15"/>
      <c r="B602" s="15"/>
      <c r="C602" s="15"/>
      <c r="D602" s="15"/>
      <c r="E602" s="15"/>
      <c r="F602" s="74"/>
      <c r="G602" s="74"/>
      <c r="H602" s="74"/>
      <c r="I602" s="74"/>
      <c r="J602" s="74"/>
      <c r="K602" s="15"/>
      <c r="L602" s="15"/>
      <c r="M602" s="15"/>
      <c r="N602" s="15"/>
      <c r="O602" s="15"/>
      <c r="P602" s="15"/>
      <c r="Q602" s="15"/>
      <c r="R602" s="15"/>
    </row>
    <row r="603">
      <c r="A603" s="15"/>
      <c r="B603" s="15"/>
      <c r="C603" s="15"/>
      <c r="D603" s="15"/>
      <c r="E603" s="15"/>
      <c r="F603" s="74"/>
      <c r="G603" s="74"/>
      <c r="H603" s="74"/>
      <c r="I603" s="74"/>
      <c r="J603" s="74"/>
      <c r="K603" s="15"/>
      <c r="L603" s="15"/>
      <c r="M603" s="15"/>
      <c r="N603" s="15"/>
      <c r="O603" s="15"/>
      <c r="P603" s="15"/>
      <c r="Q603" s="15"/>
      <c r="R603" s="15"/>
    </row>
    <row r="604">
      <c r="A604" s="15"/>
      <c r="B604" s="15"/>
      <c r="C604" s="15"/>
      <c r="D604" s="15"/>
      <c r="E604" s="15"/>
      <c r="F604" s="74"/>
      <c r="G604" s="74"/>
      <c r="H604" s="74"/>
      <c r="I604" s="74"/>
      <c r="J604" s="74"/>
      <c r="K604" s="15"/>
      <c r="L604" s="15"/>
      <c r="M604" s="15"/>
      <c r="N604" s="15"/>
      <c r="O604" s="15"/>
      <c r="P604" s="15"/>
      <c r="Q604" s="15"/>
      <c r="R604" s="15"/>
    </row>
    <row r="605">
      <c r="A605" s="15"/>
      <c r="B605" s="15"/>
      <c r="C605" s="15"/>
      <c r="D605" s="15"/>
      <c r="E605" s="15"/>
      <c r="F605" s="74"/>
      <c r="G605" s="74"/>
      <c r="H605" s="74"/>
      <c r="I605" s="74"/>
      <c r="J605" s="74"/>
      <c r="K605" s="15"/>
      <c r="L605" s="15"/>
      <c r="M605" s="15"/>
      <c r="N605" s="15"/>
      <c r="O605" s="15"/>
      <c r="P605" s="15"/>
      <c r="Q605" s="15"/>
      <c r="R605" s="15"/>
    </row>
    <row r="606">
      <c r="A606" s="15"/>
      <c r="B606" s="15"/>
      <c r="C606" s="15"/>
      <c r="D606" s="15"/>
      <c r="E606" s="15"/>
      <c r="F606" s="74"/>
      <c r="G606" s="74"/>
      <c r="H606" s="74"/>
      <c r="I606" s="74"/>
      <c r="J606" s="74"/>
      <c r="K606" s="15"/>
      <c r="L606" s="15"/>
      <c r="M606" s="15"/>
      <c r="N606" s="15"/>
      <c r="O606" s="15"/>
      <c r="P606" s="15"/>
      <c r="Q606" s="15"/>
      <c r="R606" s="15"/>
    </row>
    <row r="607">
      <c r="A607" s="15"/>
      <c r="B607" s="15"/>
      <c r="C607" s="15"/>
      <c r="D607" s="15"/>
      <c r="E607" s="15"/>
      <c r="F607" s="74"/>
      <c r="G607" s="74"/>
      <c r="H607" s="74"/>
      <c r="I607" s="74"/>
      <c r="J607" s="74"/>
      <c r="K607" s="15"/>
      <c r="L607" s="15"/>
      <c r="M607" s="15"/>
      <c r="N607" s="15"/>
      <c r="O607" s="15"/>
      <c r="P607" s="15"/>
      <c r="Q607" s="15"/>
      <c r="R607" s="15"/>
    </row>
    <row r="608">
      <c r="A608" s="15"/>
      <c r="B608" s="15"/>
      <c r="C608" s="15"/>
      <c r="D608" s="15"/>
      <c r="E608" s="15"/>
      <c r="F608" s="74"/>
      <c r="G608" s="74"/>
      <c r="H608" s="74"/>
      <c r="I608" s="74"/>
      <c r="J608" s="74"/>
      <c r="K608" s="15"/>
      <c r="L608" s="15"/>
      <c r="M608" s="15"/>
      <c r="N608" s="15"/>
      <c r="O608" s="15"/>
      <c r="P608" s="15"/>
      <c r="Q608" s="15"/>
      <c r="R608" s="15"/>
    </row>
    <row r="609">
      <c r="A609" s="15"/>
      <c r="B609" s="15"/>
      <c r="C609" s="15"/>
      <c r="D609" s="15"/>
      <c r="E609" s="15"/>
      <c r="F609" s="74"/>
      <c r="G609" s="74"/>
      <c r="H609" s="74"/>
      <c r="I609" s="74"/>
      <c r="J609" s="74"/>
      <c r="K609" s="15"/>
      <c r="L609" s="15"/>
      <c r="M609" s="15"/>
      <c r="N609" s="15"/>
      <c r="O609" s="15"/>
      <c r="P609" s="15"/>
      <c r="Q609" s="15"/>
      <c r="R609" s="15"/>
    </row>
    <row r="610">
      <c r="A610" s="15"/>
      <c r="B610" s="15"/>
      <c r="C610" s="15"/>
      <c r="D610" s="15"/>
      <c r="E610" s="15"/>
      <c r="F610" s="74"/>
      <c r="G610" s="74"/>
      <c r="H610" s="74"/>
      <c r="I610" s="74"/>
      <c r="J610" s="74"/>
      <c r="K610" s="15"/>
      <c r="L610" s="15"/>
      <c r="M610" s="15"/>
      <c r="N610" s="15"/>
      <c r="O610" s="15"/>
      <c r="P610" s="15"/>
      <c r="Q610" s="15"/>
      <c r="R610" s="15"/>
    </row>
    <row r="611">
      <c r="A611" s="15"/>
      <c r="B611" s="15"/>
      <c r="C611" s="15"/>
      <c r="D611" s="15"/>
      <c r="E611" s="15"/>
      <c r="F611" s="74"/>
      <c r="G611" s="74"/>
      <c r="H611" s="74"/>
      <c r="I611" s="74"/>
      <c r="J611" s="74"/>
      <c r="K611" s="15"/>
      <c r="L611" s="15"/>
      <c r="M611" s="15"/>
      <c r="N611" s="15"/>
      <c r="O611" s="15"/>
      <c r="P611" s="15"/>
      <c r="Q611" s="15"/>
      <c r="R611" s="15"/>
    </row>
    <row r="612">
      <c r="A612" s="15"/>
      <c r="B612" s="15"/>
      <c r="C612" s="15"/>
      <c r="D612" s="15"/>
      <c r="E612" s="15"/>
      <c r="F612" s="74"/>
      <c r="G612" s="74"/>
      <c r="H612" s="74"/>
      <c r="I612" s="74"/>
      <c r="J612" s="74"/>
      <c r="K612" s="15"/>
      <c r="L612" s="15"/>
      <c r="M612" s="15"/>
      <c r="N612" s="15"/>
      <c r="O612" s="15"/>
      <c r="P612" s="15"/>
      <c r="Q612" s="15"/>
      <c r="R612" s="15"/>
    </row>
    <row r="613">
      <c r="A613" s="15"/>
      <c r="B613" s="15"/>
      <c r="C613" s="15"/>
      <c r="D613" s="15"/>
      <c r="E613" s="15"/>
      <c r="F613" s="74"/>
      <c r="G613" s="74"/>
      <c r="H613" s="74"/>
      <c r="I613" s="74"/>
      <c r="J613" s="74"/>
      <c r="K613" s="15"/>
      <c r="L613" s="15"/>
      <c r="M613" s="15"/>
      <c r="N613" s="15"/>
      <c r="O613" s="15"/>
      <c r="P613" s="15"/>
      <c r="Q613" s="15"/>
      <c r="R613" s="15"/>
    </row>
    <row r="614">
      <c r="A614" s="15"/>
      <c r="B614" s="15"/>
      <c r="C614" s="15"/>
      <c r="D614" s="15"/>
      <c r="E614" s="15"/>
      <c r="F614" s="74"/>
      <c r="G614" s="74"/>
      <c r="H614" s="74"/>
      <c r="I614" s="74"/>
      <c r="J614" s="74"/>
      <c r="K614" s="15"/>
      <c r="L614" s="15"/>
      <c r="M614" s="15"/>
      <c r="N614" s="15"/>
      <c r="O614" s="15"/>
      <c r="P614" s="15"/>
      <c r="Q614" s="15"/>
      <c r="R614" s="15"/>
    </row>
    <row r="615">
      <c r="A615" s="15"/>
      <c r="B615" s="15"/>
      <c r="C615" s="15"/>
      <c r="D615" s="15"/>
      <c r="E615" s="15"/>
      <c r="F615" s="74"/>
      <c r="G615" s="74"/>
      <c r="H615" s="74"/>
      <c r="I615" s="74"/>
      <c r="J615" s="74"/>
      <c r="K615" s="15"/>
      <c r="L615" s="15"/>
      <c r="M615" s="15"/>
      <c r="N615" s="15"/>
      <c r="O615" s="15"/>
      <c r="P615" s="15"/>
      <c r="Q615" s="15"/>
      <c r="R615" s="15"/>
    </row>
    <row r="616">
      <c r="A616" s="15"/>
      <c r="B616" s="15"/>
      <c r="C616" s="15"/>
      <c r="D616" s="15"/>
      <c r="E616" s="15"/>
      <c r="F616" s="74"/>
      <c r="G616" s="74"/>
      <c r="H616" s="74"/>
      <c r="I616" s="74"/>
      <c r="J616" s="74"/>
      <c r="K616" s="15"/>
      <c r="L616" s="15"/>
      <c r="M616" s="15"/>
      <c r="N616" s="15"/>
      <c r="O616" s="15"/>
      <c r="P616" s="15"/>
      <c r="Q616" s="15"/>
      <c r="R616" s="15"/>
    </row>
    <row r="617">
      <c r="A617" s="15"/>
      <c r="B617" s="15"/>
      <c r="C617" s="15"/>
      <c r="D617" s="15"/>
      <c r="E617" s="15"/>
      <c r="F617" s="74"/>
      <c r="G617" s="74"/>
      <c r="H617" s="74"/>
      <c r="I617" s="74"/>
      <c r="J617" s="74"/>
      <c r="K617" s="15"/>
      <c r="L617" s="15"/>
      <c r="M617" s="15"/>
      <c r="N617" s="15"/>
      <c r="O617" s="15"/>
      <c r="P617" s="15"/>
      <c r="Q617" s="15"/>
      <c r="R617" s="15"/>
    </row>
    <row r="618">
      <c r="A618" s="15"/>
      <c r="B618" s="15"/>
      <c r="C618" s="15"/>
      <c r="D618" s="15"/>
      <c r="E618" s="15"/>
      <c r="F618" s="74"/>
      <c r="G618" s="74"/>
      <c r="H618" s="74"/>
      <c r="I618" s="74"/>
      <c r="J618" s="74"/>
      <c r="K618" s="15"/>
      <c r="L618" s="15"/>
      <c r="M618" s="15"/>
      <c r="N618" s="15"/>
      <c r="O618" s="15"/>
      <c r="P618" s="15"/>
      <c r="Q618" s="15"/>
      <c r="R618" s="15"/>
    </row>
    <row r="619">
      <c r="A619" s="15"/>
      <c r="B619" s="15"/>
      <c r="C619" s="15"/>
      <c r="D619" s="15"/>
      <c r="E619" s="15"/>
      <c r="F619" s="74"/>
      <c r="G619" s="74"/>
      <c r="H619" s="74"/>
      <c r="I619" s="74"/>
      <c r="J619" s="74"/>
      <c r="K619" s="15"/>
      <c r="L619" s="15"/>
      <c r="M619" s="15"/>
      <c r="N619" s="15"/>
      <c r="O619" s="15"/>
      <c r="P619" s="15"/>
      <c r="Q619" s="15"/>
      <c r="R619" s="15"/>
    </row>
    <row r="620">
      <c r="A620" s="15"/>
      <c r="B620" s="15"/>
      <c r="C620" s="15"/>
      <c r="D620" s="15"/>
      <c r="E620" s="15"/>
      <c r="F620" s="74"/>
      <c r="G620" s="74"/>
      <c r="H620" s="74"/>
      <c r="I620" s="74"/>
      <c r="J620" s="74"/>
      <c r="K620" s="15"/>
      <c r="L620" s="15"/>
      <c r="M620" s="15"/>
      <c r="N620" s="15"/>
      <c r="O620" s="15"/>
      <c r="P620" s="15"/>
      <c r="Q620" s="15"/>
      <c r="R620" s="15"/>
    </row>
    <row r="621">
      <c r="A621" s="15"/>
      <c r="B621" s="15"/>
      <c r="C621" s="15"/>
      <c r="D621" s="15"/>
      <c r="E621" s="15"/>
      <c r="F621" s="74"/>
      <c r="G621" s="74"/>
      <c r="H621" s="74"/>
      <c r="I621" s="74"/>
      <c r="J621" s="74"/>
      <c r="K621" s="15"/>
      <c r="L621" s="15"/>
      <c r="M621" s="15"/>
      <c r="N621" s="15"/>
      <c r="O621" s="15"/>
      <c r="P621" s="15"/>
      <c r="Q621" s="15"/>
      <c r="R621" s="15"/>
    </row>
    <row r="622">
      <c r="A622" s="15"/>
      <c r="B622" s="15"/>
      <c r="C622" s="15"/>
      <c r="D622" s="15"/>
      <c r="E622" s="15"/>
      <c r="F622" s="74"/>
      <c r="G622" s="74"/>
      <c r="H622" s="74"/>
      <c r="I622" s="74"/>
      <c r="J622" s="74"/>
      <c r="K622" s="15"/>
      <c r="L622" s="15"/>
      <c r="M622" s="15"/>
      <c r="N622" s="15"/>
      <c r="O622" s="15"/>
      <c r="P622" s="15"/>
      <c r="Q622" s="15"/>
      <c r="R622" s="15"/>
    </row>
    <row r="623">
      <c r="A623" s="15"/>
      <c r="B623" s="15"/>
      <c r="C623" s="15"/>
      <c r="D623" s="15"/>
      <c r="E623" s="15"/>
      <c r="F623" s="74"/>
      <c r="G623" s="74"/>
      <c r="H623" s="74"/>
      <c r="I623" s="74"/>
      <c r="J623" s="74"/>
      <c r="K623" s="15"/>
      <c r="L623" s="15"/>
      <c r="M623" s="15"/>
      <c r="N623" s="15"/>
      <c r="O623" s="15"/>
      <c r="P623" s="15"/>
      <c r="Q623" s="15"/>
      <c r="R623" s="15"/>
    </row>
    <row r="624">
      <c r="A624" s="15"/>
      <c r="B624" s="15"/>
      <c r="C624" s="15"/>
      <c r="D624" s="15"/>
      <c r="E624" s="15"/>
      <c r="F624" s="74"/>
      <c r="G624" s="74"/>
      <c r="H624" s="74"/>
      <c r="I624" s="74"/>
      <c r="J624" s="74"/>
      <c r="K624" s="15"/>
      <c r="L624" s="15"/>
      <c r="M624" s="15"/>
      <c r="N624" s="15"/>
      <c r="O624" s="15"/>
      <c r="P624" s="15"/>
      <c r="Q624" s="15"/>
      <c r="R624" s="15"/>
    </row>
    <row r="625">
      <c r="A625" s="15"/>
      <c r="B625" s="15"/>
      <c r="C625" s="15"/>
      <c r="D625" s="15"/>
      <c r="E625" s="15"/>
      <c r="F625" s="74"/>
      <c r="G625" s="74"/>
      <c r="H625" s="74"/>
      <c r="I625" s="74"/>
      <c r="J625" s="74"/>
      <c r="K625" s="15"/>
      <c r="L625" s="15"/>
      <c r="M625" s="15"/>
      <c r="N625" s="15"/>
      <c r="O625" s="15"/>
      <c r="P625" s="15"/>
      <c r="Q625" s="15"/>
      <c r="R625" s="15"/>
    </row>
    <row r="626">
      <c r="A626" s="15"/>
      <c r="B626" s="15"/>
      <c r="C626" s="15"/>
      <c r="D626" s="15"/>
      <c r="E626" s="15"/>
      <c r="F626" s="74"/>
      <c r="G626" s="74"/>
      <c r="H626" s="74"/>
      <c r="I626" s="74"/>
      <c r="J626" s="74"/>
      <c r="K626" s="15"/>
      <c r="L626" s="15"/>
      <c r="M626" s="15"/>
      <c r="N626" s="15"/>
      <c r="O626" s="15"/>
      <c r="P626" s="15"/>
      <c r="Q626" s="15"/>
      <c r="R626" s="15"/>
    </row>
    <row r="627">
      <c r="A627" s="15"/>
      <c r="B627" s="15"/>
      <c r="C627" s="15"/>
      <c r="D627" s="15"/>
      <c r="E627" s="15"/>
      <c r="F627" s="74"/>
      <c r="G627" s="74"/>
      <c r="H627" s="74"/>
      <c r="I627" s="74"/>
      <c r="J627" s="74"/>
      <c r="K627" s="15"/>
      <c r="L627" s="15"/>
      <c r="M627" s="15"/>
      <c r="N627" s="15"/>
      <c r="O627" s="15"/>
      <c r="P627" s="15"/>
      <c r="Q627" s="15"/>
      <c r="R627" s="15"/>
    </row>
    <row r="628">
      <c r="A628" s="15"/>
      <c r="B628" s="15"/>
      <c r="C628" s="15"/>
      <c r="D628" s="15"/>
      <c r="E628" s="15"/>
      <c r="F628" s="74"/>
      <c r="G628" s="74"/>
      <c r="H628" s="74"/>
      <c r="I628" s="74"/>
      <c r="J628" s="74"/>
      <c r="K628" s="15"/>
      <c r="L628" s="15"/>
      <c r="M628" s="15"/>
      <c r="N628" s="15"/>
      <c r="O628" s="15"/>
      <c r="P628" s="15"/>
      <c r="Q628" s="15"/>
      <c r="R628" s="15"/>
    </row>
    <row r="629">
      <c r="A629" s="15"/>
      <c r="B629" s="15"/>
      <c r="C629" s="15"/>
      <c r="D629" s="15"/>
      <c r="E629" s="15"/>
      <c r="F629" s="74"/>
      <c r="G629" s="74"/>
      <c r="H629" s="74"/>
      <c r="I629" s="74"/>
      <c r="J629" s="74"/>
      <c r="K629" s="15"/>
      <c r="L629" s="15"/>
      <c r="M629" s="15"/>
      <c r="N629" s="15"/>
      <c r="O629" s="15"/>
      <c r="P629" s="15"/>
      <c r="Q629" s="15"/>
      <c r="R629" s="15"/>
    </row>
    <row r="630">
      <c r="A630" s="15"/>
      <c r="B630" s="15"/>
      <c r="C630" s="15"/>
      <c r="D630" s="15"/>
      <c r="E630" s="15"/>
      <c r="F630" s="74"/>
      <c r="G630" s="74"/>
      <c r="H630" s="74"/>
      <c r="I630" s="74"/>
      <c r="J630" s="74"/>
      <c r="K630" s="15"/>
      <c r="L630" s="15"/>
      <c r="M630" s="15"/>
      <c r="N630" s="15"/>
      <c r="O630" s="15"/>
      <c r="P630" s="15"/>
      <c r="Q630" s="15"/>
      <c r="R630" s="15"/>
    </row>
    <row r="631">
      <c r="A631" s="15"/>
      <c r="B631" s="15"/>
      <c r="C631" s="15"/>
      <c r="D631" s="15"/>
      <c r="E631" s="15"/>
      <c r="F631" s="74"/>
      <c r="G631" s="74"/>
      <c r="H631" s="74"/>
      <c r="I631" s="74"/>
      <c r="J631" s="74"/>
      <c r="K631" s="15"/>
      <c r="L631" s="15"/>
      <c r="M631" s="15"/>
      <c r="N631" s="15"/>
      <c r="O631" s="15"/>
      <c r="P631" s="15"/>
      <c r="Q631" s="15"/>
      <c r="R631" s="15"/>
    </row>
    <row r="632">
      <c r="A632" s="15"/>
      <c r="B632" s="15"/>
      <c r="C632" s="15"/>
      <c r="D632" s="15"/>
      <c r="E632" s="15"/>
      <c r="F632" s="74"/>
      <c r="G632" s="74"/>
      <c r="H632" s="74"/>
      <c r="I632" s="74"/>
      <c r="J632" s="74"/>
      <c r="K632" s="15"/>
      <c r="L632" s="15"/>
      <c r="M632" s="15"/>
      <c r="N632" s="15"/>
      <c r="O632" s="15"/>
      <c r="P632" s="15"/>
      <c r="Q632" s="15"/>
      <c r="R632" s="15"/>
    </row>
    <row r="633">
      <c r="A633" s="15"/>
      <c r="B633" s="15"/>
      <c r="C633" s="15"/>
      <c r="D633" s="15"/>
      <c r="E633" s="15"/>
      <c r="F633" s="74"/>
      <c r="G633" s="74"/>
      <c r="H633" s="74"/>
      <c r="I633" s="74"/>
      <c r="J633" s="74"/>
      <c r="K633" s="15"/>
      <c r="L633" s="15"/>
      <c r="M633" s="15"/>
      <c r="N633" s="15"/>
      <c r="O633" s="15"/>
      <c r="P633" s="15"/>
      <c r="Q633" s="15"/>
      <c r="R633" s="15"/>
    </row>
    <row r="634">
      <c r="A634" s="15"/>
      <c r="B634" s="15"/>
      <c r="C634" s="15"/>
      <c r="D634" s="15"/>
      <c r="E634" s="15"/>
      <c r="F634" s="74"/>
      <c r="G634" s="74"/>
      <c r="H634" s="74"/>
      <c r="I634" s="74"/>
      <c r="J634" s="74"/>
      <c r="K634" s="15"/>
      <c r="L634" s="15"/>
      <c r="M634" s="15"/>
      <c r="N634" s="15"/>
      <c r="O634" s="15"/>
      <c r="P634" s="15"/>
      <c r="Q634" s="15"/>
      <c r="R634" s="15"/>
    </row>
    <row r="635">
      <c r="A635" s="15"/>
      <c r="B635" s="15"/>
      <c r="C635" s="15"/>
      <c r="D635" s="15"/>
      <c r="E635" s="15"/>
      <c r="F635" s="74"/>
      <c r="G635" s="74"/>
      <c r="H635" s="74"/>
      <c r="I635" s="74"/>
      <c r="J635" s="74"/>
      <c r="K635" s="15"/>
      <c r="L635" s="15"/>
      <c r="M635" s="15"/>
      <c r="N635" s="15"/>
      <c r="O635" s="15"/>
      <c r="P635" s="15"/>
      <c r="Q635" s="15"/>
      <c r="R635" s="15"/>
    </row>
    <row r="636">
      <c r="A636" s="15"/>
      <c r="B636" s="15"/>
      <c r="C636" s="15"/>
      <c r="D636" s="15"/>
      <c r="E636" s="15"/>
      <c r="F636" s="74"/>
      <c r="G636" s="74"/>
      <c r="H636" s="74"/>
      <c r="I636" s="74"/>
      <c r="J636" s="74"/>
      <c r="K636" s="15"/>
      <c r="L636" s="15"/>
      <c r="M636" s="15"/>
      <c r="N636" s="15"/>
      <c r="O636" s="15"/>
      <c r="P636" s="15"/>
      <c r="Q636" s="15"/>
      <c r="R636" s="15"/>
    </row>
    <row r="637">
      <c r="A637" s="15"/>
      <c r="B637" s="15"/>
      <c r="C637" s="15"/>
      <c r="D637" s="15"/>
      <c r="E637" s="15"/>
      <c r="F637" s="74"/>
      <c r="G637" s="74"/>
      <c r="H637" s="74"/>
      <c r="I637" s="74"/>
      <c r="J637" s="74"/>
      <c r="K637" s="15"/>
      <c r="L637" s="15"/>
      <c r="M637" s="15"/>
      <c r="N637" s="15"/>
      <c r="O637" s="15"/>
      <c r="P637" s="15"/>
      <c r="Q637" s="15"/>
      <c r="R637" s="15"/>
    </row>
    <row r="638">
      <c r="A638" s="15"/>
      <c r="B638" s="15"/>
      <c r="C638" s="15"/>
      <c r="D638" s="15"/>
      <c r="E638" s="15"/>
      <c r="F638" s="74"/>
      <c r="G638" s="74"/>
      <c r="H638" s="74"/>
      <c r="I638" s="74"/>
      <c r="J638" s="74"/>
      <c r="K638" s="15"/>
      <c r="L638" s="15"/>
      <c r="M638" s="15"/>
      <c r="N638" s="15"/>
      <c r="O638" s="15"/>
      <c r="P638" s="15"/>
      <c r="Q638" s="15"/>
      <c r="R638" s="15"/>
    </row>
    <row r="639">
      <c r="A639" s="15"/>
      <c r="B639" s="15"/>
      <c r="C639" s="15"/>
      <c r="D639" s="15"/>
      <c r="E639" s="15"/>
      <c r="F639" s="74"/>
      <c r="G639" s="74"/>
      <c r="H639" s="74"/>
      <c r="I639" s="74"/>
      <c r="J639" s="74"/>
      <c r="K639" s="15"/>
      <c r="L639" s="15"/>
      <c r="M639" s="15"/>
      <c r="N639" s="15"/>
      <c r="O639" s="15"/>
      <c r="P639" s="15"/>
      <c r="Q639" s="15"/>
      <c r="R639" s="15"/>
    </row>
    <row r="640">
      <c r="A640" s="15"/>
      <c r="B640" s="15"/>
      <c r="C640" s="15"/>
      <c r="D640" s="15"/>
      <c r="E640" s="15"/>
      <c r="F640" s="74"/>
      <c r="G640" s="74"/>
      <c r="H640" s="74"/>
      <c r="I640" s="74"/>
      <c r="J640" s="74"/>
      <c r="K640" s="15"/>
      <c r="L640" s="15"/>
      <c r="M640" s="15"/>
      <c r="N640" s="15"/>
      <c r="O640" s="15"/>
      <c r="P640" s="15"/>
      <c r="Q640" s="15"/>
      <c r="R640" s="15"/>
    </row>
    <row r="641">
      <c r="A641" s="15"/>
      <c r="B641" s="15"/>
      <c r="C641" s="15"/>
      <c r="D641" s="15"/>
      <c r="E641" s="15"/>
      <c r="F641" s="74"/>
      <c r="G641" s="74"/>
      <c r="H641" s="74"/>
      <c r="I641" s="74"/>
      <c r="J641" s="74"/>
      <c r="K641" s="15"/>
      <c r="L641" s="15"/>
      <c r="M641" s="15"/>
      <c r="N641" s="15"/>
      <c r="O641" s="15"/>
      <c r="P641" s="15"/>
      <c r="Q641" s="15"/>
      <c r="R641" s="15"/>
    </row>
    <row r="642">
      <c r="A642" s="15"/>
      <c r="B642" s="15"/>
      <c r="C642" s="15"/>
      <c r="D642" s="15"/>
      <c r="E642" s="15"/>
      <c r="F642" s="74"/>
      <c r="G642" s="74"/>
      <c r="H642" s="74"/>
      <c r="I642" s="74"/>
      <c r="J642" s="74"/>
      <c r="K642" s="15"/>
      <c r="L642" s="15"/>
      <c r="M642" s="15"/>
      <c r="N642" s="15"/>
      <c r="O642" s="15"/>
      <c r="P642" s="15"/>
      <c r="Q642" s="15"/>
      <c r="R642" s="15"/>
    </row>
    <row r="643">
      <c r="A643" s="15"/>
      <c r="B643" s="15"/>
      <c r="C643" s="15"/>
      <c r="D643" s="15"/>
      <c r="E643" s="15"/>
      <c r="F643" s="74"/>
      <c r="G643" s="74"/>
      <c r="H643" s="74"/>
      <c r="I643" s="74"/>
      <c r="J643" s="74"/>
      <c r="K643" s="15"/>
      <c r="L643" s="15"/>
      <c r="M643" s="15"/>
      <c r="N643" s="15"/>
      <c r="O643" s="15"/>
      <c r="P643" s="15"/>
      <c r="Q643" s="15"/>
      <c r="R643" s="15"/>
    </row>
    <row r="644">
      <c r="A644" s="15"/>
      <c r="B644" s="15"/>
      <c r="C644" s="15"/>
      <c r="D644" s="15"/>
      <c r="E644" s="15"/>
      <c r="F644" s="74"/>
      <c r="G644" s="74"/>
      <c r="H644" s="74"/>
      <c r="I644" s="74"/>
      <c r="J644" s="74"/>
      <c r="K644" s="15"/>
      <c r="L644" s="15"/>
      <c r="M644" s="15"/>
      <c r="N644" s="15"/>
      <c r="O644" s="15"/>
      <c r="P644" s="15"/>
      <c r="Q644" s="15"/>
      <c r="R644" s="15"/>
    </row>
    <row r="645">
      <c r="A645" s="15"/>
      <c r="B645" s="15"/>
      <c r="C645" s="15"/>
      <c r="D645" s="15"/>
      <c r="E645" s="15"/>
      <c r="F645" s="74"/>
      <c r="G645" s="74"/>
      <c r="H645" s="74"/>
      <c r="I645" s="74"/>
      <c r="J645" s="74"/>
      <c r="K645" s="15"/>
      <c r="L645" s="15"/>
      <c r="M645" s="15"/>
      <c r="N645" s="15"/>
      <c r="O645" s="15"/>
      <c r="P645" s="15"/>
      <c r="Q645" s="15"/>
      <c r="R645" s="15"/>
    </row>
    <row r="646">
      <c r="A646" s="15"/>
      <c r="B646" s="15"/>
      <c r="C646" s="15"/>
      <c r="D646" s="15"/>
      <c r="E646" s="15"/>
      <c r="F646" s="74"/>
      <c r="G646" s="74"/>
      <c r="H646" s="74"/>
      <c r="I646" s="74"/>
      <c r="J646" s="74"/>
      <c r="K646" s="15"/>
      <c r="L646" s="15"/>
      <c r="M646" s="15"/>
      <c r="N646" s="15"/>
      <c r="O646" s="15"/>
      <c r="P646" s="15"/>
      <c r="Q646" s="15"/>
      <c r="R646" s="15"/>
    </row>
    <row r="647">
      <c r="A647" s="15"/>
      <c r="B647" s="15"/>
      <c r="C647" s="15"/>
      <c r="D647" s="15"/>
      <c r="E647" s="15"/>
      <c r="F647" s="74"/>
      <c r="G647" s="74"/>
      <c r="H647" s="74"/>
      <c r="I647" s="74"/>
      <c r="J647" s="74"/>
      <c r="K647" s="15"/>
      <c r="L647" s="15"/>
      <c r="M647" s="15"/>
      <c r="N647" s="15"/>
      <c r="O647" s="15"/>
      <c r="P647" s="15"/>
      <c r="Q647" s="15"/>
      <c r="R647" s="15"/>
    </row>
    <row r="648">
      <c r="A648" s="15"/>
      <c r="B648" s="15"/>
      <c r="C648" s="15"/>
      <c r="D648" s="15"/>
      <c r="E648" s="15"/>
      <c r="F648" s="74"/>
      <c r="G648" s="74"/>
      <c r="H648" s="74"/>
      <c r="I648" s="74"/>
      <c r="J648" s="74"/>
      <c r="K648" s="15"/>
      <c r="L648" s="15"/>
      <c r="M648" s="15"/>
      <c r="N648" s="15"/>
      <c r="O648" s="15"/>
      <c r="P648" s="15"/>
      <c r="Q648" s="15"/>
      <c r="R648" s="15"/>
    </row>
    <row r="649">
      <c r="A649" s="15"/>
      <c r="B649" s="15"/>
      <c r="C649" s="15"/>
      <c r="D649" s="15"/>
      <c r="E649" s="15"/>
      <c r="F649" s="74"/>
      <c r="G649" s="74"/>
      <c r="H649" s="74"/>
      <c r="I649" s="74"/>
      <c r="J649" s="74"/>
      <c r="K649" s="15"/>
      <c r="L649" s="15"/>
      <c r="M649" s="15"/>
      <c r="N649" s="15"/>
      <c r="O649" s="15"/>
      <c r="P649" s="15"/>
      <c r="Q649" s="15"/>
      <c r="R649" s="15"/>
    </row>
    <row r="650">
      <c r="A650" s="15"/>
      <c r="B650" s="15"/>
      <c r="C650" s="15"/>
      <c r="D650" s="15"/>
      <c r="E650" s="15"/>
      <c r="F650" s="74"/>
      <c r="G650" s="74"/>
      <c r="H650" s="74"/>
      <c r="I650" s="74"/>
      <c r="J650" s="74"/>
      <c r="K650" s="15"/>
      <c r="L650" s="15"/>
      <c r="M650" s="15"/>
      <c r="N650" s="15"/>
      <c r="O650" s="15"/>
      <c r="P650" s="15"/>
      <c r="Q650" s="15"/>
      <c r="R650" s="15"/>
    </row>
    <row r="651">
      <c r="A651" s="15"/>
      <c r="B651" s="15"/>
      <c r="C651" s="15"/>
      <c r="D651" s="15"/>
      <c r="E651" s="15"/>
      <c r="F651" s="74"/>
      <c r="G651" s="74"/>
      <c r="H651" s="74"/>
      <c r="I651" s="74"/>
      <c r="J651" s="74"/>
      <c r="K651" s="15"/>
      <c r="L651" s="15"/>
      <c r="M651" s="15"/>
      <c r="N651" s="15"/>
      <c r="O651" s="15"/>
      <c r="P651" s="15"/>
      <c r="Q651" s="15"/>
      <c r="R651" s="15"/>
    </row>
    <row r="652">
      <c r="A652" s="15"/>
      <c r="B652" s="15"/>
      <c r="C652" s="15"/>
      <c r="D652" s="15"/>
      <c r="E652" s="15"/>
      <c r="F652" s="74"/>
      <c r="G652" s="74"/>
      <c r="H652" s="74"/>
      <c r="I652" s="74"/>
      <c r="J652" s="74"/>
      <c r="K652" s="15"/>
      <c r="L652" s="15"/>
      <c r="M652" s="15"/>
      <c r="N652" s="15"/>
      <c r="O652" s="15"/>
      <c r="P652" s="15"/>
      <c r="Q652" s="15"/>
      <c r="R652" s="15"/>
    </row>
    <row r="653">
      <c r="A653" s="15"/>
      <c r="B653" s="15"/>
      <c r="C653" s="15"/>
      <c r="D653" s="15"/>
      <c r="E653" s="15"/>
      <c r="F653" s="74"/>
      <c r="G653" s="74"/>
      <c r="H653" s="74"/>
      <c r="I653" s="74"/>
      <c r="J653" s="74"/>
      <c r="K653" s="15"/>
      <c r="L653" s="15"/>
      <c r="M653" s="15"/>
      <c r="N653" s="15"/>
      <c r="O653" s="15"/>
      <c r="P653" s="15"/>
      <c r="Q653" s="15"/>
      <c r="R653" s="15"/>
    </row>
    <row r="654">
      <c r="A654" s="15"/>
      <c r="B654" s="15"/>
      <c r="C654" s="15"/>
      <c r="D654" s="15"/>
      <c r="E654" s="15"/>
      <c r="F654" s="74"/>
      <c r="G654" s="74"/>
      <c r="H654" s="74"/>
      <c r="I654" s="74"/>
      <c r="J654" s="74"/>
      <c r="K654" s="15"/>
      <c r="L654" s="15"/>
      <c r="M654" s="15"/>
      <c r="N654" s="15"/>
      <c r="O654" s="15"/>
      <c r="P654" s="15"/>
      <c r="Q654" s="15"/>
      <c r="R654" s="15"/>
    </row>
    <row r="655">
      <c r="A655" s="15"/>
      <c r="B655" s="15"/>
      <c r="C655" s="15"/>
      <c r="D655" s="15"/>
      <c r="E655" s="15"/>
      <c r="F655" s="74"/>
      <c r="G655" s="74"/>
      <c r="H655" s="74"/>
      <c r="I655" s="74"/>
      <c r="J655" s="74"/>
      <c r="K655" s="15"/>
      <c r="L655" s="15"/>
      <c r="M655" s="15"/>
      <c r="N655" s="15"/>
      <c r="O655" s="15"/>
      <c r="P655" s="15"/>
      <c r="Q655" s="15"/>
      <c r="R655" s="15"/>
    </row>
    <row r="656">
      <c r="A656" s="15"/>
      <c r="B656" s="15"/>
      <c r="C656" s="15"/>
      <c r="D656" s="15"/>
      <c r="E656" s="15"/>
      <c r="F656" s="74"/>
      <c r="G656" s="74"/>
      <c r="H656" s="74"/>
      <c r="I656" s="74"/>
      <c r="J656" s="74"/>
      <c r="K656" s="15"/>
      <c r="L656" s="15"/>
      <c r="M656" s="15"/>
      <c r="N656" s="15"/>
      <c r="O656" s="15"/>
      <c r="P656" s="15"/>
      <c r="Q656" s="15"/>
      <c r="R656" s="15"/>
    </row>
    <row r="657">
      <c r="A657" s="15"/>
      <c r="B657" s="15"/>
      <c r="C657" s="15"/>
      <c r="D657" s="15"/>
      <c r="E657" s="15"/>
      <c r="F657" s="74"/>
      <c r="G657" s="74"/>
      <c r="H657" s="74"/>
      <c r="I657" s="74"/>
      <c r="J657" s="74"/>
      <c r="K657" s="15"/>
      <c r="L657" s="15"/>
      <c r="M657" s="15"/>
      <c r="N657" s="15"/>
      <c r="O657" s="15"/>
      <c r="P657" s="15"/>
      <c r="Q657" s="15"/>
      <c r="R657" s="15"/>
    </row>
    <row r="658">
      <c r="A658" s="15"/>
      <c r="B658" s="15"/>
      <c r="C658" s="15"/>
      <c r="D658" s="15"/>
      <c r="E658" s="15"/>
      <c r="F658" s="74"/>
      <c r="G658" s="74"/>
      <c r="H658" s="74"/>
      <c r="I658" s="74"/>
      <c r="J658" s="74"/>
      <c r="K658" s="15"/>
      <c r="L658" s="15"/>
      <c r="M658" s="15"/>
      <c r="N658" s="15"/>
      <c r="O658" s="15"/>
      <c r="P658" s="15"/>
      <c r="Q658" s="15"/>
      <c r="R658" s="15"/>
    </row>
    <row r="659">
      <c r="A659" s="15"/>
      <c r="B659" s="15"/>
      <c r="C659" s="15"/>
      <c r="D659" s="15"/>
      <c r="E659" s="15"/>
      <c r="F659" s="74"/>
      <c r="G659" s="74"/>
      <c r="H659" s="74"/>
      <c r="I659" s="74"/>
      <c r="J659" s="74"/>
      <c r="K659" s="15"/>
      <c r="L659" s="15"/>
      <c r="M659" s="15"/>
      <c r="N659" s="15"/>
      <c r="O659" s="15"/>
      <c r="P659" s="15"/>
      <c r="Q659" s="15"/>
      <c r="R659" s="15"/>
    </row>
    <row r="660">
      <c r="A660" s="15"/>
      <c r="B660" s="15"/>
      <c r="C660" s="15"/>
      <c r="D660" s="15"/>
      <c r="E660" s="15"/>
      <c r="F660" s="74"/>
      <c r="G660" s="74"/>
      <c r="H660" s="74"/>
      <c r="I660" s="74"/>
      <c r="J660" s="74"/>
      <c r="K660" s="15"/>
      <c r="L660" s="15"/>
      <c r="M660" s="15"/>
      <c r="N660" s="15"/>
      <c r="O660" s="15"/>
      <c r="P660" s="15"/>
      <c r="Q660" s="15"/>
      <c r="R660" s="15"/>
    </row>
    <row r="661">
      <c r="A661" s="15"/>
      <c r="B661" s="15"/>
      <c r="C661" s="15"/>
      <c r="D661" s="15"/>
      <c r="E661" s="15"/>
      <c r="F661" s="74"/>
      <c r="G661" s="74"/>
      <c r="H661" s="74"/>
      <c r="I661" s="74"/>
      <c r="J661" s="74"/>
      <c r="K661" s="15"/>
      <c r="L661" s="15"/>
      <c r="M661" s="15"/>
      <c r="N661" s="15"/>
      <c r="O661" s="15"/>
      <c r="P661" s="15"/>
      <c r="Q661" s="15"/>
      <c r="R661" s="15"/>
    </row>
    <row r="662">
      <c r="A662" s="15"/>
      <c r="B662" s="15"/>
      <c r="C662" s="15"/>
      <c r="D662" s="15"/>
      <c r="E662" s="15"/>
      <c r="F662" s="74"/>
      <c r="G662" s="74"/>
      <c r="H662" s="74"/>
      <c r="I662" s="74"/>
      <c r="J662" s="74"/>
      <c r="K662" s="15"/>
      <c r="L662" s="15"/>
      <c r="M662" s="15"/>
      <c r="N662" s="15"/>
      <c r="O662" s="15"/>
      <c r="P662" s="15"/>
      <c r="Q662" s="15"/>
      <c r="R662" s="15"/>
    </row>
    <row r="663">
      <c r="A663" s="15"/>
      <c r="B663" s="15"/>
      <c r="C663" s="15"/>
      <c r="D663" s="15"/>
      <c r="E663" s="15"/>
      <c r="F663" s="74"/>
      <c r="G663" s="74"/>
      <c r="H663" s="74"/>
      <c r="I663" s="74"/>
      <c r="J663" s="74"/>
      <c r="K663" s="15"/>
      <c r="L663" s="15"/>
      <c r="M663" s="15"/>
      <c r="N663" s="15"/>
      <c r="O663" s="15"/>
      <c r="P663" s="15"/>
      <c r="Q663" s="15"/>
      <c r="R663" s="15"/>
    </row>
    <row r="664">
      <c r="A664" s="15"/>
      <c r="B664" s="15"/>
      <c r="C664" s="15"/>
      <c r="D664" s="15"/>
      <c r="E664" s="15"/>
      <c r="F664" s="74"/>
      <c r="G664" s="74"/>
      <c r="H664" s="74"/>
      <c r="I664" s="74"/>
      <c r="J664" s="74"/>
      <c r="K664" s="15"/>
      <c r="L664" s="15"/>
      <c r="M664" s="15"/>
      <c r="N664" s="15"/>
      <c r="O664" s="15"/>
      <c r="P664" s="15"/>
      <c r="Q664" s="15"/>
      <c r="R664" s="15"/>
    </row>
    <row r="665">
      <c r="A665" s="15"/>
      <c r="B665" s="15"/>
      <c r="C665" s="15"/>
      <c r="D665" s="15"/>
      <c r="E665" s="15"/>
      <c r="F665" s="74"/>
      <c r="G665" s="74"/>
      <c r="H665" s="74"/>
      <c r="I665" s="74"/>
      <c r="J665" s="74"/>
      <c r="K665" s="15"/>
      <c r="L665" s="15"/>
      <c r="M665" s="15"/>
      <c r="N665" s="15"/>
      <c r="O665" s="15"/>
      <c r="P665" s="15"/>
      <c r="Q665" s="15"/>
      <c r="R665" s="15"/>
    </row>
    <row r="666">
      <c r="A666" s="15"/>
      <c r="B666" s="15"/>
      <c r="C666" s="15"/>
      <c r="D666" s="15"/>
      <c r="E666" s="15"/>
      <c r="F666" s="74"/>
      <c r="G666" s="74"/>
      <c r="H666" s="74"/>
      <c r="I666" s="74"/>
      <c r="J666" s="74"/>
      <c r="K666" s="15"/>
      <c r="L666" s="15"/>
      <c r="M666" s="15"/>
      <c r="N666" s="15"/>
      <c r="O666" s="15"/>
      <c r="P666" s="15"/>
      <c r="Q666" s="15"/>
      <c r="R666" s="15"/>
    </row>
    <row r="667">
      <c r="A667" s="15"/>
      <c r="B667" s="15"/>
      <c r="C667" s="15"/>
      <c r="D667" s="15"/>
      <c r="E667" s="15"/>
      <c r="F667" s="74"/>
      <c r="G667" s="74"/>
      <c r="H667" s="74"/>
      <c r="I667" s="74"/>
      <c r="J667" s="74"/>
      <c r="K667" s="15"/>
      <c r="L667" s="15"/>
      <c r="M667" s="15"/>
      <c r="N667" s="15"/>
      <c r="O667" s="15"/>
      <c r="P667" s="15"/>
      <c r="Q667" s="15"/>
      <c r="R667" s="15"/>
    </row>
    <row r="668">
      <c r="A668" s="15"/>
      <c r="B668" s="15"/>
      <c r="C668" s="15"/>
      <c r="D668" s="15"/>
      <c r="E668" s="15"/>
      <c r="F668" s="74"/>
      <c r="G668" s="74"/>
      <c r="H668" s="74"/>
      <c r="I668" s="74"/>
      <c r="J668" s="74"/>
      <c r="K668" s="15"/>
      <c r="L668" s="15"/>
      <c r="M668" s="15"/>
      <c r="N668" s="15"/>
      <c r="O668" s="15"/>
      <c r="P668" s="15"/>
      <c r="Q668" s="15"/>
      <c r="R668" s="15"/>
    </row>
    <row r="669">
      <c r="A669" s="15"/>
      <c r="B669" s="15"/>
      <c r="C669" s="15"/>
      <c r="D669" s="15"/>
      <c r="E669" s="15"/>
      <c r="F669" s="74"/>
      <c r="G669" s="74"/>
      <c r="H669" s="74"/>
      <c r="I669" s="74"/>
      <c r="J669" s="74"/>
      <c r="K669" s="15"/>
      <c r="L669" s="15"/>
      <c r="M669" s="15"/>
      <c r="N669" s="15"/>
      <c r="O669" s="15"/>
      <c r="P669" s="15"/>
      <c r="Q669" s="15"/>
      <c r="R669" s="15"/>
    </row>
    <row r="670">
      <c r="A670" s="15"/>
      <c r="B670" s="15"/>
      <c r="C670" s="15"/>
      <c r="D670" s="15"/>
      <c r="E670" s="15"/>
      <c r="F670" s="74"/>
      <c r="G670" s="74"/>
      <c r="H670" s="74"/>
      <c r="I670" s="74"/>
      <c r="J670" s="74"/>
      <c r="K670" s="15"/>
      <c r="L670" s="15"/>
      <c r="M670" s="15"/>
      <c r="N670" s="15"/>
      <c r="O670" s="15"/>
      <c r="P670" s="15"/>
      <c r="Q670" s="15"/>
      <c r="R670" s="15"/>
    </row>
    <row r="671">
      <c r="A671" s="15"/>
      <c r="B671" s="15"/>
      <c r="C671" s="15"/>
      <c r="D671" s="15"/>
      <c r="E671" s="15"/>
      <c r="F671" s="74"/>
      <c r="G671" s="74"/>
      <c r="H671" s="74"/>
      <c r="I671" s="74"/>
      <c r="J671" s="74"/>
      <c r="K671" s="15"/>
      <c r="L671" s="15"/>
      <c r="M671" s="15"/>
      <c r="N671" s="15"/>
      <c r="O671" s="15"/>
      <c r="P671" s="15"/>
      <c r="Q671" s="15"/>
      <c r="R671" s="15"/>
    </row>
    <row r="672">
      <c r="A672" s="15"/>
      <c r="B672" s="15"/>
      <c r="C672" s="15"/>
      <c r="D672" s="15"/>
      <c r="E672" s="15"/>
      <c r="F672" s="74"/>
      <c r="G672" s="74"/>
      <c r="H672" s="74"/>
      <c r="I672" s="74"/>
      <c r="J672" s="74"/>
      <c r="K672" s="15"/>
      <c r="L672" s="15"/>
      <c r="M672" s="15"/>
      <c r="N672" s="15"/>
      <c r="O672" s="15"/>
      <c r="P672" s="15"/>
      <c r="Q672" s="15"/>
      <c r="R672" s="15"/>
    </row>
    <row r="673">
      <c r="A673" s="15"/>
      <c r="B673" s="15"/>
      <c r="C673" s="15"/>
      <c r="D673" s="15"/>
      <c r="E673" s="15"/>
      <c r="F673" s="74"/>
      <c r="G673" s="74"/>
      <c r="H673" s="74"/>
      <c r="I673" s="74"/>
      <c r="J673" s="74"/>
      <c r="K673" s="15"/>
      <c r="L673" s="15"/>
      <c r="M673" s="15"/>
      <c r="N673" s="15"/>
      <c r="O673" s="15"/>
      <c r="P673" s="15"/>
      <c r="Q673" s="15"/>
      <c r="R673" s="15"/>
    </row>
    <row r="674">
      <c r="A674" s="15"/>
      <c r="B674" s="15"/>
      <c r="C674" s="15"/>
      <c r="D674" s="15"/>
      <c r="E674" s="15"/>
      <c r="F674" s="74"/>
      <c r="G674" s="74"/>
      <c r="H674" s="74"/>
      <c r="I674" s="74"/>
      <c r="J674" s="74"/>
      <c r="K674" s="15"/>
      <c r="L674" s="15"/>
      <c r="M674" s="15"/>
      <c r="N674" s="15"/>
      <c r="O674" s="15"/>
      <c r="P674" s="15"/>
      <c r="Q674" s="15"/>
      <c r="R674" s="15"/>
    </row>
    <row r="675">
      <c r="A675" s="15"/>
      <c r="B675" s="15"/>
      <c r="C675" s="15"/>
      <c r="D675" s="15"/>
      <c r="E675" s="15"/>
      <c r="F675" s="74"/>
      <c r="G675" s="74"/>
      <c r="H675" s="74"/>
      <c r="I675" s="74"/>
      <c r="J675" s="74"/>
      <c r="K675" s="15"/>
      <c r="L675" s="15"/>
      <c r="M675" s="15"/>
      <c r="N675" s="15"/>
      <c r="O675" s="15"/>
      <c r="P675" s="15"/>
      <c r="Q675" s="15"/>
      <c r="R675" s="15"/>
    </row>
    <row r="676">
      <c r="A676" s="15"/>
      <c r="B676" s="15"/>
      <c r="C676" s="15"/>
      <c r="D676" s="15"/>
      <c r="E676" s="15"/>
      <c r="F676" s="74"/>
      <c r="G676" s="74"/>
      <c r="H676" s="74"/>
      <c r="I676" s="74"/>
      <c r="J676" s="74"/>
      <c r="K676" s="15"/>
      <c r="L676" s="15"/>
      <c r="M676" s="15"/>
      <c r="N676" s="15"/>
      <c r="O676" s="15"/>
      <c r="P676" s="15"/>
      <c r="Q676" s="15"/>
      <c r="R676" s="15"/>
    </row>
    <row r="677">
      <c r="A677" s="15"/>
      <c r="B677" s="15"/>
      <c r="C677" s="15"/>
      <c r="D677" s="15"/>
      <c r="E677" s="15"/>
      <c r="F677" s="74"/>
      <c r="G677" s="74"/>
      <c r="H677" s="74"/>
      <c r="I677" s="74"/>
      <c r="J677" s="74"/>
      <c r="K677" s="15"/>
      <c r="L677" s="15"/>
      <c r="M677" s="15"/>
      <c r="N677" s="15"/>
      <c r="O677" s="15"/>
      <c r="P677" s="15"/>
      <c r="Q677" s="15"/>
      <c r="R677" s="15"/>
    </row>
    <row r="678">
      <c r="A678" s="15"/>
      <c r="B678" s="15"/>
      <c r="C678" s="15"/>
      <c r="D678" s="15"/>
      <c r="E678" s="15"/>
      <c r="F678" s="74"/>
      <c r="G678" s="74"/>
      <c r="H678" s="74"/>
      <c r="I678" s="74"/>
      <c r="J678" s="74"/>
      <c r="K678" s="15"/>
      <c r="L678" s="15"/>
      <c r="M678" s="15"/>
      <c r="N678" s="15"/>
      <c r="O678" s="15"/>
      <c r="P678" s="15"/>
      <c r="Q678" s="15"/>
      <c r="R678" s="15"/>
    </row>
    <row r="679">
      <c r="A679" s="15"/>
      <c r="B679" s="15"/>
      <c r="C679" s="15"/>
      <c r="D679" s="15"/>
      <c r="E679" s="15"/>
      <c r="F679" s="74"/>
      <c r="G679" s="74"/>
      <c r="H679" s="74"/>
      <c r="I679" s="74"/>
      <c r="J679" s="74"/>
      <c r="K679" s="15"/>
      <c r="L679" s="15"/>
      <c r="M679" s="15"/>
      <c r="N679" s="15"/>
      <c r="O679" s="15"/>
      <c r="P679" s="15"/>
      <c r="Q679" s="15"/>
      <c r="R679" s="15"/>
    </row>
    <row r="680">
      <c r="A680" s="15"/>
      <c r="B680" s="15"/>
      <c r="C680" s="15"/>
      <c r="D680" s="15"/>
      <c r="E680" s="15"/>
      <c r="F680" s="74"/>
      <c r="G680" s="74"/>
      <c r="H680" s="74"/>
      <c r="I680" s="74"/>
      <c r="J680" s="74"/>
      <c r="K680" s="15"/>
      <c r="L680" s="15"/>
      <c r="M680" s="15"/>
      <c r="N680" s="15"/>
      <c r="O680" s="15"/>
      <c r="P680" s="15"/>
      <c r="Q680" s="15"/>
      <c r="R680" s="15"/>
    </row>
    <row r="681">
      <c r="A681" s="15"/>
      <c r="B681" s="15"/>
      <c r="C681" s="15"/>
      <c r="D681" s="15"/>
      <c r="E681" s="15"/>
      <c r="F681" s="74"/>
      <c r="G681" s="74"/>
      <c r="H681" s="74"/>
      <c r="I681" s="74"/>
      <c r="J681" s="74"/>
      <c r="K681" s="15"/>
      <c r="L681" s="15"/>
      <c r="M681" s="15"/>
      <c r="N681" s="15"/>
      <c r="O681" s="15"/>
      <c r="P681" s="15"/>
      <c r="Q681" s="15"/>
      <c r="R681" s="15"/>
    </row>
    <row r="682">
      <c r="A682" s="15"/>
      <c r="B682" s="15"/>
      <c r="C682" s="15"/>
      <c r="D682" s="15"/>
      <c r="E682" s="15"/>
      <c r="F682" s="74"/>
      <c r="G682" s="74"/>
      <c r="H682" s="74"/>
      <c r="I682" s="74"/>
      <c r="J682" s="74"/>
      <c r="K682" s="15"/>
      <c r="L682" s="15"/>
      <c r="M682" s="15"/>
      <c r="N682" s="15"/>
      <c r="O682" s="15"/>
      <c r="P682" s="15"/>
      <c r="Q682" s="15"/>
      <c r="R682" s="15"/>
    </row>
    <row r="683">
      <c r="A683" s="15"/>
      <c r="B683" s="15"/>
      <c r="C683" s="15"/>
      <c r="D683" s="15"/>
      <c r="E683" s="15"/>
      <c r="F683" s="74"/>
      <c r="G683" s="74"/>
      <c r="H683" s="74"/>
      <c r="I683" s="74"/>
      <c r="J683" s="74"/>
      <c r="K683" s="15"/>
      <c r="L683" s="15"/>
      <c r="M683" s="15"/>
      <c r="N683" s="15"/>
      <c r="O683" s="15"/>
      <c r="P683" s="15"/>
      <c r="Q683" s="15"/>
      <c r="R683" s="15"/>
    </row>
    <row r="684">
      <c r="A684" s="15"/>
      <c r="B684" s="15"/>
      <c r="C684" s="15"/>
      <c r="D684" s="15"/>
      <c r="E684" s="15"/>
      <c r="F684" s="74"/>
      <c r="G684" s="74"/>
      <c r="H684" s="74"/>
      <c r="I684" s="74"/>
      <c r="J684" s="74"/>
      <c r="K684" s="15"/>
      <c r="L684" s="15"/>
      <c r="M684" s="15"/>
      <c r="N684" s="15"/>
      <c r="O684" s="15"/>
      <c r="P684" s="15"/>
      <c r="Q684" s="15"/>
      <c r="R684" s="15"/>
    </row>
    <row r="685">
      <c r="A685" s="15"/>
      <c r="B685" s="15"/>
      <c r="C685" s="15"/>
      <c r="D685" s="15"/>
      <c r="E685" s="15"/>
      <c r="F685" s="74"/>
      <c r="G685" s="74"/>
      <c r="H685" s="74"/>
      <c r="I685" s="74"/>
      <c r="J685" s="74"/>
      <c r="K685" s="15"/>
      <c r="L685" s="15"/>
      <c r="M685" s="15"/>
      <c r="N685" s="15"/>
      <c r="O685" s="15"/>
      <c r="P685" s="15"/>
      <c r="Q685" s="15"/>
      <c r="R685" s="15"/>
    </row>
    <row r="686">
      <c r="A686" s="15"/>
      <c r="B686" s="15"/>
      <c r="C686" s="15"/>
      <c r="D686" s="15"/>
      <c r="E686" s="15"/>
      <c r="F686" s="74"/>
      <c r="G686" s="74"/>
      <c r="H686" s="74"/>
      <c r="I686" s="74"/>
      <c r="J686" s="74"/>
      <c r="K686" s="15"/>
      <c r="L686" s="15"/>
      <c r="M686" s="15"/>
      <c r="N686" s="15"/>
      <c r="O686" s="15"/>
      <c r="P686" s="15"/>
      <c r="Q686" s="15"/>
      <c r="R686" s="15"/>
    </row>
    <row r="687">
      <c r="A687" s="15"/>
      <c r="B687" s="15"/>
      <c r="C687" s="15"/>
      <c r="D687" s="15"/>
      <c r="E687" s="15"/>
      <c r="F687" s="74"/>
      <c r="G687" s="74"/>
      <c r="H687" s="74"/>
      <c r="I687" s="74"/>
      <c r="J687" s="74"/>
      <c r="K687" s="15"/>
      <c r="L687" s="15"/>
      <c r="M687" s="15"/>
      <c r="N687" s="15"/>
      <c r="O687" s="15"/>
      <c r="P687" s="15"/>
      <c r="Q687" s="15"/>
      <c r="R687" s="15"/>
    </row>
    <row r="688">
      <c r="A688" s="15"/>
      <c r="B688" s="15"/>
      <c r="C688" s="15"/>
      <c r="D688" s="15"/>
      <c r="E688" s="15"/>
      <c r="F688" s="74"/>
      <c r="G688" s="74"/>
      <c r="H688" s="74"/>
      <c r="I688" s="74"/>
      <c r="J688" s="74"/>
      <c r="K688" s="15"/>
      <c r="L688" s="15"/>
      <c r="M688" s="15"/>
      <c r="N688" s="15"/>
      <c r="O688" s="15"/>
      <c r="P688" s="15"/>
      <c r="Q688" s="15"/>
      <c r="R688" s="15"/>
    </row>
    <row r="689">
      <c r="A689" s="15"/>
      <c r="B689" s="15"/>
      <c r="C689" s="15"/>
      <c r="D689" s="15"/>
      <c r="E689" s="15"/>
      <c r="F689" s="74"/>
      <c r="G689" s="74"/>
      <c r="H689" s="74"/>
      <c r="I689" s="74"/>
      <c r="J689" s="74"/>
      <c r="K689" s="15"/>
      <c r="L689" s="15"/>
      <c r="M689" s="15"/>
      <c r="N689" s="15"/>
      <c r="O689" s="15"/>
      <c r="P689" s="15"/>
      <c r="Q689" s="15"/>
      <c r="R689" s="15"/>
    </row>
    <row r="690">
      <c r="A690" s="15"/>
      <c r="B690" s="15"/>
      <c r="C690" s="15"/>
      <c r="D690" s="15"/>
      <c r="E690" s="15"/>
      <c r="F690" s="74"/>
      <c r="G690" s="74"/>
      <c r="H690" s="74"/>
      <c r="I690" s="74"/>
      <c r="J690" s="74"/>
      <c r="K690" s="15"/>
      <c r="L690" s="15"/>
      <c r="M690" s="15"/>
      <c r="N690" s="15"/>
      <c r="O690" s="15"/>
      <c r="P690" s="15"/>
      <c r="Q690" s="15"/>
      <c r="R690" s="15"/>
    </row>
    <row r="691">
      <c r="A691" s="15"/>
      <c r="B691" s="15"/>
      <c r="C691" s="15"/>
      <c r="D691" s="15"/>
      <c r="E691" s="15"/>
      <c r="F691" s="74"/>
      <c r="G691" s="74"/>
      <c r="H691" s="74"/>
      <c r="I691" s="74"/>
      <c r="J691" s="74"/>
      <c r="K691" s="15"/>
      <c r="L691" s="15"/>
      <c r="M691" s="15"/>
      <c r="N691" s="15"/>
      <c r="O691" s="15"/>
      <c r="P691" s="15"/>
      <c r="Q691" s="15"/>
      <c r="R691" s="15"/>
    </row>
    <row r="692">
      <c r="A692" s="15"/>
      <c r="B692" s="15"/>
      <c r="C692" s="15"/>
      <c r="D692" s="15"/>
      <c r="E692" s="15"/>
      <c r="F692" s="74"/>
      <c r="G692" s="74"/>
      <c r="H692" s="74"/>
      <c r="I692" s="74"/>
      <c r="J692" s="74"/>
      <c r="K692" s="15"/>
      <c r="L692" s="15"/>
      <c r="M692" s="15"/>
      <c r="N692" s="15"/>
      <c r="O692" s="15"/>
      <c r="P692" s="15"/>
      <c r="Q692" s="15"/>
      <c r="R692" s="15"/>
    </row>
    <row r="693">
      <c r="A693" s="15"/>
      <c r="B693" s="15"/>
      <c r="C693" s="15"/>
      <c r="D693" s="15"/>
      <c r="E693" s="15"/>
      <c r="F693" s="74"/>
      <c r="G693" s="74"/>
      <c r="H693" s="74"/>
      <c r="I693" s="74"/>
      <c r="J693" s="74"/>
      <c r="K693" s="15"/>
      <c r="L693" s="15"/>
      <c r="M693" s="15"/>
      <c r="N693" s="15"/>
      <c r="O693" s="15"/>
      <c r="P693" s="15"/>
      <c r="Q693" s="15"/>
      <c r="R693" s="15"/>
    </row>
    <row r="694">
      <c r="A694" s="15"/>
      <c r="B694" s="15"/>
      <c r="C694" s="15"/>
      <c r="D694" s="15"/>
      <c r="E694" s="15"/>
      <c r="F694" s="74"/>
      <c r="G694" s="74"/>
      <c r="H694" s="74"/>
      <c r="I694" s="74"/>
      <c r="J694" s="74"/>
      <c r="K694" s="15"/>
      <c r="L694" s="15"/>
      <c r="M694" s="15"/>
      <c r="N694" s="15"/>
      <c r="O694" s="15"/>
      <c r="P694" s="15"/>
      <c r="Q694" s="15"/>
      <c r="R694" s="15"/>
    </row>
    <row r="695">
      <c r="A695" s="15"/>
      <c r="B695" s="15"/>
      <c r="C695" s="15"/>
      <c r="D695" s="15"/>
      <c r="E695" s="15"/>
      <c r="F695" s="74"/>
      <c r="G695" s="74"/>
      <c r="H695" s="74"/>
      <c r="I695" s="74"/>
      <c r="J695" s="74"/>
      <c r="K695" s="15"/>
      <c r="L695" s="15"/>
      <c r="M695" s="15"/>
      <c r="N695" s="15"/>
      <c r="O695" s="15"/>
      <c r="P695" s="15"/>
      <c r="Q695" s="15"/>
      <c r="R695" s="15"/>
    </row>
    <row r="696">
      <c r="A696" s="15"/>
      <c r="B696" s="15"/>
      <c r="C696" s="15"/>
      <c r="D696" s="15"/>
      <c r="E696" s="15"/>
      <c r="F696" s="74"/>
      <c r="G696" s="74"/>
      <c r="H696" s="74"/>
      <c r="I696" s="74"/>
      <c r="J696" s="74"/>
      <c r="K696" s="15"/>
      <c r="L696" s="15"/>
      <c r="M696" s="15"/>
      <c r="N696" s="15"/>
      <c r="O696" s="15"/>
      <c r="P696" s="15"/>
      <c r="Q696" s="15"/>
      <c r="R696" s="15"/>
    </row>
    <row r="697">
      <c r="A697" s="15"/>
      <c r="B697" s="15"/>
      <c r="C697" s="15"/>
      <c r="D697" s="15"/>
      <c r="E697" s="15"/>
      <c r="F697" s="74"/>
      <c r="G697" s="74"/>
      <c r="H697" s="74"/>
      <c r="I697" s="74"/>
      <c r="J697" s="74"/>
      <c r="K697" s="15"/>
      <c r="L697" s="15"/>
      <c r="M697" s="15"/>
      <c r="N697" s="15"/>
      <c r="O697" s="15"/>
      <c r="P697" s="15"/>
      <c r="Q697" s="15"/>
      <c r="R697" s="15"/>
    </row>
    <row r="698">
      <c r="A698" s="15"/>
      <c r="B698" s="15"/>
      <c r="C698" s="15"/>
      <c r="D698" s="15"/>
      <c r="E698" s="15"/>
      <c r="F698" s="74"/>
      <c r="G698" s="74"/>
      <c r="H698" s="74"/>
      <c r="I698" s="74"/>
      <c r="J698" s="74"/>
      <c r="K698" s="15"/>
      <c r="L698" s="15"/>
      <c r="M698" s="15"/>
      <c r="N698" s="15"/>
      <c r="O698" s="15"/>
      <c r="P698" s="15"/>
      <c r="Q698" s="15"/>
      <c r="R698" s="15"/>
    </row>
    <row r="699">
      <c r="A699" s="15"/>
      <c r="B699" s="15"/>
      <c r="C699" s="15"/>
      <c r="D699" s="15"/>
      <c r="E699" s="15"/>
      <c r="F699" s="74"/>
      <c r="G699" s="74"/>
      <c r="H699" s="74"/>
      <c r="I699" s="74"/>
      <c r="J699" s="74"/>
      <c r="K699" s="15"/>
      <c r="L699" s="15"/>
      <c r="M699" s="15"/>
      <c r="N699" s="15"/>
      <c r="O699" s="15"/>
      <c r="P699" s="15"/>
      <c r="Q699" s="15"/>
      <c r="R699" s="15"/>
    </row>
    <row r="700">
      <c r="A700" s="15"/>
      <c r="B700" s="15"/>
      <c r="C700" s="15"/>
      <c r="D700" s="15"/>
      <c r="E700" s="15"/>
      <c r="F700" s="74"/>
      <c r="G700" s="74"/>
      <c r="H700" s="74"/>
      <c r="I700" s="74"/>
      <c r="J700" s="74"/>
      <c r="K700" s="15"/>
      <c r="L700" s="15"/>
      <c r="M700" s="15"/>
      <c r="N700" s="15"/>
      <c r="O700" s="15"/>
      <c r="P700" s="15"/>
      <c r="Q700" s="15"/>
      <c r="R700" s="15"/>
    </row>
    <row r="701">
      <c r="A701" s="15"/>
      <c r="B701" s="15"/>
      <c r="C701" s="15"/>
      <c r="D701" s="15"/>
      <c r="E701" s="15"/>
      <c r="F701" s="74"/>
      <c r="G701" s="74"/>
      <c r="H701" s="74"/>
      <c r="I701" s="74"/>
      <c r="J701" s="74"/>
      <c r="K701" s="15"/>
      <c r="L701" s="15"/>
      <c r="M701" s="15"/>
      <c r="N701" s="15"/>
      <c r="O701" s="15"/>
      <c r="P701" s="15"/>
      <c r="Q701" s="15"/>
      <c r="R701" s="15"/>
    </row>
    <row r="702">
      <c r="A702" s="15"/>
      <c r="B702" s="15"/>
      <c r="C702" s="15"/>
      <c r="D702" s="15"/>
      <c r="E702" s="15"/>
      <c r="F702" s="74"/>
      <c r="G702" s="74"/>
      <c r="H702" s="74"/>
      <c r="I702" s="74"/>
      <c r="J702" s="74"/>
      <c r="K702" s="15"/>
      <c r="L702" s="15"/>
      <c r="M702" s="15"/>
      <c r="N702" s="15"/>
      <c r="O702" s="15"/>
      <c r="P702" s="15"/>
      <c r="Q702" s="15"/>
      <c r="R702" s="15"/>
    </row>
    <row r="703">
      <c r="A703" s="15"/>
      <c r="B703" s="15"/>
      <c r="C703" s="15"/>
      <c r="D703" s="15"/>
      <c r="E703" s="15"/>
      <c r="F703" s="74"/>
      <c r="G703" s="74"/>
      <c r="H703" s="74"/>
      <c r="I703" s="74"/>
      <c r="J703" s="74"/>
      <c r="K703" s="15"/>
      <c r="L703" s="15"/>
      <c r="M703" s="15"/>
      <c r="N703" s="15"/>
      <c r="O703" s="15"/>
      <c r="P703" s="15"/>
      <c r="Q703" s="15"/>
      <c r="R703" s="15"/>
    </row>
    <row r="704">
      <c r="A704" s="15"/>
      <c r="B704" s="15"/>
      <c r="C704" s="15"/>
      <c r="D704" s="15"/>
      <c r="E704" s="15"/>
      <c r="F704" s="74"/>
      <c r="G704" s="74"/>
      <c r="H704" s="74"/>
      <c r="I704" s="74"/>
      <c r="J704" s="74"/>
      <c r="K704" s="15"/>
      <c r="L704" s="15"/>
      <c r="M704" s="15"/>
      <c r="N704" s="15"/>
      <c r="O704" s="15"/>
      <c r="P704" s="15"/>
      <c r="Q704" s="15"/>
      <c r="R704" s="15"/>
    </row>
    <row r="705">
      <c r="A705" s="15"/>
      <c r="B705" s="15"/>
      <c r="C705" s="15"/>
      <c r="D705" s="15"/>
      <c r="E705" s="15"/>
      <c r="F705" s="74"/>
      <c r="G705" s="74"/>
      <c r="H705" s="74"/>
      <c r="I705" s="74"/>
      <c r="J705" s="74"/>
      <c r="K705" s="15"/>
      <c r="L705" s="15"/>
      <c r="M705" s="15"/>
      <c r="N705" s="15"/>
      <c r="O705" s="15"/>
      <c r="P705" s="15"/>
      <c r="Q705" s="15"/>
      <c r="R705" s="15"/>
    </row>
    <row r="706">
      <c r="A706" s="15"/>
      <c r="B706" s="15"/>
      <c r="C706" s="15"/>
      <c r="D706" s="15"/>
      <c r="E706" s="15"/>
      <c r="F706" s="74"/>
      <c r="G706" s="74"/>
      <c r="H706" s="74"/>
      <c r="I706" s="74"/>
      <c r="J706" s="74"/>
      <c r="K706" s="15"/>
      <c r="L706" s="15"/>
      <c r="M706" s="15"/>
      <c r="N706" s="15"/>
      <c r="O706" s="15"/>
      <c r="P706" s="15"/>
      <c r="Q706" s="15"/>
      <c r="R706" s="15"/>
    </row>
    <row r="707">
      <c r="A707" s="15"/>
      <c r="B707" s="15"/>
      <c r="C707" s="15"/>
      <c r="D707" s="15"/>
      <c r="E707" s="15"/>
      <c r="F707" s="74"/>
      <c r="G707" s="74"/>
      <c r="H707" s="74"/>
      <c r="I707" s="74"/>
      <c r="J707" s="74"/>
      <c r="K707" s="15"/>
      <c r="L707" s="15"/>
      <c r="M707" s="15"/>
      <c r="N707" s="15"/>
      <c r="O707" s="15"/>
      <c r="P707" s="15"/>
      <c r="Q707" s="15"/>
      <c r="R707" s="15"/>
    </row>
    <row r="708">
      <c r="A708" s="15"/>
      <c r="B708" s="15"/>
      <c r="C708" s="15"/>
      <c r="D708" s="15"/>
      <c r="E708" s="15"/>
      <c r="F708" s="74"/>
      <c r="G708" s="74"/>
      <c r="H708" s="74"/>
      <c r="I708" s="74"/>
      <c r="J708" s="74"/>
      <c r="K708" s="15"/>
      <c r="L708" s="15"/>
      <c r="M708" s="15"/>
      <c r="N708" s="15"/>
      <c r="O708" s="15"/>
      <c r="P708" s="15"/>
      <c r="Q708" s="15"/>
      <c r="R708" s="15"/>
    </row>
    <row r="709">
      <c r="A709" s="15"/>
      <c r="B709" s="15"/>
      <c r="C709" s="15"/>
      <c r="D709" s="15"/>
      <c r="E709" s="15"/>
      <c r="F709" s="74"/>
      <c r="G709" s="74"/>
      <c r="H709" s="74"/>
      <c r="I709" s="74"/>
      <c r="J709" s="74"/>
      <c r="K709" s="15"/>
      <c r="L709" s="15"/>
      <c r="M709" s="15"/>
      <c r="N709" s="15"/>
      <c r="O709" s="15"/>
      <c r="P709" s="15"/>
      <c r="Q709" s="15"/>
      <c r="R709" s="15"/>
    </row>
    <row r="710">
      <c r="A710" s="15"/>
      <c r="B710" s="15"/>
      <c r="C710" s="15"/>
      <c r="D710" s="15"/>
      <c r="E710" s="15"/>
      <c r="F710" s="74"/>
      <c r="G710" s="74"/>
      <c r="H710" s="74"/>
      <c r="I710" s="74"/>
      <c r="J710" s="74"/>
      <c r="K710" s="15"/>
      <c r="L710" s="15"/>
      <c r="M710" s="15"/>
      <c r="N710" s="15"/>
      <c r="O710" s="15"/>
      <c r="P710" s="15"/>
      <c r="Q710" s="15"/>
      <c r="R710" s="15"/>
    </row>
    <row r="711">
      <c r="A711" s="15"/>
      <c r="B711" s="15"/>
      <c r="C711" s="15"/>
      <c r="D711" s="15"/>
      <c r="E711" s="15"/>
      <c r="F711" s="74"/>
      <c r="G711" s="74"/>
      <c r="H711" s="74"/>
      <c r="I711" s="74"/>
      <c r="J711" s="74"/>
      <c r="K711" s="15"/>
      <c r="L711" s="15"/>
      <c r="M711" s="15"/>
      <c r="N711" s="15"/>
      <c r="O711" s="15"/>
      <c r="P711" s="15"/>
      <c r="Q711" s="15"/>
      <c r="R711" s="15"/>
    </row>
    <row r="712">
      <c r="A712" s="15"/>
      <c r="B712" s="15"/>
      <c r="C712" s="15"/>
      <c r="D712" s="15"/>
      <c r="E712" s="15"/>
      <c r="F712" s="74"/>
      <c r="G712" s="74"/>
      <c r="H712" s="74"/>
      <c r="I712" s="74"/>
      <c r="J712" s="74"/>
      <c r="K712" s="15"/>
      <c r="L712" s="15"/>
      <c r="M712" s="15"/>
      <c r="N712" s="15"/>
      <c r="O712" s="15"/>
      <c r="P712" s="15"/>
      <c r="Q712" s="15"/>
      <c r="R712" s="15"/>
    </row>
    <row r="713">
      <c r="A713" s="15"/>
      <c r="B713" s="15"/>
      <c r="C713" s="15"/>
      <c r="D713" s="15"/>
      <c r="E713" s="15"/>
      <c r="F713" s="74"/>
      <c r="G713" s="74"/>
      <c r="H713" s="74"/>
      <c r="I713" s="74"/>
      <c r="J713" s="74"/>
      <c r="K713" s="15"/>
      <c r="L713" s="15"/>
      <c r="M713" s="15"/>
      <c r="N713" s="15"/>
      <c r="O713" s="15"/>
      <c r="P713" s="15"/>
      <c r="Q713" s="15"/>
      <c r="R713" s="15"/>
    </row>
    <row r="714">
      <c r="A714" s="15"/>
      <c r="B714" s="15"/>
      <c r="C714" s="15"/>
      <c r="D714" s="15"/>
      <c r="E714" s="15"/>
      <c r="F714" s="74"/>
      <c r="G714" s="74"/>
      <c r="H714" s="74"/>
      <c r="I714" s="74"/>
      <c r="J714" s="74"/>
      <c r="K714" s="15"/>
      <c r="L714" s="15"/>
      <c r="M714" s="15"/>
      <c r="N714" s="15"/>
      <c r="O714" s="15"/>
      <c r="P714" s="15"/>
      <c r="Q714" s="15"/>
      <c r="R714" s="15"/>
    </row>
    <row r="715">
      <c r="A715" s="15"/>
      <c r="B715" s="15"/>
      <c r="C715" s="15"/>
      <c r="D715" s="15"/>
      <c r="E715" s="15"/>
      <c r="F715" s="74"/>
      <c r="G715" s="74"/>
      <c r="H715" s="74"/>
      <c r="I715" s="74"/>
      <c r="J715" s="74"/>
      <c r="K715" s="15"/>
      <c r="L715" s="15"/>
      <c r="M715" s="15"/>
      <c r="N715" s="15"/>
      <c r="O715" s="15"/>
      <c r="P715" s="15"/>
      <c r="Q715" s="15"/>
      <c r="R715" s="15"/>
    </row>
    <row r="716">
      <c r="A716" s="15"/>
      <c r="B716" s="15"/>
      <c r="C716" s="15"/>
      <c r="D716" s="15"/>
      <c r="E716" s="15"/>
      <c r="F716" s="74"/>
      <c r="G716" s="74"/>
      <c r="H716" s="74"/>
      <c r="I716" s="74"/>
      <c r="J716" s="74"/>
      <c r="K716" s="15"/>
      <c r="L716" s="15"/>
      <c r="M716" s="15"/>
      <c r="N716" s="15"/>
      <c r="O716" s="15"/>
      <c r="P716" s="15"/>
      <c r="Q716" s="15"/>
      <c r="R716" s="15"/>
    </row>
    <row r="717">
      <c r="A717" s="15"/>
      <c r="B717" s="15"/>
      <c r="C717" s="15"/>
      <c r="D717" s="15"/>
      <c r="E717" s="15"/>
      <c r="F717" s="74"/>
      <c r="G717" s="74"/>
      <c r="H717" s="74"/>
      <c r="I717" s="74"/>
      <c r="J717" s="74"/>
      <c r="K717" s="15"/>
      <c r="L717" s="15"/>
      <c r="M717" s="15"/>
      <c r="N717" s="15"/>
      <c r="O717" s="15"/>
      <c r="P717" s="15"/>
      <c r="Q717" s="15"/>
      <c r="R717" s="15"/>
    </row>
    <row r="718">
      <c r="A718" s="15"/>
      <c r="B718" s="15"/>
      <c r="C718" s="15"/>
      <c r="D718" s="15"/>
      <c r="E718" s="15"/>
      <c r="F718" s="74"/>
      <c r="G718" s="74"/>
      <c r="H718" s="74"/>
      <c r="I718" s="74"/>
      <c r="J718" s="74"/>
      <c r="K718" s="15"/>
      <c r="L718" s="15"/>
      <c r="M718" s="15"/>
      <c r="N718" s="15"/>
      <c r="O718" s="15"/>
      <c r="P718" s="15"/>
      <c r="Q718" s="15"/>
      <c r="R718" s="15"/>
    </row>
    <row r="719">
      <c r="A719" s="15"/>
      <c r="B719" s="15"/>
      <c r="C719" s="15"/>
      <c r="D719" s="15"/>
      <c r="E719" s="15"/>
      <c r="F719" s="74"/>
      <c r="G719" s="74"/>
      <c r="H719" s="74"/>
      <c r="I719" s="74"/>
      <c r="J719" s="74"/>
      <c r="K719" s="15"/>
      <c r="L719" s="15"/>
      <c r="M719" s="15"/>
      <c r="N719" s="15"/>
      <c r="O719" s="15"/>
      <c r="P719" s="15"/>
      <c r="Q719" s="15"/>
      <c r="R719" s="15"/>
    </row>
    <row r="720">
      <c r="A720" s="15"/>
      <c r="B720" s="15"/>
      <c r="C720" s="15"/>
      <c r="D720" s="15"/>
      <c r="E720" s="15"/>
      <c r="F720" s="74"/>
      <c r="G720" s="74"/>
      <c r="H720" s="74"/>
      <c r="I720" s="74"/>
      <c r="J720" s="74"/>
      <c r="K720" s="15"/>
      <c r="L720" s="15"/>
      <c r="M720" s="15"/>
      <c r="N720" s="15"/>
      <c r="O720" s="15"/>
      <c r="P720" s="15"/>
      <c r="Q720" s="15"/>
      <c r="R720" s="15"/>
    </row>
    <row r="721">
      <c r="A721" s="15"/>
      <c r="B721" s="15"/>
      <c r="C721" s="15"/>
      <c r="D721" s="15"/>
      <c r="E721" s="15"/>
      <c r="F721" s="74"/>
      <c r="G721" s="74"/>
      <c r="H721" s="74"/>
      <c r="I721" s="74"/>
      <c r="J721" s="74"/>
      <c r="K721" s="15"/>
      <c r="L721" s="15"/>
      <c r="M721" s="15"/>
      <c r="N721" s="15"/>
      <c r="O721" s="15"/>
      <c r="P721" s="15"/>
      <c r="Q721" s="15"/>
      <c r="R721" s="15"/>
    </row>
    <row r="722">
      <c r="A722" s="15"/>
      <c r="B722" s="15"/>
      <c r="C722" s="15"/>
      <c r="D722" s="15"/>
      <c r="E722" s="15"/>
      <c r="F722" s="74"/>
      <c r="G722" s="74"/>
      <c r="H722" s="74"/>
      <c r="I722" s="74"/>
      <c r="J722" s="74"/>
      <c r="K722" s="15"/>
      <c r="L722" s="15"/>
      <c r="M722" s="15"/>
      <c r="N722" s="15"/>
      <c r="O722" s="15"/>
      <c r="P722" s="15"/>
      <c r="Q722" s="15"/>
      <c r="R722" s="15"/>
    </row>
    <row r="723">
      <c r="A723" s="15"/>
      <c r="B723" s="15"/>
      <c r="C723" s="15"/>
      <c r="D723" s="15"/>
      <c r="E723" s="15"/>
      <c r="F723" s="74"/>
      <c r="G723" s="74"/>
      <c r="H723" s="74"/>
      <c r="I723" s="74"/>
      <c r="J723" s="74"/>
      <c r="K723" s="15"/>
      <c r="L723" s="15"/>
      <c r="M723" s="15"/>
      <c r="N723" s="15"/>
      <c r="O723" s="15"/>
      <c r="P723" s="15"/>
      <c r="Q723" s="15"/>
      <c r="R723" s="15"/>
    </row>
    <row r="724">
      <c r="A724" s="15"/>
      <c r="B724" s="15"/>
      <c r="C724" s="15"/>
      <c r="D724" s="15"/>
      <c r="E724" s="15"/>
      <c r="F724" s="74"/>
      <c r="G724" s="74"/>
      <c r="H724" s="74"/>
      <c r="I724" s="74"/>
      <c r="J724" s="74"/>
      <c r="K724" s="15"/>
      <c r="L724" s="15"/>
      <c r="M724" s="15"/>
      <c r="N724" s="15"/>
      <c r="O724" s="15"/>
      <c r="P724" s="15"/>
      <c r="Q724" s="15"/>
      <c r="R724" s="15"/>
    </row>
    <row r="725">
      <c r="A725" s="15"/>
      <c r="B725" s="15"/>
      <c r="C725" s="15"/>
      <c r="D725" s="15"/>
      <c r="E725" s="15"/>
      <c r="F725" s="74"/>
      <c r="G725" s="74"/>
      <c r="H725" s="74"/>
      <c r="I725" s="74"/>
      <c r="J725" s="74"/>
      <c r="K725" s="15"/>
      <c r="L725" s="15"/>
      <c r="M725" s="15"/>
      <c r="N725" s="15"/>
      <c r="O725" s="15"/>
      <c r="P725" s="15"/>
      <c r="Q725" s="15"/>
      <c r="R725" s="15"/>
    </row>
    <row r="726">
      <c r="A726" s="15"/>
      <c r="B726" s="15"/>
      <c r="C726" s="15"/>
      <c r="D726" s="15"/>
      <c r="E726" s="15"/>
      <c r="F726" s="74"/>
      <c r="G726" s="74"/>
      <c r="H726" s="74"/>
      <c r="I726" s="74"/>
      <c r="J726" s="74"/>
      <c r="K726" s="15"/>
      <c r="L726" s="15"/>
      <c r="M726" s="15"/>
      <c r="N726" s="15"/>
      <c r="O726" s="15"/>
      <c r="P726" s="15"/>
      <c r="Q726" s="15"/>
      <c r="R726" s="15"/>
    </row>
    <row r="727">
      <c r="A727" s="15"/>
      <c r="B727" s="15"/>
      <c r="C727" s="15"/>
      <c r="D727" s="15"/>
      <c r="E727" s="15"/>
      <c r="F727" s="74"/>
      <c r="G727" s="74"/>
      <c r="H727" s="74"/>
      <c r="I727" s="74"/>
      <c r="J727" s="74"/>
      <c r="K727" s="15"/>
      <c r="L727" s="15"/>
      <c r="M727" s="15"/>
      <c r="N727" s="15"/>
      <c r="O727" s="15"/>
      <c r="P727" s="15"/>
      <c r="Q727" s="15"/>
      <c r="R727" s="15"/>
    </row>
    <row r="728">
      <c r="A728" s="15"/>
      <c r="B728" s="15"/>
      <c r="C728" s="15"/>
      <c r="D728" s="15"/>
      <c r="E728" s="15"/>
      <c r="F728" s="74"/>
      <c r="G728" s="74"/>
      <c r="H728" s="74"/>
      <c r="I728" s="74"/>
      <c r="J728" s="74"/>
      <c r="K728" s="15"/>
      <c r="L728" s="15"/>
      <c r="M728" s="15"/>
      <c r="N728" s="15"/>
      <c r="O728" s="15"/>
      <c r="P728" s="15"/>
      <c r="Q728" s="15"/>
      <c r="R728" s="15"/>
    </row>
    <row r="729">
      <c r="A729" s="15"/>
      <c r="B729" s="15"/>
      <c r="C729" s="15"/>
      <c r="D729" s="15"/>
      <c r="E729" s="15"/>
      <c r="F729" s="74"/>
      <c r="G729" s="74"/>
      <c r="H729" s="74"/>
      <c r="I729" s="74"/>
      <c r="J729" s="74"/>
      <c r="K729" s="15"/>
      <c r="L729" s="15"/>
      <c r="M729" s="15"/>
      <c r="N729" s="15"/>
      <c r="O729" s="15"/>
      <c r="P729" s="15"/>
      <c r="Q729" s="15"/>
      <c r="R729" s="15"/>
    </row>
    <row r="730">
      <c r="A730" s="15"/>
      <c r="B730" s="15"/>
      <c r="C730" s="15"/>
      <c r="D730" s="15"/>
      <c r="E730" s="15"/>
      <c r="F730" s="74"/>
      <c r="G730" s="74"/>
      <c r="H730" s="74"/>
      <c r="I730" s="74"/>
      <c r="J730" s="74"/>
      <c r="K730" s="15"/>
      <c r="L730" s="15"/>
      <c r="M730" s="15"/>
      <c r="N730" s="15"/>
      <c r="O730" s="15"/>
      <c r="P730" s="15"/>
      <c r="Q730" s="15"/>
      <c r="R730" s="15"/>
    </row>
    <row r="731">
      <c r="A731" s="15"/>
      <c r="B731" s="15"/>
      <c r="C731" s="15"/>
      <c r="D731" s="15"/>
      <c r="E731" s="15"/>
      <c r="F731" s="74"/>
      <c r="G731" s="74"/>
      <c r="H731" s="74"/>
      <c r="I731" s="74"/>
      <c r="J731" s="74"/>
      <c r="K731" s="15"/>
      <c r="L731" s="15"/>
      <c r="M731" s="15"/>
      <c r="N731" s="15"/>
      <c r="O731" s="15"/>
      <c r="P731" s="15"/>
      <c r="Q731" s="15"/>
      <c r="R731" s="15"/>
    </row>
    <row r="732">
      <c r="A732" s="15"/>
      <c r="B732" s="15"/>
      <c r="C732" s="15"/>
      <c r="D732" s="15"/>
      <c r="E732" s="15"/>
      <c r="F732" s="74"/>
      <c r="G732" s="74"/>
      <c r="H732" s="74"/>
      <c r="I732" s="74"/>
      <c r="J732" s="74"/>
      <c r="K732" s="15"/>
      <c r="L732" s="15"/>
      <c r="M732" s="15"/>
      <c r="N732" s="15"/>
      <c r="O732" s="15"/>
      <c r="P732" s="15"/>
      <c r="Q732" s="15"/>
      <c r="R732" s="15"/>
    </row>
    <row r="733">
      <c r="A733" s="15"/>
      <c r="B733" s="15"/>
      <c r="C733" s="15"/>
      <c r="D733" s="15"/>
      <c r="E733" s="15"/>
      <c r="F733" s="74"/>
      <c r="G733" s="74"/>
      <c r="H733" s="74"/>
      <c r="I733" s="74"/>
      <c r="J733" s="74"/>
      <c r="K733" s="15"/>
      <c r="L733" s="15"/>
      <c r="M733" s="15"/>
      <c r="N733" s="15"/>
      <c r="O733" s="15"/>
      <c r="P733" s="15"/>
      <c r="Q733" s="15"/>
      <c r="R733" s="15"/>
    </row>
    <row r="734">
      <c r="A734" s="15"/>
      <c r="B734" s="15"/>
      <c r="C734" s="15"/>
      <c r="D734" s="15"/>
      <c r="E734" s="15"/>
      <c r="F734" s="74"/>
      <c r="G734" s="74"/>
      <c r="H734" s="74"/>
      <c r="I734" s="74"/>
      <c r="J734" s="74"/>
      <c r="K734" s="15"/>
      <c r="L734" s="15"/>
      <c r="M734" s="15"/>
      <c r="N734" s="15"/>
      <c r="O734" s="15"/>
      <c r="P734" s="15"/>
      <c r="Q734" s="15"/>
      <c r="R734" s="15"/>
    </row>
    <row r="735">
      <c r="A735" s="15"/>
      <c r="B735" s="15"/>
      <c r="C735" s="15"/>
      <c r="D735" s="15"/>
      <c r="E735" s="15"/>
      <c r="F735" s="74"/>
      <c r="G735" s="74"/>
      <c r="H735" s="74"/>
      <c r="I735" s="74"/>
      <c r="J735" s="74"/>
      <c r="K735" s="15"/>
      <c r="L735" s="15"/>
      <c r="M735" s="15"/>
      <c r="N735" s="15"/>
      <c r="O735" s="15"/>
      <c r="P735" s="15"/>
      <c r="Q735" s="15"/>
      <c r="R735" s="15"/>
    </row>
    <row r="736">
      <c r="A736" s="15"/>
      <c r="B736" s="15"/>
      <c r="C736" s="15"/>
      <c r="D736" s="15"/>
      <c r="E736" s="15"/>
      <c r="F736" s="74"/>
      <c r="G736" s="74"/>
      <c r="H736" s="74"/>
      <c r="I736" s="74"/>
      <c r="J736" s="74"/>
      <c r="K736" s="15"/>
      <c r="L736" s="15"/>
      <c r="M736" s="15"/>
      <c r="N736" s="15"/>
      <c r="O736" s="15"/>
      <c r="P736" s="15"/>
      <c r="Q736" s="15"/>
      <c r="R736" s="15"/>
    </row>
    <row r="737">
      <c r="A737" s="15"/>
      <c r="B737" s="15"/>
      <c r="C737" s="15"/>
      <c r="D737" s="15"/>
      <c r="E737" s="15"/>
      <c r="F737" s="74"/>
      <c r="G737" s="74"/>
      <c r="H737" s="74"/>
      <c r="I737" s="74"/>
      <c r="J737" s="74"/>
      <c r="K737" s="15"/>
      <c r="L737" s="15"/>
      <c r="M737" s="15"/>
      <c r="N737" s="15"/>
      <c r="O737" s="15"/>
      <c r="P737" s="15"/>
      <c r="Q737" s="15"/>
      <c r="R737" s="15"/>
    </row>
    <row r="738">
      <c r="A738" s="15"/>
      <c r="B738" s="15"/>
      <c r="C738" s="15"/>
      <c r="D738" s="15"/>
      <c r="E738" s="15"/>
      <c r="F738" s="74"/>
      <c r="G738" s="74"/>
      <c r="H738" s="74"/>
      <c r="I738" s="74"/>
      <c r="J738" s="74"/>
      <c r="K738" s="15"/>
      <c r="L738" s="15"/>
      <c r="M738" s="15"/>
      <c r="N738" s="15"/>
      <c r="O738" s="15"/>
      <c r="P738" s="15"/>
      <c r="Q738" s="15"/>
      <c r="R738" s="15"/>
    </row>
    <row r="739">
      <c r="A739" s="15"/>
      <c r="B739" s="15"/>
      <c r="C739" s="15"/>
      <c r="D739" s="15"/>
      <c r="E739" s="15"/>
      <c r="F739" s="74"/>
      <c r="G739" s="74"/>
      <c r="H739" s="74"/>
      <c r="I739" s="74"/>
      <c r="J739" s="74"/>
      <c r="K739" s="15"/>
      <c r="L739" s="15"/>
      <c r="M739" s="15"/>
      <c r="N739" s="15"/>
      <c r="O739" s="15"/>
      <c r="P739" s="15"/>
      <c r="Q739" s="15"/>
      <c r="R739" s="15"/>
    </row>
    <row r="740">
      <c r="A740" s="15"/>
      <c r="B740" s="15"/>
      <c r="C740" s="15"/>
      <c r="D740" s="15"/>
      <c r="E740" s="15"/>
      <c r="F740" s="74"/>
      <c r="G740" s="74"/>
      <c r="H740" s="74"/>
      <c r="I740" s="74"/>
      <c r="J740" s="74"/>
      <c r="K740" s="15"/>
      <c r="L740" s="15"/>
      <c r="M740" s="15"/>
      <c r="N740" s="15"/>
      <c r="O740" s="15"/>
      <c r="P740" s="15"/>
      <c r="Q740" s="15"/>
      <c r="R740" s="15"/>
    </row>
    <row r="741">
      <c r="A741" s="15"/>
      <c r="B741" s="15"/>
      <c r="C741" s="15"/>
      <c r="D741" s="15"/>
      <c r="E741" s="15"/>
      <c r="F741" s="74"/>
      <c r="G741" s="74"/>
      <c r="H741" s="74"/>
      <c r="I741" s="74"/>
      <c r="J741" s="74"/>
      <c r="K741" s="15"/>
      <c r="L741" s="15"/>
      <c r="M741" s="15"/>
      <c r="N741" s="15"/>
      <c r="O741" s="15"/>
      <c r="P741" s="15"/>
      <c r="Q741" s="15"/>
      <c r="R741" s="15"/>
    </row>
    <row r="742">
      <c r="A742" s="15"/>
      <c r="B742" s="15"/>
      <c r="C742" s="15"/>
      <c r="D742" s="15"/>
      <c r="E742" s="15"/>
      <c r="F742" s="74"/>
      <c r="G742" s="74"/>
      <c r="H742" s="74"/>
      <c r="I742" s="74"/>
      <c r="J742" s="74"/>
      <c r="K742" s="15"/>
      <c r="L742" s="15"/>
      <c r="M742" s="15"/>
      <c r="N742" s="15"/>
      <c r="O742" s="15"/>
      <c r="P742" s="15"/>
      <c r="Q742" s="15"/>
      <c r="R742" s="15"/>
    </row>
    <row r="743">
      <c r="A743" s="15"/>
      <c r="B743" s="15"/>
      <c r="C743" s="15"/>
      <c r="D743" s="15"/>
      <c r="E743" s="15"/>
      <c r="F743" s="74"/>
      <c r="G743" s="74"/>
      <c r="H743" s="74"/>
      <c r="I743" s="74"/>
      <c r="J743" s="74"/>
      <c r="K743" s="15"/>
      <c r="L743" s="15"/>
      <c r="M743" s="15"/>
      <c r="N743" s="15"/>
      <c r="O743" s="15"/>
      <c r="P743" s="15"/>
      <c r="Q743" s="15"/>
      <c r="R743" s="15"/>
    </row>
    <row r="744">
      <c r="A744" s="15"/>
      <c r="B744" s="15"/>
      <c r="C744" s="15"/>
      <c r="D744" s="15"/>
      <c r="E744" s="15"/>
      <c r="F744" s="74"/>
      <c r="G744" s="74"/>
      <c r="H744" s="74"/>
      <c r="I744" s="74"/>
      <c r="J744" s="74"/>
      <c r="K744" s="15"/>
      <c r="L744" s="15"/>
      <c r="M744" s="15"/>
      <c r="N744" s="15"/>
      <c r="O744" s="15"/>
      <c r="P744" s="15"/>
      <c r="Q744" s="15"/>
      <c r="R744" s="15"/>
    </row>
    <row r="745">
      <c r="A745" s="15"/>
      <c r="B745" s="15"/>
      <c r="C745" s="15"/>
      <c r="D745" s="15"/>
      <c r="E745" s="15"/>
      <c r="F745" s="74"/>
      <c r="G745" s="74"/>
      <c r="H745" s="74"/>
      <c r="I745" s="74"/>
      <c r="J745" s="74"/>
      <c r="K745" s="15"/>
      <c r="L745" s="15"/>
      <c r="M745" s="15"/>
      <c r="N745" s="15"/>
      <c r="O745" s="15"/>
      <c r="P745" s="15"/>
      <c r="Q745" s="15"/>
      <c r="R745" s="15"/>
    </row>
    <row r="746">
      <c r="A746" s="15"/>
      <c r="B746" s="15"/>
      <c r="C746" s="15"/>
      <c r="D746" s="15"/>
      <c r="E746" s="15"/>
      <c r="F746" s="74"/>
      <c r="G746" s="74"/>
      <c r="H746" s="74"/>
      <c r="I746" s="74"/>
      <c r="J746" s="74"/>
      <c r="K746" s="15"/>
      <c r="L746" s="15"/>
      <c r="M746" s="15"/>
      <c r="N746" s="15"/>
      <c r="O746" s="15"/>
      <c r="P746" s="15"/>
      <c r="Q746" s="15"/>
      <c r="R746" s="15"/>
    </row>
    <row r="747">
      <c r="A747" s="15"/>
      <c r="B747" s="15"/>
      <c r="C747" s="15"/>
      <c r="D747" s="15"/>
      <c r="E747" s="15"/>
      <c r="F747" s="74"/>
      <c r="G747" s="74"/>
      <c r="H747" s="74"/>
      <c r="I747" s="74"/>
      <c r="J747" s="74"/>
      <c r="K747" s="15"/>
      <c r="L747" s="15"/>
      <c r="M747" s="15"/>
      <c r="N747" s="15"/>
      <c r="O747" s="15"/>
      <c r="P747" s="15"/>
      <c r="Q747" s="15"/>
      <c r="R747" s="15"/>
    </row>
    <row r="748">
      <c r="A748" s="15"/>
      <c r="B748" s="15"/>
      <c r="C748" s="15"/>
      <c r="D748" s="15"/>
      <c r="E748" s="15"/>
      <c r="F748" s="74"/>
      <c r="G748" s="74"/>
      <c r="H748" s="74"/>
      <c r="I748" s="74"/>
      <c r="J748" s="74"/>
      <c r="K748" s="15"/>
      <c r="L748" s="15"/>
      <c r="M748" s="15"/>
      <c r="N748" s="15"/>
      <c r="O748" s="15"/>
      <c r="P748" s="15"/>
      <c r="Q748" s="15"/>
      <c r="R748" s="15"/>
    </row>
    <row r="749">
      <c r="A749" s="15"/>
      <c r="B749" s="15"/>
      <c r="C749" s="15"/>
      <c r="D749" s="15"/>
      <c r="E749" s="15"/>
      <c r="F749" s="74"/>
      <c r="G749" s="74"/>
      <c r="H749" s="74"/>
      <c r="I749" s="74"/>
      <c r="J749" s="74"/>
      <c r="K749" s="15"/>
      <c r="L749" s="15"/>
      <c r="M749" s="15"/>
      <c r="N749" s="15"/>
      <c r="O749" s="15"/>
      <c r="P749" s="15"/>
      <c r="Q749" s="15"/>
      <c r="R749" s="15"/>
    </row>
    <row r="750">
      <c r="A750" s="15"/>
      <c r="B750" s="15"/>
      <c r="C750" s="15"/>
      <c r="D750" s="15"/>
      <c r="E750" s="15"/>
      <c r="F750" s="74"/>
      <c r="G750" s="74"/>
      <c r="H750" s="74"/>
      <c r="I750" s="74"/>
      <c r="J750" s="74"/>
      <c r="K750" s="15"/>
      <c r="L750" s="15"/>
      <c r="M750" s="15"/>
      <c r="N750" s="15"/>
      <c r="O750" s="15"/>
      <c r="P750" s="15"/>
      <c r="Q750" s="15"/>
      <c r="R750" s="15"/>
    </row>
    <row r="751">
      <c r="A751" s="15"/>
      <c r="B751" s="15"/>
      <c r="C751" s="15"/>
      <c r="D751" s="15"/>
      <c r="E751" s="15"/>
      <c r="F751" s="74"/>
      <c r="G751" s="74"/>
      <c r="H751" s="74"/>
      <c r="I751" s="74"/>
      <c r="J751" s="74"/>
      <c r="K751" s="15"/>
      <c r="L751" s="15"/>
      <c r="M751" s="15"/>
      <c r="N751" s="15"/>
      <c r="O751" s="15"/>
      <c r="P751" s="15"/>
      <c r="Q751" s="15"/>
      <c r="R751" s="15"/>
    </row>
    <row r="752">
      <c r="A752" s="15"/>
      <c r="B752" s="15"/>
      <c r="C752" s="15"/>
      <c r="D752" s="15"/>
      <c r="E752" s="15"/>
      <c r="F752" s="74"/>
      <c r="G752" s="74"/>
      <c r="H752" s="74"/>
      <c r="I752" s="74"/>
      <c r="J752" s="74"/>
      <c r="K752" s="15"/>
      <c r="L752" s="15"/>
      <c r="M752" s="15"/>
      <c r="N752" s="15"/>
      <c r="O752" s="15"/>
      <c r="P752" s="15"/>
      <c r="Q752" s="15"/>
      <c r="R752" s="15"/>
    </row>
    <row r="753">
      <c r="A753" s="15"/>
      <c r="B753" s="15"/>
      <c r="C753" s="15"/>
      <c r="D753" s="15"/>
      <c r="E753" s="15"/>
      <c r="F753" s="74"/>
      <c r="G753" s="74"/>
      <c r="H753" s="74"/>
      <c r="I753" s="74"/>
      <c r="J753" s="74"/>
      <c r="K753" s="15"/>
      <c r="L753" s="15"/>
      <c r="M753" s="15"/>
      <c r="N753" s="15"/>
      <c r="O753" s="15"/>
      <c r="P753" s="15"/>
      <c r="Q753" s="15"/>
      <c r="R753" s="15"/>
    </row>
    <row r="754">
      <c r="A754" s="15"/>
      <c r="B754" s="15"/>
      <c r="C754" s="15"/>
      <c r="D754" s="15"/>
      <c r="E754" s="15"/>
      <c r="F754" s="74"/>
      <c r="G754" s="74"/>
      <c r="H754" s="74"/>
      <c r="I754" s="74"/>
      <c r="J754" s="74"/>
      <c r="K754" s="15"/>
      <c r="L754" s="15"/>
      <c r="M754" s="15"/>
      <c r="N754" s="15"/>
      <c r="O754" s="15"/>
      <c r="P754" s="15"/>
      <c r="Q754" s="15"/>
      <c r="R754" s="15"/>
    </row>
    <row r="755">
      <c r="A755" s="15"/>
      <c r="B755" s="15"/>
      <c r="C755" s="15"/>
      <c r="D755" s="15"/>
      <c r="E755" s="15"/>
      <c r="F755" s="74"/>
      <c r="G755" s="74"/>
      <c r="H755" s="74"/>
      <c r="I755" s="74"/>
      <c r="J755" s="74"/>
      <c r="K755" s="15"/>
      <c r="L755" s="15"/>
      <c r="M755" s="15"/>
      <c r="N755" s="15"/>
      <c r="O755" s="15"/>
      <c r="P755" s="15"/>
      <c r="Q755" s="15"/>
      <c r="R755" s="15"/>
    </row>
    <row r="756">
      <c r="A756" s="15"/>
      <c r="B756" s="15"/>
      <c r="C756" s="15"/>
      <c r="D756" s="15"/>
      <c r="E756" s="15"/>
      <c r="F756" s="74"/>
      <c r="G756" s="74"/>
      <c r="H756" s="74"/>
      <c r="I756" s="74"/>
      <c r="J756" s="74"/>
      <c r="K756" s="15"/>
      <c r="L756" s="15"/>
      <c r="M756" s="15"/>
      <c r="N756" s="15"/>
      <c r="O756" s="15"/>
      <c r="P756" s="15"/>
      <c r="Q756" s="15"/>
      <c r="R756" s="15"/>
    </row>
    <row r="757">
      <c r="A757" s="15"/>
      <c r="B757" s="15"/>
      <c r="C757" s="15"/>
      <c r="D757" s="15"/>
      <c r="E757" s="15"/>
      <c r="F757" s="74"/>
      <c r="G757" s="74"/>
      <c r="H757" s="74"/>
      <c r="I757" s="74"/>
      <c r="J757" s="74"/>
      <c r="K757" s="15"/>
      <c r="L757" s="15"/>
      <c r="M757" s="15"/>
      <c r="N757" s="15"/>
      <c r="O757" s="15"/>
      <c r="P757" s="15"/>
      <c r="Q757" s="15"/>
      <c r="R757" s="15"/>
    </row>
    <row r="758">
      <c r="A758" s="15"/>
      <c r="B758" s="15"/>
      <c r="C758" s="15"/>
      <c r="D758" s="15"/>
      <c r="E758" s="15"/>
      <c r="F758" s="74"/>
      <c r="G758" s="74"/>
      <c r="H758" s="74"/>
      <c r="I758" s="74"/>
      <c r="J758" s="74"/>
      <c r="K758" s="15"/>
      <c r="L758" s="15"/>
      <c r="M758" s="15"/>
      <c r="N758" s="15"/>
      <c r="O758" s="15"/>
      <c r="P758" s="15"/>
      <c r="Q758" s="15"/>
      <c r="R758" s="15"/>
    </row>
    <row r="759">
      <c r="A759" s="15"/>
      <c r="B759" s="15"/>
      <c r="C759" s="15"/>
      <c r="D759" s="15"/>
      <c r="E759" s="15"/>
      <c r="F759" s="74"/>
      <c r="G759" s="74"/>
      <c r="H759" s="74"/>
      <c r="I759" s="74"/>
      <c r="J759" s="74"/>
      <c r="K759" s="15"/>
      <c r="L759" s="15"/>
      <c r="M759" s="15"/>
      <c r="N759" s="15"/>
      <c r="O759" s="15"/>
      <c r="P759" s="15"/>
      <c r="Q759" s="15"/>
      <c r="R759" s="15"/>
    </row>
    <row r="760">
      <c r="A760" s="15"/>
      <c r="B760" s="15"/>
      <c r="C760" s="15"/>
      <c r="D760" s="15"/>
      <c r="E760" s="15"/>
      <c r="F760" s="74"/>
      <c r="G760" s="74"/>
      <c r="H760" s="74"/>
      <c r="I760" s="74"/>
      <c r="J760" s="74"/>
      <c r="K760" s="15"/>
      <c r="L760" s="15"/>
      <c r="M760" s="15"/>
      <c r="N760" s="15"/>
      <c r="O760" s="15"/>
      <c r="P760" s="15"/>
      <c r="Q760" s="15"/>
      <c r="R760" s="15"/>
    </row>
    <row r="761">
      <c r="A761" s="15"/>
      <c r="B761" s="15"/>
      <c r="C761" s="15"/>
      <c r="D761" s="15"/>
      <c r="E761" s="15"/>
      <c r="F761" s="74"/>
      <c r="G761" s="74"/>
      <c r="H761" s="74"/>
      <c r="I761" s="74"/>
      <c r="J761" s="74"/>
      <c r="K761" s="15"/>
      <c r="L761" s="15"/>
      <c r="M761" s="15"/>
      <c r="N761" s="15"/>
      <c r="O761" s="15"/>
      <c r="P761" s="15"/>
      <c r="Q761" s="15"/>
      <c r="R761" s="15"/>
    </row>
    <row r="762">
      <c r="A762" s="15"/>
      <c r="B762" s="15"/>
      <c r="C762" s="15"/>
      <c r="D762" s="15"/>
      <c r="E762" s="15"/>
      <c r="F762" s="74"/>
      <c r="G762" s="74"/>
      <c r="H762" s="74"/>
      <c r="I762" s="74"/>
      <c r="J762" s="74"/>
      <c r="K762" s="15"/>
      <c r="L762" s="15"/>
      <c r="M762" s="15"/>
      <c r="N762" s="15"/>
      <c r="O762" s="15"/>
      <c r="P762" s="15"/>
      <c r="Q762" s="15"/>
      <c r="R762" s="15"/>
    </row>
    <row r="763">
      <c r="A763" s="15"/>
      <c r="B763" s="15"/>
      <c r="C763" s="15"/>
      <c r="D763" s="15"/>
      <c r="E763" s="15"/>
      <c r="F763" s="74"/>
      <c r="G763" s="74"/>
      <c r="H763" s="74"/>
      <c r="I763" s="74"/>
      <c r="J763" s="74"/>
      <c r="K763" s="15"/>
      <c r="L763" s="15"/>
      <c r="M763" s="15"/>
      <c r="N763" s="15"/>
      <c r="O763" s="15"/>
      <c r="P763" s="15"/>
      <c r="Q763" s="15"/>
      <c r="R763" s="15"/>
    </row>
    <row r="764">
      <c r="A764" s="15"/>
      <c r="B764" s="15"/>
      <c r="C764" s="15"/>
      <c r="D764" s="15"/>
      <c r="E764" s="15"/>
      <c r="F764" s="74"/>
      <c r="G764" s="74"/>
      <c r="H764" s="74"/>
      <c r="I764" s="74"/>
      <c r="J764" s="74"/>
      <c r="K764" s="15"/>
      <c r="L764" s="15"/>
      <c r="M764" s="15"/>
      <c r="N764" s="15"/>
      <c r="O764" s="15"/>
      <c r="P764" s="15"/>
      <c r="Q764" s="15"/>
      <c r="R764" s="15"/>
    </row>
    <row r="765">
      <c r="A765" s="15"/>
      <c r="B765" s="15"/>
      <c r="C765" s="15"/>
      <c r="D765" s="15"/>
      <c r="E765" s="15"/>
      <c r="F765" s="74"/>
      <c r="G765" s="74"/>
      <c r="H765" s="74"/>
      <c r="I765" s="74"/>
      <c r="J765" s="74"/>
      <c r="K765" s="15"/>
      <c r="L765" s="15"/>
      <c r="M765" s="15"/>
      <c r="N765" s="15"/>
      <c r="O765" s="15"/>
      <c r="P765" s="15"/>
      <c r="Q765" s="15"/>
      <c r="R765" s="15"/>
    </row>
    <row r="766">
      <c r="A766" s="15"/>
      <c r="B766" s="15"/>
      <c r="C766" s="15"/>
      <c r="D766" s="15"/>
      <c r="E766" s="15"/>
      <c r="F766" s="74"/>
      <c r="G766" s="74"/>
      <c r="H766" s="74"/>
      <c r="I766" s="74"/>
      <c r="J766" s="74"/>
      <c r="K766" s="15"/>
      <c r="L766" s="15"/>
      <c r="M766" s="15"/>
      <c r="N766" s="15"/>
      <c r="O766" s="15"/>
      <c r="P766" s="15"/>
      <c r="Q766" s="15"/>
      <c r="R766" s="15"/>
    </row>
    <row r="767">
      <c r="A767" s="15"/>
      <c r="B767" s="15"/>
      <c r="C767" s="15"/>
      <c r="D767" s="15"/>
      <c r="E767" s="15"/>
      <c r="F767" s="74"/>
      <c r="G767" s="74"/>
      <c r="H767" s="74"/>
      <c r="I767" s="74"/>
      <c r="J767" s="74"/>
      <c r="K767" s="15"/>
      <c r="L767" s="15"/>
      <c r="M767" s="15"/>
      <c r="N767" s="15"/>
      <c r="O767" s="15"/>
      <c r="P767" s="15"/>
      <c r="Q767" s="15"/>
      <c r="R767" s="15"/>
    </row>
    <row r="768">
      <c r="A768" s="15"/>
      <c r="B768" s="15"/>
      <c r="C768" s="15"/>
      <c r="D768" s="15"/>
      <c r="E768" s="15"/>
      <c r="F768" s="74"/>
      <c r="G768" s="74"/>
      <c r="H768" s="74"/>
      <c r="I768" s="74"/>
      <c r="J768" s="74"/>
      <c r="K768" s="15"/>
      <c r="L768" s="15"/>
      <c r="M768" s="15"/>
      <c r="N768" s="15"/>
      <c r="O768" s="15"/>
      <c r="P768" s="15"/>
      <c r="Q768" s="15"/>
      <c r="R768" s="15"/>
    </row>
    <row r="769">
      <c r="A769" s="15"/>
      <c r="B769" s="15"/>
      <c r="C769" s="15"/>
      <c r="D769" s="15"/>
      <c r="E769" s="15"/>
      <c r="F769" s="74"/>
      <c r="G769" s="74"/>
      <c r="H769" s="74"/>
      <c r="I769" s="74"/>
      <c r="J769" s="74"/>
      <c r="K769" s="15"/>
      <c r="L769" s="15"/>
      <c r="M769" s="15"/>
      <c r="N769" s="15"/>
      <c r="O769" s="15"/>
      <c r="P769" s="15"/>
      <c r="Q769" s="15"/>
      <c r="R769" s="15"/>
    </row>
    <row r="770">
      <c r="A770" s="15"/>
      <c r="B770" s="15"/>
      <c r="C770" s="15"/>
      <c r="D770" s="15"/>
      <c r="E770" s="15"/>
      <c r="F770" s="74"/>
      <c r="G770" s="74"/>
      <c r="H770" s="74"/>
      <c r="I770" s="74"/>
      <c r="J770" s="74"/>
      <c r="K770" s="15"/>
      <c r="L770" s="15"/>
      <c r="M770" s="15"/>
      <c r="N770" s="15"/>
      <c r="O770" s="15"/>
      <c r="P770" s="15"/>
      <c r="Q770" s="15"/>
      <c r="R770" s="15"/>
    </row>
    <row r="771">
      <c r="A771" s="15"/>
      <c r="B771" s="15"/>
      <c r="C771" s="15"/>
      <c r="D771" s="15"/>
      <c r="E771" s="15"/>
      <c r="F771" s="74"/>
      <c r="G771" s="74"/>
      <c r="H771" s="74"/>
      <c r="I771" s="74"/>
      <c r="J771" s="74"/>
      <c r="K771" s="15"/>
      <c r="L771" s="15"/>
      <c r="M771" s="15"/>
      <c r="N771" s="15"/>
      <c r="O771" s="15"/>
      <c r="P771" s="15"/>
      <c r="Q771" s="15"/>
      <c r="R771" s="15"/>
    </row>
    <row r="772">
      <c r="A772" s="15"/>
      <c r="B772" s="15"/>
      <c r="C772" s="15"/>
      <c r="D772" s="15"/>
      <c r="E772" s="15"/>
      <c r="F772" s="74"/>
      <c r="G772" s="74"/>
      <c r="H772" s="74"/>
      <c r="I772" s="74"/>
      <c r="J772" s="74"/>
      <c r="K772" s="15"/>
      <c r="L772" s="15"/>
      <c r="M772" s="15"/>
      <c r="N772" s="15"/>
      <c r="O772" s="15"/>
      <c r="P772" s="15"/>
      <c r="Q772" s="15"/>
      <c r="R772" s="15"/>
    </row>
    <row r="773">
      <c r="A773" s="15"/>
      <c r="B773" s="15"/>
      <c r="C773" s="15"/>
      <c r="D773" s="15"/>
      <c r="E773" s="15"/>
      <c r="F773" s="74"/>
      <c r="G773" s="74"/>
      <c r="H773" s="74"/>
      <c r="I773" s="74"/>
      <c r="J773" s="74"/>
      <c r="K773" s="15"/>
      <c r="L773" s="15"/>
      <c r="M773" s="15"/>
      <c r="N773" s="15"/>
      <c r="O773" s="15"/>
      <c r="P773" s="15"/>
      <c r="Q773" s="15"/>
      <c r="R773" s="15"/>
    </row>
    <row r="774">
      <c r="A774" s="15"/>
      <c r="B774" s="15"/>
      <c r="C774" s="15"/>
      <c r="D774" s="15"/>
      <c r="E774" s="15"/>
      <c r="F774" s="74"/>
      <c r="G774" s="74"/>
      <c r="H774" s="74"/>
      <c r="I774" s="74"/>
      <c r="J774" s="74"/>
      <c r="K774" s="15"/>
      <c r="L774" s="15"/>
      <c r="M774" s="15"/>
      <c r="N774" s="15"/>
      <c r="O774" s="15"/>
      <c r="P774" s="15"/>
      <c r="Q774" s="15"/>
      <c r="R774" s="15"/>
    </row>
    <row r="775">
      <c r="A775" s="15"/>
      <c r="B775" s="15"/>
      <c r="C775" s="15"/>
      <c r="D775" s="15"/>
      <c r="E775" s="15"/>
      <c r="F775" s="74"/>
      <c r="G775" s="74"/>
      <c r="H775" s="74"/>
      <c r="I775" s="74"/>
      <c r="J775" s="74"/>
      <c r="K775" s="15"/>
      <c r="L775" s="15"/>
      <c r="M775" s="15"/>
      <c r="N775" s="15"/>
      <c r="O775" s="15"/>
      <c r="P775" s="15"/>
      <c r="Q775" s="15"/>
      <c r="R775" s="15"/>
    </row>
    <row r="776">
      <c r="A776" s="15"/>
      <c r="B776" s="15"/>
      <c r="C776" s="15"/>
      <c r="D776" s="15"/>
      <c r="E776" s="15"/>
      <c r="F776" s="74"/>
      <c r="G776" s="74"/>
      <c r="H776" s="74"/>
      <c r="I776" s="74"/>
      <c r="J776" s="74"/>
      <c r="K776" s="15"/>
      <c r="L776" s="15"/>
      <c r="M776" s="15"/>
      <c r="N776" s="15"/>
      <c r="O776" s="15"/>
      <c r="P776" s="15"/>
      <c r="Q776" s="15"/>
      <c r="R776" s="15"/>
    </row>
    <row r="777">
      <c r="A777" s="15"/>
      <c r="B777" s="15"/>
      <c r="C777" s="15"/>
      <c r="D777" s="15"/>
      <c r="E777" s="15"/>
      <c r="F777" s="74"/>
      <c r="G777" s="74"/>
      <c r="H777" s="74"/>
      <c r="I777" s="74"/>
      <c r="J777" s="74"/>
      <c r="K777" s="15"/>
      <c r="L777" s="15"/>
      <c r="M777" s="15"/>
      <c r="N777" s="15"/>
      <c r="O777" s="15"/>
      <c r="P777" s="15"/>
      <c r="Q777" s="15"/>
      <c r="R777" s="15"/>
    </row>
    <row r="778">
      <c r="A778" s="15"/>
      <c r="B778" s="15"/>
      <c r="C778" s="15"/>
      <c r="D778" s="15"/>
      <c r="E778" s="15"/>
      <c r="F778" s="74"/>
      <c r="G778" s="74"/>
      <c r="H778" s="74"/>
      <c r="I778" s="74"/>
      <c r="J778" s="74"/>
      <c r="K778" s="15"/>
      <c r="L778" s="15"/>
      <c r="M778" s="15"/>
      <c r="N778" s="15"/>
      <c r="O778" s="15"/>
      <c r="P778" s="15"/>
      <c r="Q778" s="15"/>
      <c r="R778" s="15"/>
    </row>
    <row r="779">
      <c r="A779" s="15"/>
      <c r="B779" s="15"/>
      <c r="C779" s="15"/>
      <c r="D779" s="15"/>
      <c r="E779" s="15"/>
      <c r="F779" s="74"/>
      <c r="G779" s="74"/>
      <c r="H779" s="74"/>
      <c r="I779" s="74"/>
      <c r="J779" s="74"/>
      <c r="K779" s="15"/>
      <c r="L779" s="15"/>
      <c r="M779" s="15"/>
      <c r="N779" s="15"/>
      <c r="O779" s="15"/>
      <c r="P779" s="15"/>
      <c r="Q779" s="15"/>
      <c r="R779" s="15"/>
    </row>
    <row r="780">
      <c r="A780" s="15"/>
      <c r="B780" s="15"/>
      <c r="C780" s="15"/>
      <c r="D780" s="15"/>
      <c r="E780" s="15"/>
      <c r="F780" s="74"/>
      <c r="G780" s="74"/>
      <c r="H780" s="74"/>
      <c r="I780" s="74"/>
      <c r="J780" s="74"/>
      <c r="K780" s="15"/>
      <c r="L780" s="15"/>
      <c r="M780" s="15"/>
      <c r="N780" s="15"/>
      <c r="O780" s="15"/>
      <c r="P780" s="15"/>
      <c r="Q780" s="15"/>
      <c r="R780" s="15"/>
    </row>
    <row r="781">
      <c r="A781" s="15"/>
      <c r="B781" s="15"/>
      <c r="C781" s="15"/>
      <c r="D781" s="15"/>
      <c r="E781" s="15"/>
      <c r="F781" s="74"/>
      <c r="G781" s="74"/>
      <c r="H781" s="74"/>
      <c r="I781" s="74"/>
      <c r="J781" s="74"/>
      <c r="K781" s="15"/>
      <c r="L781" s="15"/>
      <c r="M781" s="15"/>
      <c r="N781" s="15"/>
      <c r="O781" s="15"/>
      <c r="P781" s="15"/>
      <c r="Q781" s="15"/>
      <c r="R781" s="15"/>
    </row>
    <row r="782">
      <c r="A782" s="15"/>
      <c r="B782" s="15"/>
      <c r="C782" s="15"/>
      <c r="D782" s="15"/>
      <c r="E782" s="15"/>
      <c r="F782" s="74"/>
      <c r="G782" s="74"/>
      <c r="H782" s="74"/>
      <c r="I782" s="74"/>
      <c r="J782" s="74"/>
      <c r="K782" s="15"/>
      <c r="L782" s="15"/>
      <c r="M782" s="15"/>
      <c r="N782" s="15"/>
      <c r="O782" s="15"/>
      <c r="P782" s="15"/>
      <c r="Q782" s="15"/>
      <c r="R782" s="15"/>
    </row>
    <row r="783">
      <c r="A783" s="15"/>
      <c r="B783" s="15"/>
      <c r="C783" s="15"/>
      <c r="D783" s="15"/>
      <c r="E783" s="15"/>
      <c r="F783" s="74"/>
      <c r="G783" s="74"/>
      <c r="H783" s="74"/>
      <c r="I783" s="74"/>
      <c r="J783" s="74"/>
      <c r="K783" s="15"/>
      <c r="L783" s="15"/>
      <c r="M783" s="15"/>
      <c r="N783" s="15"/>
      <c r="O783" s="15"/>
      <c r="P783" s="15"/>
      <c r="Q783" s="15"/>
      <c r="R783" s="15"/>
    </row>
    <row r="784">
      <c r="A784" s="15"/>
      <c r="B784" s="15"/>
      <c r="C784" s="15"/>
      <c r="D784" s="15"/>
      <c r="E784" s="15"/>
      <c r="F784" s="74"/>
      <c r="G784" s="74"/>
      <c r="H784" s="74"/>
      <c r="I784" s="74"/>
      <c r="J784" s="74"/>
      <c r="K784" s="15"/>
      <c r="L784" s="15"/>
      <c r="M784" s="15"/>
      <c r="N784" s="15"/>
      <c r="O784" s="15"/>
      <c r="P784" s="15"/>
      <c r="Q784" s="15"/>
      <c r="R784" s="15"/>
    </row>
    <row r="785">
      <c r="A785" s="15"/>
      <c r="B785" s="15"/>
      <c r="C785" s="15"/>
      <c r="D785" s="15"/>
      <c r="E785" s="15"/>
      <c r="F785" s="74"/>
      <c r="G785" s="74"/>
      <c r="H785" s="74"/>
      <c r="I785" s="74"/>
      <c r="J785" s="74"/>
      <c r="K785" s="15"/>
      <c r="L785" s="15"/>
      <c r="M785" s="15"/>
      <c r="N785" s="15"/>
      <c r="O785" s="15"/>
      <c r="P785" s="15"/>
      <c r="Q785" s="15"/>
      <c r="R785" s="15"/>
    </row>
    <row r="786">
      <c r="A786" s="15"/>
      <c r="B786" s="15"/>
      <c r="C786" s="15"/>
      <c r="D786" s="15"/>
      <c r="E786" s="15"/>
      <c r="F786" s="74"/>
      <c r="G786" s="74"/>
      <c r="H786" s="74"/>
      <c r="I786" s="74"/>
      <c r="J786" s="74"/>
      <c r="K786" s="15"/>
      <c r="L786" s="15"/>
      <c r="M786" s="15"/>
      <c r="N786" s="15"/>
      <c r="O786" s="15"/>
      <c r="P786" s="15"/>
      <c r="Q786" s="15"/>
      <c r="R786" s="15"/>
    </row>
    <row r="787">
      <c r="A787" s="15"/>
      <c r="B787" s="15"/>
      <c r="C787" s="15"/>
      <c r="D787" s="15"/>
      <c r="E787" s="15"/>
      <c r="F787" s="74"/>
      <c r="G787" s="74"/>
      <c r="H787" s="74"/>
      <c r="I787" s="74"/>
      <c r="J787" s="74"/>
      <c r="K787" s="15"/>
      <c r="L787" s="15"/>
      <c r="M787" s="15"/>
      <c r="N787" s="15"/>
      <c r="O787" s="15"/>
      <c r="P787" s="15"/>
      <c r="Q787" s="15"/>
      <c r="R787" s="15"/>
    </row>
    <row r="788">
      <c r="A788" s="15"/>
      <c r="B788" s="15"/>
      <c r="C788" s="15"/>
      <c r="D788" s="15"/>
      <c r="E788" s="15"/>
      <c r="F788" s="74"/>
      <c r="G788" s="74"/>
      <c r="H788" s="74"/>
      <c r="I788" s="74"/>
      <c r="J788" s="74"/>
      <c r="K788" s="15"/>
      <c r="L788" s="15"/>
      <c r="M788" s="15"/>
      <c r="N788" s="15"/>
      <c r="O788" s="15"/>
      <c r="P788" s="15"/>
      <c r="Q788" s="15"/>
      <c r="R788" s="15"/>
    </row>
    <row r="789">
      <c r="A789" s="15"/>
      <c r="B789" s="15"/>
      <c r="C789" s="15"/>
      <c r="D789" s="15"/>
      <c r="E789" s="15"/>
      <c r="F789" s="74"/>
      <c r="G789" s="74"/>
      <c r="H789" s="74"/>
      <c r="I789" s="74"/>
      <c r="J789" s="74"/>
      <c r="K789" s="15"/>
      <c r="L789" s="15"/>
      <c r="M789" s="15"/>
      <c r="N789" s="15"/>
      <c r="O789" s="15"/>
      <c r="P789" s="15"/>
      <c r="Q789" s="15"/>
      <c r="R789" s="15"/>
    </row>
    <row r="790">
      <c r="A790" s="15"/>
      <c r="B790" s="15"/>
      <c r="C790" s="15"/>
      <c r="D790" s="15"/>
      <c r="E790" s="15"/>
      <c r="F790" s="74"/>
      <c r="G790" s="74"/>
      <c r="H790" s="74"/>
      <c r="I790" s="74"/>
      <c r="J790" s="74"/>
      <c r="K790" s="15"/>
      <c r="L790" s="15"/>
      <c r="M790" s="15"/>
      <c r="N790" s="15"/>
      <c r="O790" s="15"/>
      <c r="P790" s="15"/>
      <c r="Q790" s="15"/>
      <c r="R790" s="15"/>
    </row>
    <row r="791">
      <c r="A791" s="15"/>
      <c r="B791" s="15"/>
      <c r="C791" s="15"/>
      <c r="D791" s="15"/>
      <c r="E791" s="15"/>
      <c r="F791" s="74"/>
      <c r="G791" s="74"/>
      <c r="H791" s="74"/>
      <c r="I791" s="74"/>
      <c r="J791" s="74"/>
      <c r="K791" s="15"/>
      <c r="L791" s="15"/>
      <c r="M791" s="15"/>
      <c r="N791" s="15"/>
      <c r="O791" s="15"/>
      <c r="P791" s="15"/>
      <c r="Q791" s="15"/>
      <c r="R791" s="15"/>
    </row>
    <row r="792">
      <c r="A792" s="15"/>
      <c r="B792" s="15"/>
      <c r="C792" s="15"/>
      <c r="D792" s="15"/>
      <c r="E792" s="15"/>
      <c r="F792" s="74"/>
      <c r="G792" s="74"/>
      <c r="H792" s="74"/>
      <c r="I792" s="74"/>
      <c r="J792" s="74"/>
      <c r="K792" s="15"/>
      <c r="L792" s="15"/>
      <c r="M792" s="15"/>
      <c r="N792" s="15"/>
      <c r="O792" s="15"/>
      <c r="P792" s="15"/>
      <c r="Q792" s="15"/>
      <c r="R792" s="15"/>
    </row>
    <row r="793">
      <c r="A793" s="15"/>
      <c r="B793" s="15"/>
      <c r="C793" s="15"/>
      <c r="D793" s="15"/>
      <c r="E793" s="15"/>
      <c r="F793" s="74"/>
      <c r="G793" s="74"/>
      <c r="H793" s="74"/>
      <c r="I793" s="74"/>
      <c r="J793" s="74"/>
      <c r="K793" s="15"/>
      <c r="L793" s="15"/>
      <c r="M793" s="15"/>
      <c r="N793" s="15"/>
      <c r="O793" s="15"/>
      <c r="P793" s="15"/>
      <c r="Q793" s="15"/>
      <c r="R793" s="15"/>
    </row>
    <row r="794">
      <c r="A794" s="15"/>
      <c r="B794" s="15"/>
      <c r="C794" s="15"/>
      <c r="D794" s="15"/>
      <c r="E794" s="15"/>
      <c r="F794" s="74"/>
      <c r="G794" s="74"/>
      <c r="H794" s="74"/>
      <c r="I794" s="74"/>
      <c r="J794" s="74"/>
      <c r="K794" s="15"/>
      <c r="L794" s="15"/>
      <c r="M794" s="15"/>
      <c r="N794" s="15"/>
      <c r="O794" s="15"/>
      <c r="P794" s="15"/>
      <c r="Q794" s="15"/>
      <c r="R794" s="15"/>
    </row>
    <row r="795">
      <c r="A795" s="15"/>
      <c r="B795" s="15"/>
      <c r="C795" s="15"/>
      <c r="D795" s="15"/>
      <c r="E795" s="15"/>
      <c r="F795" s="74"/>
      <c r="G795" s="74"/>
      <c r="H795" s="74"/>
      <c r="I795" s="74"/>
      <c r="J795" s="74"/>
      <c r="K795" s="15"/>
      <c r="L795" s="15"/>
      <c r="M795" s="15"/>
      <c r="N795" s="15"/>
      <c r="O795" s="15"/>
      <c r="P795" s="15"/>
      <c r="Q795" s="15"/>
      <c r="R795" s="15"/>
    </row>
    <row r="796">
      <c r="A796" s="15"/>
      <c r="B796" s="15"/>
      <c r="C796" s="15"/>
      <c r="D796" s="15"/>
      <c r="E796" s="15"/>
      <c r="F796" s="74"/>
      <c r="G796" s="74"/>
      <c r="H796" s="74"/>
      <c r="I796" s="74"/>
      <c r="J796" s="74"/>
      <c r="K796" s="15"/>
      <c r="L796" s="15"/>
      <c r="M796" s="15"/>
      <c r="N796" s="15"/>
      <c r="O796" s="15"/>
      <c r="P796" s="15"/>
      <c r="Q796" s="15"/>
      <c r="R796" s="15"/>
    </row>
    <row r="797">
      <c r="A797" s="15"/>
      <c r="B797" s="15"/>
      <c r="C797" s="15"/>
      <c r="D797" s="15"/>
      <c r="E797" s="15"/>
      <c r="F797" s="74"/>
      <c r="G797" s="74"/>
      <c r="H797" s="74"/>
      <c r="I797" s="74"/>
      <c r="J797" s="74"/>
      <c r="K797" s="15"/>
      <c r="L797" s="15"/>
      <c r="M797" s="15"/>
      <c r="N797" s="15"/>
      <c r="O797" s="15"/>
      <c r="P797" s="15"/>
      <c r="Q797" s="15"/>
      <c r="R797" s="15"/>
    </row>
    <row r="798">
      <c r="A798" s="15"/>
      <c r="B798" s="15"/>
      <c r="C798" s="15"/>
      <c r="D798" s="15"/>
      <c r="E798" s="15"/>
      <c r="F798" s="74"/>
      <c r="G798" s="74"/>
      <c r="H798" s="74"/>
      <c r="I798" s="74"/>
      <c r="J798" s="74"/>
      <c r="K798" s="15"/>
      <c r="L798" s="15"/>
      <c r="M798" s="15"/>
      <c r="N798" s="15"/>
      <c r="O798" s="15"/>
      <c r="P798" s="15"/>
      <c r="Q798" s="15"/>
      <c r="R798" s="15"/>
    </row>
    <row r="799">
      <c r="A799" s="15"/>
      <c r="B799" s="15"/>
      <c r="C799" s="15"/>
      <c r="D799" s="15"/>
      <c r="E799" s="15"/>
      <c r="F799" s="74"/>
      <c r="G799" s="74"/>
      <c r="H799" s="74"/>
      <c r="I799" s="74"/>
      <c r="J799" s="74"/>
      <c r="K799" s="15"/>
      <c r="L799" s="15"/>
      <c r="M799" s="15"/>
      <c r="N799" s="15"/>
      <c r="O799" s="15"/>
      <c r="P799" s="15"/>
      <c r="Q799" s="15"/>
      <c r="R799" s="15"/>
    </row>
    <row r="800">
      <c r="A800" s="15"/>
      <c r="B800" s="15"/>
      <c r="C800" s="15"/>
      <c r="D800" s="15"/>
      <c r="E800" s="15"/>
      <c r="F800" s="74"/>
      <c r="G800" s="74"/>
      <c r="H800" s="74"/>
      <c r="I800" s="74"/>
      <c r="J800" s="74"/>
      <c r="K800" s="15"/>
      <c r="L800" s="15"/>
      <c r="M800" s="15"/>
      <c r="N800" s="15"/>
      <c r="O800" s="15"/>
      <c r="P800" s="15"/>
      <c r="Q800" s="15"/>
      <c r="R800" s="15"/>
    </row>
    <row r="801">
      <c r="A801" s="15"/>
      <c r="B801" s="15"/>
      <c r="C801" s="15"/>
      <c r="D801" s="15"/>
      <c r="E801" s="15"/>
      <c r="F801" s="74"/>
      <c r="G801" s="74"/>
      <c r="H801" s="74"/>
      <c r="I801" s="74"/>
      <c r="J801" s="74"/>
      <c r="K801" s="15"/>
      <c r="L801" s="15"/>
      <c r="M801" s="15"/>
      <c r="N801" s="15"/>
      <c r="O801" s="15"/>
      <c r="P801" s="15"/>
      <c r="Q801" s="15"/>
      <c r="R801" s="15"/>
    </row>
    <row r="802">
      <c r="A802" s="15"/>
      <c r="B802" s="15"/>
      <c r="C802" s="15"/>
      <c r="D802" s="15"/>
      <c r="E802" s="15"/>
      <c r="F802" s="74"/>
      <c r="G802" s="74"/>
      <c r="H802" s="74"/>
      <c r="I802" s="74"/>
      <c r="J802" s="74"/>
      <c r="K802" s="15"/>
      <c r="L802" s="15"/>
      <c r="M802" s="15"/>
      <c r="N802" s="15"/>
      <c r="O802" s="15"/>
      <c r="P802" s="15"/>
      <c r="Q802" s="15"/>
      <c r="R802" s="15"/>
    </row>
    <row r="803">
      <c r="A803" s="15"/>
      <c r="B803" s="15"/>
      <c r="C803" s="15"/>
      <c r="D803" s="15"/>
      <c r="E803" s="15"/>
      <c r="F803" s="74"/>
      <c r="G803" s="74"/>
      <c r="H803" s="74"/>
      <c r="I803" s="74"/>
      <c r="J803" s="74"/>
      <c r="K803" s="15"/>
      <c r="L803" s="15"/>
      <c r="M803" s="15"/>
      <c r="N803" s="15"/>
      <c r="O803" s="15"/>
      <c r="P803" s="15"/>
      <c r="Q803" s="15"/>
      <c r="R803" s="15"/>
    </row>
    <row r="804">
      <c r="A804" s="15"/>
      <c r="B804" s="15"/>
      <c r="C804" s="15"/>
      <c r="D804" s="15"/>
      <c r="E804" s="15"/>
      <c r="F804" s="74"/>
      <c r="G804" s="74"/>
      <c r="H804" s="74"/>
      <c r="I804" s="74"/>
      <c r="J804" s="74"/>
      <c r="K804" s="15"/>
      <c r="L804" s="15"/>
      <c r="M804" s="15"/>
      <c r="N804" s="15"/>
      <c r="O804" s="15"/>
      <c r="P804" s="15"/>
      <c r="Q804" s="15"/>
      <c r="R804" s="15"/>
    </row>
    <row r="805">
      <c r="A805" s="15"/>
      <c r="B805" s="15"/>
      <c r="C805" s="15"/>
      <c r="D805" s="15"/>
      <c r="E805" s="15"/>
      <c r="F805" s="74"/>
      <c r="G805" s="74"/>
      <c r="H805" s="74"/>
      <c r="I805" s="74"/>
      <c r="J805" s="74"/>
      <c r="K805" s="15"/>
      <c r="L805" s="15"/>
      <c r="M805" s="15"/>
      <c r="N805" s="15"/>
      <c r="O805" s="15"/>
      <c r="P805" s="15"/>
      <c r="Q805" s="15"/>
      <c r="R805" s="15"/>
    </row>
    <row r="806">
      <c r="A806" s="15"/>
      <c r="B806" s="15"/>
      <c r="C806" s="15"/>
      <c r="D806" s="15"/>
      <c r="E806" s="15"/>
      <c r="F806" s="74"/>
      <c r="G806" s="74"/>
      <c r="H806" s="74"/>
      <c r="I806" s="74"/>
      <c r="J806" s="74"/>
      <c r="K806" s="15"/>
      <c r="L806" s="15"/>
      <c r="M806" s="15"/>
      <c r="N806" s="15"/>
      <c r="O806" s="15"/>
      <c r="P806" s="15"/>
      <c r="Q806" s="15"/>
      <c r="R806" s="15"/>
    </row>
    <row r="807">
      <c r="A807" s="15"/>
      <c r="B807" s="15"/>
      <c r="C807" s="15"/>
      <c r="D807" s="15"/>
      <c r="E807" s="15"/>
      <c r="F807" s="74"/>
      <c r="G807" s="74"/>
      <c r="H807" s="74"/>
      <c r="I807" s="74"/>
      <c r="J807" s="74"/>
      <c r="K807" s="15"/>
      <c r="L807" s="15"/>
      <c r="M807" s="15"/>
      <c r="N807" s="15"/>
      <c r="O807" s="15"/>
      <c r="P807" s="15"/>
      <c r="Q807" s="15"/>
      <c r="R807" s="15"/>
    </row>
    <row r="808">
      <c r="A808" s="15"/>
      <c r="B808" s="15"/>
      <c r="C808" s="15"/>
      <c r="D808" s="15"/>
      <c r="E808" s="15"/>
      <c r="F808" s="74"/>
      <c r="G808" s="74"/>
      <c r="H808" s="74"/>
      <c r="I808" s="74"/>
      <c r="J808" s="74"/>
      <c r="K808" s="15"/>
      <c r="L808" s="15"/>
      <c r="M808" s="15"/>
      <c r="N808" s="15"/>
      <c r="O808" s="15"/>
      <c r="P808" s="15"/>
      <c r="Q808" s="15"/>
      <c r="R808" s="15"/>
    </row>
    <row r="809">
      <c r="A809" s="15"/>
      <c r="B809" s="15"/>
      <c r="C809" s="15"/>
      <c r="D809" s="15"/>
      <c r="E809" s="15"/>
      <c r="F809" s="74"/>
      <c r="G809" s="74"/>
      <c r="H809" s="74"/>
      <c r="I809" s="74"/>
      <c r="J809" s="74"/>
      <c r="K809" s="15"/>
      <c r="L809" s="15"/>
      <c r="M809" s="15"/>
      <c r="N809" s="15"/>
      <c r="O809" s="15"/>
      <c r="P809" s="15"/>
      <c r="Q809" s="15"/>
      <c r="R809" s="15"/>
    </row>
    <row r="810">
      <c r="A810" s="15"/>
      <c r="B810" s="15"/>
      <c r="C810" s="15"/>
      <c r="D810" s="15"/>
      <c r="E810" s="15"/>
      <c r="F810" s="74"/>
      <c r="G810" s="74"/>
      <c r="H810" s="74"/>
      <c r="I810" s="74"/>
      <c r="J810" s="74"/>
      <c r="K810" s="15"/>
      <c r="L810" s="15"/>
      <c r="M810" s="15"/>
      <c r="N810" s="15"/>
      <c r="O810" s="15"/>
      <c r="P810" s="15"/>
      <c r="Q810" s="15"/>
      <c r="R810" s="15"/>
    </row>
    <row r="811">
      <c r="A811" s="15"/>
      <c r="B811" s="15"/>
      <c r="C811" s="15"/>
      <c r="D811" s="15"/>
      <c r="E811" s="15"/>
      <c r="F811" s="74"/>
      <c r="G811" s="74"/>
      <c r="H811" s="74"/>
      <c r="I811" s="74"/>
      <c r="J811" s="74"/>
      <c r="K811" s="15"/>
      <c r="L811" s="15"/>
      <c r="M811" s="15"/>
      <c r="N811" s="15"/>
      <c r="O811" s="15"/>
      <c r="P811" s="15"/>
      <c r="Q811" s="15"/>
      <c r="R811" s="15"/>
    </row>
    <row r="812">
      <c r="A812" s="15"/>
      <c r="B812" s="15"/>
      <c r="C812" s="15"/>
      <c r="D812" s="15"/>
      <c r="E812" s="15"/>
      <c r="F812" s="74"/>
      <c r="G812" s="74"/>
      <c r="H812" s="74"/>
      <c r="I812" s="74"/>
      <c r="J812" s="74"/>
      <c r="K812" s="15"/>
      <c r="L812" s="15"/>
      <c r="M812" s="15"/>
      <c r="N812" s="15"/>
      <c r="O812" s="15"/>
      <c r="P812" s="15"/>
      <c r="Q812" s="15"/>
      <c r="R812" s="15"/>
    </row>
    <row r="813">
      <c r="A813" s="15"/>
      <c r="B813" s="15"/>
      <c r="C813" s="15"/>
      <c r="D813" s="15"/>
      <c r="E813" s="15"/>
      <c r="F813" s="74"/>
      <c r="G813" s="74"/>
      <c r="H813" s="74"/>
      <c r="I813" s="74"/>
      <c r="J813" s="74"/>
      <c r="K813" s="15"/>
      <c r="L813" s="15"/>
      <c r="M813" s="15"/>
      <c r="N813" s="15"/>
      <c r="O813" s="15"/>
      <c r="P813" s="15"/>
      <c r="Q813" s="15"/>
      <c r="R813" s="15"/>
    </row>
    <row r="814">
      <c r="A814" s="15"/>
      <c r="B814" s="15"/>
      <c r="C814" s="15"/>
      <c r="D814" s="15"/>
      <c r="E814" s="15"/>
      <c r="F814" s="74"/>
      <c r="G814" s="74"/>
      <c r="H814" s="74"/>
      <c r="I814" s="74"/>
      <c r="J814" s="74"/>
      <c r="K814" s="15"/>
      <c r="L814" s="15"/>
      <c r="M814" s="15"/>
      <c r="N814" s="15"/>
      <c r="O814" s="15"/>
      <c r="P814" s="15"/>
      <c r="Q814" s="15"/>
      <c r="R814" s="15"/>
    </row>
    <row r="815">
      <c r="A815" s="15"/>
      <c r="B815" s="15"/>
      <c r="C815" s="15"/>
      <c r="D815" s="15"/>
      <c r="E815" s="15"/>
      <c r="F815" s="74"/>
      <c r="G815" s="74"/>
      <c r="H815" s="74"/>
      <c r="I815" s="74"/>
      <c r="J815" s="74"/>
      <c r="K815" s="15"/>
      <c r="L815" s="15"/>
      <c r="M815" s="15"/>
      <c r="N815" s="15"/>
      <c r="O815" s="15"/>
      <c r="P815" s="15"/>
      <c r="Q815" s="15"/>
      <c r="R815" s="15"/>
    </row>
    <row r="816">
      <c r="A816" s="15"/>
      <c r="B816" s="15"/>
      <c r="C816" s="15"/>
      <c r="D816" s="15"/>
      <c r="E816" s="15"/>
      <c r="F816" s="74"/>
      <c r="G816" s="74"/>
      <c r="H816" s="74"/>
      <c r="I816" s="74"/>
      <c r="J816" s="74"/>
      <c r="K816" s="15"/>
      <c r="L816" s="15"/>
      <c r="M816" s="15"/>
      <c r="N816" s="15"/>
      <c r="O816" s="15"/>
      <c r="P816" s="15"/>
      <c r="Q816" s="15"/>
      <c r="R816" s="15"/>
    </row>
    <row r="817">
      <c r="A817" s="15"/>
      <c r="B817" s="15"/>
      <c r="C817" s="15"/>
      <c r="D817" s="15"/>
      <c r="E817" s="15"/>
      <c r="F817" s="74"/>
      <c r="G817" s="74"/>
      <c r="H817" s="74"/>
      <c r="I817" s="74"/>
      <c r="J817" s="74"/>
      <c r="K817" s="15"/>
      <c r="L817" s="15"/>
      <c r="M817" s="15"/>
      <c r="N817" s="15"/>
      <c r="O817" s="15"/>
      <c r="P817" s="15"/>
      <c r="Q817" s="15"/>
      <c r="R817" s="15"/>
    </row>
    <row r="818">
      <c r="A818" s="15"/>
      <c r="B818" s="15"/>
      <c r="C818" s="15"/>
      <c r="D818" s="15"/>
      <c r="E818" s="15"/>
      <c r="F818" s="74"/>
      <c r="G818" s="74"/>
      <c r="H818" s="74"/>
      <c r="I818" s="74"/>
      <c r="J818" s="74"/>
      <c r="K818" s="15"/>
      <c r="L818" s="15"/>
      <c r="M818" s="15"/>
      <c r="N818" s="15"/>
      <c r="O818" s="15"/>
      <c r="P818" s="15"/>
      <c r="Q818" s="15"/>
      <c r="R818" s="15"/>
    </row>
    <row r="819">
      <c r="A819" s="15"/>
      <c r="B819" s="15"/>
      <c r="C819" s="15"/>
      <c r="D819" s="15"/>
      <c r="E819" s="15"/>
      <c r="F819" s="74"/>
      <c r="G819" s="74"/>
      <c r="H819" s="74"/>
      <c r="I819" s="74"/>
      <c r="J819" s="74"/>
      <c r="K819" s="15"/>
      <c r="L819" s="15"/>
      <c r="M819" s="15"/>
      <c r="N819" s="15"/>
      <c r="O819" s="15"/>
      <c r="P819" s="15"/>
      <c r="Q819" s="15"/>
      <c r="R819" s="15"/>
    </row>
    <row r="820">
      <c r="A820" s="15"/>
      <c r="B820" s="15"/>
      <c r="C820" s="15"/>
      <c r="D820" s="15"/>
      <c r="E820" s="15"/>
      <c r="F820" s="74"/>
      <c r="G820" s="74"/>
      <c r="H820" s="74"/>
      <c r="I820" s="74"/>
      <c r="J820" s="74"/>
      <c r="K820" s="15"/>
      <c r="L820" s="15"/>
      <c r="M820" s="15"/>
      <c r="N820" s="15"/>
      <c r="O820" s="15"/>
      <c r="P820" s="15"/>
      <c r="Q820" s="15"/>
      <c r="R820" s="15"/>
    </row>
    <row r="821">
      <c r="A821" s="15"/>
      <c r="B821" s="15"/>
      <c r="C821" s="15"/>
      <c r="D821" s="15"/>
      <c r="E821" s="15"/>
      <c r="F821" s="74"/>
      <c r="G821" s="74"/>
      <c r="H821" s="74"/>
      <c r="I821" s="74"/>
      <c r="J821" s="74"/>
      <c r="K821" s="15"/>
      <c r="L821" s="15"/>
      <c r="M821" s="15"/>
      <c r="N821" s="15"/>
      <c r="O821" s="15"/>
      <c r="P821" s="15"/>
      <c r="Q821" s="15"/>
      <c r="R821" s="15"/>
    </row>
    <row r="822">
      <c r="A822" s="15"/>
      <c r="B822" s="15"/>
      <c r="C822" s="15"/>
      <c r="D822" s="15"/>
      <c r="E822" s="15"/>
      <c r="F822" s="74"/>
      <c r="G822" s="74"/>
      <c r="H822" s="74"/>
      <c r="I822" s="74"/>
      <c r="J822" s="74"/>
      <c r="K822" s="15"/>
      <c r="L822" s="15"/>
      <c r="M822" s="15"/>
      <c r="N822" s="15"/>
      <c r="O822" s="15"/>
      <c r="P822" s="15"/>
      <c r="Q822" s="15"/>
      <c r="R822" s="15"/>
    </row>
    <row r="823">
      <c r="A823" s="15"/>
      <c r="B823" s="15"/>
      <c r="C823" s="15"/>
      <c r="D823" s="15"/>
      <c r="E823" s="15"/>
      <c r="F823" s="74"/>
      <c r="G823" s="74"/>
      <c r="H823" s="74"/>
      <c r="I823" s="74"/>
      <c r="J823" s="74"/>
      <c r="K823" s="15"/>
      <c r="L823" s="15"/>
      <c r="M823" s="15"/>
      <c r="N823" s="15"/>
      <c r="O823" s="15"/>
      <c r="P823" s="15"/>
      <c r="Q823" s="15"/>
      <c r="R823" s="15"/>
    </row>
    <row r="824">
      <c r="A824" s="15"/>
      <c r="B824" s="15"/>
      <c r="C824" s="15"/>
      <c r="D824" s="15"/>
      <c r="E824" s="15"/>
      <c r="F824" s="74"/>
      <c r="G824" s="74"/>
      <c r="H824" s="74"/>
      <c r="I824" s="74"/>
      <c r="J824" s="74"/>
      <c r="K824" s="15"/>
      <c r="L824" s="15"/>
      <c r="M824" s="15"/>
      <c r="N824" s="15"/>
      <c r="O824" s="15"/>
      <c r="P824" s="15"/>
      <c r="Q824" s="15"/>
      <c r="R824" s="15"/>
    </row>
    <row r="825">
      <c r="A825" s="15"/>
      <c r="B825" s="15"/>
      <c r="C825" s="15"/>
      <c r="D825" s="15"/>
      <c r="E825" s="15"/>
      <c r="F825" s="74"/>
      <c r="G825" s="74"/>
      <c r="H825" s="74"/>
      <c r="I825" s="74"/>
      <c r="J825" s="74"/>
      <c r="K825" s="15"/>
      <c r="L825" s="15"/>
      <c r="M825" s="15"/>
      <c r="N825" s="15"/>
      <c r="O825" s="15"/>
      <c r="P825" s="15"/>
      <c r="Q825" s="15"/>
      <c r="R825" s="15"/>
    </row>
    <row r="826">
      <c r="A826" s="15"/>
      <c r="B826" s="15"/>
      <c r="C826" s="15"/>
      <c r="D826" s="15"/>
      <c r="E826" s="15"/>
      <c r="F826" s="74"/>
      <c r="G826" s="74"/>
      <c r="H826" s="74"/>
      <c r="I826" s="74"/>
      <c r="J826" s="74"/>
      <c r="K826" s="15"/>
      <c r="L826" s="15"/>
      <c r="M826" s="15"/>
      <c r="N826" s="15"/>
      <c r="O826" s="15"/>
      <c r="P826" s="15"/>
      <c r="Q826" s="15"/>
      <c r="R826" s="15"/>
    </row>
    <row r="827">
      <c r="A827" s="15"/>
      <c r="B827" s="15"/>
      <c r="C827" s="15"/>
      <c r="D827" s="15"/>
      <c r="E827" s="15"/>
      <c r="F827" s="74"/>
      <c r="G827" s="74"/>
      <c r="H827" s="74"/>
      <c r="I827" s="74"/>
      <c r="J827" s="74"/>
      <c r="K827" s="15"/>
      <c r="L827" s="15"/>
      <c r="M827" s="15"/>
      <c r="N827" s="15"/>
      <c r="O827" s="15"/>
      <c r="P827" s="15"/>
      <c r="Q827" s="15"/>
      <c r="R827" s="15"/>
    </row>
    <row r="828">
      <c r="A828" s="15"/>
      <c r="B828" s="15"/>
      <c r="C828" s="15"/>
      <c r="D828" s="15"/>
      <c r="E828" s="15"/>
      <c r="F828" s="74"/>
      <c r="G828" s="74"/>
      <c r="H828" s="74"/>
      <c r="I828" s="74"/>
      <c r="J828" s="74"/>
      <c r="K828" s="15"/>
      <c r="L828" s="15"/>
      <c r="M828" s="15"/>
      <c r="N828" s="15"/>
      <c r="O828" s="15"/>
      <c r="P828" s="15"/>
      <c r="Q828" s="15"/>
      <c r="R828" s="15"/>
    </row>
    <row r="829">
      <c r="A829" s="15"/>
      <c r="B829" s="15"/>
      <c r="C829" s="15"/>
      <c r="D829" s="15"/>
      <c r="E829" s="15"/>
      <c r="F829" s="74"/>
      <c r="G829" s="74"/>
      <c r="H829" s="74"/>
      <c r="I829" s="74"/>
      <c r="J829" s="74"/>
      <c r="K829" s="15"/>
      <c r="L829" s="15"/>
      <c r="M829" s="15"/>
      <c r="N829" s="15"/>
      <c r="O829" s="15"/>
      <c r="P829" s="15"/>
      <c r="Q829" s="15"/>
      <c r="R829" s="15"/>
    </row>
    <row r="830">
      <c r="A830" s="15"/>
      <c r="B830" s="15"/>
      <c r="C830" s="15"/>
      <c r="D830" s="15"/>
      <c r="E830" s="15"/>
      <c r="F830" s="74"/>
      <c r="G830" s="74"/>
      <c r="H830" s="74"/>
      <c r="I830" s="74"/>
      <c r="J830" s="74"/>
      <c r="K830" s="15"/>
      <c r="L830" s="15"/>
      <c r="M830" s="15"/>
      <c r="N830" s="15"/>
      <c r="O830" s="15"/>
      <c r="P830" s="15"/>
      <c r="Q830" s="15"/>
      <c r="R830" s="15"/>
    </row>
    <row r="831">
      <c r="A831" s="15"/>
      <c r="B831" s="15"/>
      <c r="C831" s="15"/>
      <c r="D831" s="15"/>
      <c r="E831" s="15"/>
      <c r="F831" s="74"/>
      <c r="G831" s="74"/>
      <c r="H831" s="74"/>
      <c r="I831" s="74"/>
      <c r="J831" s="74"/>
      <c r="K831" s="15"/>
      <c r="L831" s="15"/>
      <c r="M831" s="15"/>
      <c r="N831" s="15"/>
      <c r="O831" s="15"/>
      <c r="P831" s="15"/>
      <c r="Q831" s="15"/>
      <c r="R831" s="15"/>
    </row>
    <row r="832">
      <c r="A832" s="15"/>
      <c r="B832" s="15"/>
      <c r="C832" s="15"/>
      <c r="D832" s="15"/>
      <c r="E832" s="15"/>
      <c r="F832" s="74"/>
      <c r="G832" s="74"/>
      <c r="H832" s="74"/>
      <c r="I832" s="74"/>
      <c r="J832" s="74"/>
      <c r="K832" s="15"/>
      <c r="L832" s="15"/>
      <c r="M832" s="15"/>
      <c r="N832" s="15"/>
      <c r="O832" s="15"/>
      <c r="P832" s="15"/>
      <c r="Q832" s="15"/>
      <c r="R832" s="15"/>
    </row>
    <row r="833">
      <c r="A833" s="15"/>
      <c r="B833" s="15"/>
      <c r="C833" s="15"/>
      <c r="D833" s="15"/>
      <c r="E833" s="15"/>
      <c r="F833" s="74"/>
      <c r="G833" s="74"/>
      <c r="H833" s="74"/>
      <c r="I833" s="74"/>
      <c r="J833" s="74"/>
      <c r="K833" s="15"/>
      <c r="L833" s="15"/>
      <c r="M833" s="15"/>
      <c r="N833" s="15"/>
      <c r="O833" s="15"/>
      <c r="P833" s="15"/>
      <c r="Q833" s="15"/>
      <c r="R833" s="15"/>
    </row>
    <row r="834">
      <c r="A834" s="15"/>
      <c r="B834" s="15"/>
      <c r="C834" s="15"/>
      <c r="D834" s="15"/>
      <c r="E834" s="15"/>
      <c r="F834" s="74"/>
      <c r="G834" s="74"/>
      <c r="H834" s="74"/>
      <c r="I834" s="74"/>
      <c r="J834" s="74"/>
      <c r="K834" s="15"/>
      <c r="L834" s="15"/>
      <c r="M834" s="15"/>
      <c r="N834" s="15"/>
      <c r="O834" s="15"/>
      <c r="P834" s="15"/>
      <c r="Q834" s="15"/>
      <c r="R834" s="15"/>
    </row>
    <row r="835">
      <c r="A835" s="15"/>
      <c r="B835" s="15"/>
      <c r="C835" s="15"/>
      <c r="D835" s="15"/>
      <c r="E835" s="15"/>
      <c r="F835" s="74"/>
      <c r="G835" s="74"/>
      <c r="H835" s="74"/>
      <c r="I835" s="74"/>
      <c r="J835" s="74"/>
      <c r="K835" s="15"/>
      <c r="L835" s="15"/>
      <c r="M835" s="15"/>
      <c r="N835" s="15"/>
      <c r="O835" s="15"/>
      <c r="P835" s="15"/>
      <c r="Q835" s="15"/>
      <c r="R835" s="15"/>
    </row>
    <row r="836">
      <c r="A836" s="15"/>
      <c r="B836" s="15"/>
      <c r="C836" s="15"/>
      <c r="D836" s="15"/>
      <c r="E836" s="15"/>
      <c r="F836" s="74"/>
      <c r="G836" s="74"/>
      <c r="H836" s="74"/>
      <c r="I836" s="74"/>
      <c r="J836" s="74"/>
      <c r="K836" s="15"/>
      <c r="L836" s="15"/>
      <c r="M836" s="15"/>
      <c r="N836" s="15"/>
      <c r="O836" s="15"/>
      <c r="P836" s="15"/>
      <c r="Q836" s="15"/>
      <c r="R836" s="15"/>
    </row>
    <row r="837">
      <c r="A837" s="15"/>
      <c r="B837" s="15"/>
      <c r="C837" s="15"/>
      <c r="D837" s="15"/>
      <c r="E837" s="15"/>
      <c r="F837" s="74"/>
      <c r="G837" s="74"/>
      <c r="H837" s="74"/>
      <c r="I837" s="74"/>
      <c r="J837" s="74"/>
      <c r="K837" s="15"/>
      <c r="L837" s="15"/>
      <c r="M837" s="15"/>
      <c r="N837" s="15"/>
      <c r="O837" s="15"/>
      <c r="P837" s="15"/>
      <c r="Q837" s="15"/>
      <c r="R837" s="15"/>
    </row>
    <row r="838">
      <c r="A838" s="15"/>
      <c r="B838" s="15"/>
      <c r="C838" s="15"/>
      <c r="D838" s="15"/>
      <c r="E838" s="15"/>
      <c r="F838" s="74"/>
      <c r="G838" s="74"/>
      <c r="H838" s="74"/>
      <c r="I838" s="74"/>
      <c r="J838" s="74"/>
      <c r="K838" s="15"/>
      <c r="L838" s="15"/>
      <c r="M838" s="15"/>
      <c r="N838" s="15"/>
      <c r="O838" s="15"/>
      <c r="P838" s="15"/>
      <c r="Q838" s="15"/>
      <c r="R838" s="15"/>
    </row>
    <row r="839">
      <c r="A839" s="15"/>
      <c r="B839" s="15"/>
      <c r="C839" s="15"/>
      <c r="D839" s="15"/>
      <c r="E839" s="15"/>
      <c r="F839" s="74"/>
      <c r="G839" s="74"/>
      <c r="H839" s="74"/>
      <c r="I839" s="74"/>
      <c r="J839" s="74"/>
      <c r="K839" s="15"/>
      <c r="L839" s="15"/>
      <c r="M839" s="15"/>
      <c r="N839" s="15"/>
      <c r="O839" s="15"/>
      <c r="P839" s="15"/>
      <c r="Q839" s="15"/>
      <c r="R839" s="15"/>
    </row>
    <row r="840">
      <c r="A840" s="15"/>
      <c r="B840" s="15"/>
      <c r="C840" s="15"/>
      <c r="D840" s="15"/>
      <c r="E840" s="15"/>
      <c r="F840" s="74"/>
      <c r="G840" s="74"/>
      <c r="H840" s="74"/>
      <c r="I840" s="74"/>
      <c r="J840" s="74"/>
      <c r="K840" s="15"/>
      <c r="L840" s="15"/>
      <c r="M840" s="15"/>
      <c r="N840" s="15"/>
      <c r="O840" s="15"/>
      <c r="P840" s="15"/>
      <c r="Q840" s="15"/>
      <c r="R840" s="15"/>
    </row>
    <row r="841">
      <c r="A841" s="15"/>
      <c r="B841" s="15"/>
      <c r="C841" s="15"/>
      <c r="D841" s="15"/>
      <c r="E841" s="15"/>
      <c r="F841" s="74"/>
      <c r="G841" s="74"/>
      <c r="H841" s="74"/>
      <c r="I841" s="74"/>
      <c r="J841" s="74"/>
      <c r="K841" s="15"/>
      <c r="L841" s="15"/>
      <c r="M841" s="15"/>
      <c r="N841" s="15"/>
      <c r="O841" s="15"/>
      <c r="P841" s="15"/>
      <c r="Q841" s="15"/>
      <c r="R841" s="15"/>
    </row>
    <row r="842">
      <c r="A842" s="15"/>
      <c r="B842" s="15"/>
      <c r="C842" s="15"/>
      <c r="D842" s="15"/>
      <c r="E842" s="15"/>
      <c r="F842" s="74"/>
      <c r="G842" s="74"/>
      <c r="H842" s="74"/>
      <c r="I842" s="74"/>
      <c r="J842" s="74"/>
      <c r="K842" s="15"/>
      <c r="L842" s="15"/>
      <c r="M842" s="15"/>
      <c r="N842" s="15"/>
      <c r="O842" s="15"/>
      <c r="P842" s="15"/>
      <c r="Q842" s="15"/>
      <c r="R842" s="15"/>
    </row>
    <row r="843">
      <c r="A843" s="15"/>
      <c r="B843" s="15"/>
      <c r="C843" s="15"/>
      <c r="D843" s="15"/>
      <c r="E843" s="15"/>
      <c r="F843" s="74"/>
      <c r="G843" s="74"/>
      <c r="H843" s="74"/>
      <c r="I843" s="74"/>
      <c r="J843" s="74"/>
      <c r="K843" s="15"/>
      <c r="L843" s="15"/>
      <c r="M843" s="15"/>
      <c r="N843" s="15"/>
      <c r="O843" s="15"/>
      <c r="P843" s="15"/>
      <c r="Q843" s="15"/>
      <c r="R843" s="15"/>
    </row>
    <row r="844">
      <c r="A844" s="15"/>
      <c r="B844" s="15"/>
      <c r="C844" s="15"/>
      <c r="D844" s="15"/>
      <c r="E844" s="15"/>
      <c r="F844" s="74"/>
      <c r="G844" s="74"/>
      <c r="H844" s="74"/>
      <c r="I844" s="74"/>
      <c r="J844" s="74"/>
      <c r="K844" s="15"/>
      <c r="L844" s="15"/>
      <c r="M844" s="15"/>
      <c r="N844" s="15"/>
      <c r="O844" s="15"/>
      <c r="P844" s="15"/>
      <c r="Q844" s="15"/>
      <c r="R844" s="15"/>
    </row>
    <row r="845">
      <c r="A845" s="15"/>
      <c r="B845" s="15"/>
      <c r="C845" s="15"/>
      <c r="D845" s="15"/>
      <c r="E845" s="15"/>
      <c r="F845" s="74"/>
      <c r="G845" s="74"/>
      <c r="H845" s="74"/>
      <c r="I845" s="74"/>
      <c r="J845" s="74"/>
      <c r="K845" s="15"/>
      <c r="L845" s="15"/>
      <c r="M845" s="15"/>
      <c r="N845" s="15"/>
      <c r="O845" s="15"/>
      <c r="P845" s="15"/>
      <c r="Q845" s="15"/>
      <c r="R845" s="15"/>
    </row>
    <row r="846">
      <c r="A846" s="15"/>
      <c r="B846" s="15"/>
      <c r="C846" s="15"/>
      <c r="D846" s="15"/>
      <c r="E846" s="15"/>
      <c r="F846" s="74"/>
      <c r="G846" s="74"/>
      <c r="H846" s="74"/>
      <c r="I846" s="74"/>
      <c r="J846" s="74"/>
      <c r="K846" s="15"/>
      <c r="L846" s="15"/>
      <c r="M846" s="15"/>
      <c r="N846" s="15"/>
      <c r="O846" s="15"/>
      <c r="P846" s="15"/>
      <c r="Q846" s="15"/>
      <c r="R846" s="15"/>
    </row>
    <row r="847">
      <c r="A847" s="15"/>
      <c r="B847" s="15"/>
      <c r="C847" s="15"/>
      <c r="D847" s="15"/>
      <c r="E847" s="15"/>
      <c r="F847" s="74"/>
      <c r="G847" s="74"/>
      <c r="H847" s="74"/>
      <c r="I847" s="74"/>
      <c r="J847" s="74"/>
      <c r="K847" s="15"/>
      <c r="L847" s="15"/>
      <c r="M847" s="15"/>
      <c r="N847" s="15"/>
      <c r="O847" s="15"/>
      <c r="P847" s="15"/>
      <c r="Q847" s="15"/>
      <c r="R847" s="15"/>
    </row>
    <row r="848">
      <c r="A848" s="15"/>
      <c r="B848" s="15"/>
      <c r="C848" s="15"/>
      <c r="D848" s="15"/>
      <c r="E848" s="15"/>
      <c r="F848" s="74"/>
      <c r="G848" s="74"/>
      <c r="H848" s="74"/>
      <c r="I848" s="74"/>
      <c r="J848" s="74"/>
      <c r="K848" s="15"/>
      <c r="L848" s="15"/>
      <c r="M848" s="15"/>
      <c r="N848" s="15"/>
      <c r="O848" s="15"/>
      <c r="P848" s="15"/>
      <c r="Q848" s="15"/>
      <c r="R848" s="15"/>
    </row>
    <row r="849">
      <c r="A849" s="15"/>
      <c r="B849" s="15"/>
      <c r="C849" s="15"/>
      <c r="D849" s="15"/>
      <c r="E849" s="15"/>
      <c r="F849" s="74"/>
      <c r="G849" s="74"/>
      <c r="H849" s="74"/>
      <c r="I849" s="74"/>
      <c r="J849" s="74"/>
      <c r="K849" s="15"/>
      <c r="L849" s="15"/>
      <c r="M849" s="15"/>
      <c r="N849" s="15"/>
      <c r="O849" s="15"/>
      <c r="P849" s="15"/>
      <c r="Q849" s="15"/>
      <c r="R849" s="15"/>
    </row>
    <row r="850">
      <c r="A850" s="15"/>
      <c r="B850" s="15"/>
      <c r="C850" s="15"/>
      <c r="D850" s="15"/>
      <c r="E850" s="15"/>
      <c r="F850" s="74"/>
      <c r="G850" s="74"/>
      <c r="H850" s="74"/>
      <c r="I850" s="74"/>
      <c r="J850" s="74"/>
      <c r="K850" s="15"/>
      <c r="L850" s="15"/>
      <c r="M850" s="15"/>
      <c r="N850" s="15"/>
      <c r="O850" s="15"/>
      <c r="P850" s="15"/>
      <c r="Q850" s="15"/>
      <c r="R850" s="15"/>
    </row>
    <row r="851">
      <c r="A851" s="15"/>
      <c r="B851" s="15"/>
      <c r="C851" s="15"/>
      <c r="D851" s="15"/>
      <c r="E851" s="15"/>
      <c r="F851" s="74"/>
      <c r="G851" s="74"/>
      <c r="H851" s="74"/>
      <c r="I851" s="74"/>
      <c r="J851" s="74"/>
      <c r="K851" s="15"/>
      <c r="L851" s="15"/>
      <c r="M851" s="15"/>
      <c r="N851" s="15"/>
      <c r="O851" s="15"/>
      <c r="P851" s="15"/>
      <c r="Q851" s="15"/>
      <c r="R851" s="15"/>
    </row>
    <row r="852">
      <c r="A852" s="15"/>
      <c r="B852" s="15"/>
      <c r="C852" s="15"/>
      <c r="D852" s="15"/>
      <c r="E852" s="15"/>
      <c r="F852" s="74"/>
      <c r="G852" s="74"/>
      <c r="H852" s="74"/>
      <c r="I852" s="74"/>
      <c r="J852" s="74"/>
      <c r="K852" s="15"/>
      <c r="L852" s="15"/>
      <c r="M852" s="15"/>
      <c r="N852" s="15"/>
      <c r="O852" s="15"/>
      <c r="P852" s="15"/>
      <c r="Q852" s="15"/>
      <c r="R852" s="15"/>
    </row>
    <row r="853">
      <c r="A853" s="15"/>
      <c r="B853" s="15"/>
      <c r="C853" s="15"/>
      <c r="D853" s="15"/>
      <c r="E853" s="15"/>
      <c r="F853" s="74"/>
      <c r="G853" s="74"/>
      <c r="H853" s="74"/>
      <c r="I853" s="74"/>
      <c r="J853" s="74"/>
      <c r="K853" s="15"/>
      <c r="L853" s="15"/>
      <c r="M853" s="15"/>
      <c r="N853" s="15"/>
      <c r="O853" s="15"/>
      <c r="P853" s="15"/>
      <c r="Q853" s="15"/>
      <c r="R853" s="15"/>
    </row>
    <row r="854">
      <c r="A854" s="15"/>
      <c r="B854" s="15"/>
      <c r="C854" s="15"/>
      <c r="D854" s="15"/>
      <c r="E854" s="15"/>
      <c r="F854" s="74"/>
      <c r="G854" s="74"/>
      <c r="H854" s="74"/>
      <c r="I854" s="74"/>
      <c r="J854" s="74"/>
      <c r="K854" s="15"/>
      <c r="L854" s="15"/>
      <c r="M854" s="15"/>
      <c r="N854" s="15"/>
      <c r="O854" s="15"/>
      <c r="P854" s="15"/>
      <c r="Q854" s="15"/>
      <c r="R854" s="15"/>
    </row>
    <row r="855">
      <c r="A855" s="15"/>
      <c r="B855" s="15"/>
      <c r="C855" s="15"/>
      <c r="D855" s="15"/>
      <c r="E855" s="15"/>
      <c r="F855" s="74"/>
      <c r="G855" s="74"/>
      <c r="H855" s="74"/>
      <c r="I855" s="74"/>
      <c r="J855" s="74"/>
      <c r="K855" s="15"/>
      <c r="L855" s="15"/>
      <c r="M855" s="15"/>
      <c r="N855" s="15"/>
      <c r="O855" s="15"/>
      <c r="P855" s="15"/>
      <c r="Q855" s="15"/>
      <c r="R855" s="15"/>
    </row>
    <row r="856">
      <c r="A856" s="15"/>
      <c r="B856" s="15"/>
      <c r="C856" s="15"/>
      <c r="D856" s="15"/>
      <c r="E856" s="15"/>
      <c r="F856" s="74"/>
      <c r="G856" s="74"/>
      <c r="H856" s="74"/>
      <c r="I856" s="74"/>
      <c r="J856" s="74"/>
      <c r="K856" s="15"/>
      <c r="L856" s="15"/>
      <c r="M856" s="15"/>
      <c r="N856" s="15"/>
      <c r="O856" s="15"/>
      <c r="P856" s="15"/>
      <c r="Q856" s="15"/>
      <c r="R856" s="15"/>
    </row>
    <row r="857">
      <c r="A857" s="15"/>
      <c r="B857" s="15"/>
      <c r="C857" s="15"/>
      <c r="D857" s="15"/>
      <c r="E857" s="15"/>
      <c r="F857" s="74"/>
      <c r="G857" s="74"/>
      <c r="H857" s="74"/>
      <c r="I857" s="74"/>
      <c r="J857" s="74"/>
      <c r="K857" s="15"/>
      <c r="L857" s="15"/>
      <c r="M857" s="15"/>
      <c r="N857" s="15"/>
      <c r="O857" s="15"/>
      <c r="P857" s="15"/>
      <c r="Q857" s="15"/>
      <c r="R857" s="15"/>
    </row>
    <row r="858">
      <c r="A858" s="15"/>
      <c r="B858" s="15"/>
      <c r="C858" s="15"/>
      <c r="D858" s="15"/>
      <c r="E858" s="15"/>
      <c r="F858" s="74"/>
      <c r="G858" s="74"/>
      <c r="H858" s="74"/>
      <c r="I858" s="74"/>
      <c r="J858" s="74"/>
      <c r="K858" s="15"/>
      <c r="L858" s="15"/>
      <c r="M858" s="15"/>
      <c r="N858" s="15"/>
      <c r="O858" s="15"/>
      <c r="P858" s="15"/>
      <c r="Q858" s="15"/>
      <c r="R858" s="15"/>
    </row>
    <row r="859">
      <c r="A859" s="15"/>
      <c r="B859" s="15"/>
      <c r="C859" s="15"/>
      <c r="D859" s="15"/>
      <c r="E859" s="15"/>
      <c r="F859" s="74"/>
      <c r="G859" s="74"/>
      <c r="H859" s="74"/>
      <c r="I859" s="74"/>
      <c r="J859" s="74"/>
      <c r="K859" s="15"/>
      <c r="L859" s="15"/>
      <c r="M859" s="15"/>
      <c r="N859" s="15"/>
      <c r="O859" s="15"/>
      <c r="P859" s="15"/>
      <c r="Q859" s="15"/>
      <c r="R859" s="15"/>
    </row>
    <row r="860">
      <c r="A860" s="15"/>
      <c r="B860" s="15"/>
      <c r="C860" s="15"/>
      <c r="D860" s="15"/>
      <c r="E860" s="15"/>
      <c r="F860" s="74"/>
      <c r="G860" s="74"/>
      <c r="H860" s="74"/>
      <c r="I860" s="74"/>
      <c r="J860" s="74"/>
      <c r="K860" s="15"/>
      <c r="L860" s="15"/>
      <c r="M860" s="15"/>
      <c r="N860" s="15"/>
      <c r="O860" s="15"/>
      <c r="P860" s="15"/>
      <c r="Q860" s="15"/>
      <c r="R860" s="15"/>
    </row>
    <row r="861">
      <c r="A861" s="15"/>
      <c r="B861" s="15"/>
      <c r="C861" s="15"/>
      <c r="D861" s="15"/>
      <c r="E861" s="15"/>
      <c r="F861" s="74"/>
      <c r="G861" s="74"/>
      <c r="H861" s="74"/>
      <c r="I861" s="74"/>
      <c r="J861" s="74"/>
      <c r="K861" s="15"/>
      <c r="L861" s="15"/>
      <c r="M861" s="15"/>
      <c r="N861" s="15"/>
      <c r="O861" s="15"/>
      <c r="P861" s="15"/>
      <c r="Q861" s="15"/>
      <c r="R861" s="15"/>
    </row>
    <row r="862">
      <c r="A862" s="15"/>
      <c r="B862" s="15"/>
      <c r="C862" s="15"/>
      <c r="D862" s="15"/>
      <c r="E862" s="15"/>
      <c r="F862" s="74"/>
      <c r="G862" s="74"/>
      <c r="H862" s="74"/>
      <c r="I862" s="74"/>
      <c r="J862" s="74"/>
      <c r="K862" s="15"/>
      <c r="L862" s="15"/>
      <c r="M862" s="15"/>
      <c r="N862" s="15"/>
      <c r="O862" s="15"/>
      <c r="P862" s="15"/>
      <c r="Q862" s="15"/>
      <c r="R862" s="15"/>
    </row>
    <row r="863">
      <c r="A863" s="15"/>
      <c r="B863" s="15"/>
      <c r="C863" s="15"/>
      <c r="D863" s="15"/>
      <c r="E863" s="15"/>
      <c r="F863" s="74"/>
      <c r="G863" s="74"/>
      <c r="H863" s="74"/>
      <c r="I863" s="74"/>
      <c r="J863" s="74"/>
      <c r="K863" s="15"/>
      <c r="L863" s="15"/>
      <c r="M863" s="15"/>
      <c r="N863" s="15"/>
      <c r="O863" s="15"/>
      <c r="P863" s="15"/>
      <c r="Q863" s="15"/>
      <c r="R863" s="15"/>
    </row>
    <row r="864">
      <c r="A864" s="15"/>
      <c r="B864" s="15"/>
      <c r="C864" s="15"/>
      <c r="D864" s="15"/>
      <c r="E864" s="15"/>
      <c r="F864" s="74"/>
      <c r="G864" s="74"/>
      <c r="H864" s="74"/>
      <c r="I864" s="74"/>
      <c r="J864" s="74"/>
      <c r="K864" s="15"/>
      <c r="L864" s="15"/>
      <c r="M864" s="15"/>
      <c r="N864" s="15"/>
      <c r="O864" s="15"/>
      <c r="P864" s="15"/>
      <c r="Q864" s="15"/>
      <c r="R864" s="15"/>
    </row>
    <row r="865">
      <c r="A865" s="15"/>
      <c r="B865" s="15"/>
      <c r="C865" s="15"/>
      <c r="D865" s="15"/>
      <c r="E865" s="15"/>
      <c r="F865" s="74"/>
      <c r="G865" s="74"/>
      <c r="H865" s="74"/>
      <c r="I865" s="74"/>
      <c r="J865" s="74"/>
      <c r="K865" s="15"/>
      <c r="L865" s="15"/>
      <c r="M865" s="15"/>
      <c r="N865" s="15"/>
      <c r="O865" s="15"/>
      <c r="P865" s="15"/>
      <c r="Q865" s="15"/>
      <c r="R865" s="15"/>
    </row>
    <row r="866">
      <c r="A866" s="15"/>
      <c r="B866" s="15"/>
      <c r="C866" s="15"/>
      <c r="D866" s="15"/>
      <c r="E866" s="15"/>
      <c r="F866" s="74"/>
      <c r="G866" s="74"/>
      <c r="H866" s="74"/>
      <c r="I866" s="74"/>
      <c r="J866" s="74"/>
      <c r="K866" s="15"/>
      <c r="L866" s="15"/>
      <c r="M866" s="15"/>
      <c r="N866" s="15"/>
      <c r="O866" s="15"/>
      <c r="P866" s="15"/>
      <c r="Q866" s="15"/>
      <c r="R866" s="15"/>
    </row>
    <row r="867">
      <c r="A867" s="15"/>
      <c r="B867" s="15"/>
      <c r="C867" s="15"/>
      <c r="D867" s="15"/>
      <c r="E867" s="15"/>
      <c r="F867" s="74"/>
      <c r="G867" s="74"/>
      <c r="H867" s="74"/>
      <c r="I867" s="74"/>
      <c r="J867" s="74"/>
      <c r="K867" s="15"/>
      <c r="L867" s="15"/>
      <c r="M867" s="15"/>
      <c r="N867" s="15"/>
      <c r="O867" s="15"/>
      <c r="P867" s="15"/>
      <c r="Q867" s="15"/>
      <c r="R867" s="15"/>
    </row>
    <row r="868">
      <c r="A868" s="15"/>
      <c r="B868" s="15"/>
      <c r="C868" s="15"/>
      <c r="D868" s="15"/>
      <c r="E868" s="15"/>
      <c r="F868" s="74"/>
      <c r="G868" s="74"/>
      <c r="H868" s="74"/>
      <c r="I868" s="74"/>
      <c r="J868" s="74"/>
      <c r="K868" s="15"/>
      <c r="L868" s="15"/>
      <c r="M868" s="15"/>
      <c r="N868" s="15"/>
      <c r="O868" s="15"/>
      <c r="P868" s="15"/>
      <c r="Q868" s="15"/>
      <c r="R868" s="15"/>
    </row>
    <row r="869">
      <c r="A869" s="15"/>
      <c r="B869" s="15"/>
      <c r="C869" s="15"/>
      <c r="D869" s="15"/>
      <c r="E869" s="15"/>
      <c r="F869" s="74"/>
      <c r="G869" s="74"/>
      <c r="H869" s="74"/>
      <c r="I869" s="74"/>
      <c r="J869" s="74"/>
      <c r="K869" s="15"/>
      <c r="L869" s="15"/>
      <c r="M869" s="15"/>
      <c r="N869" s="15"/>
      <c r="O869" s="15"/>
      <c r="P869" s="15"/>
      <c r="Q869" s="15"/>
      <c r="R869" s="15"/>
    </row>
    <row r="870">
      <c r="A870" s="15"/>
      <c r="B870" s="15"/>
      <c r="C870" s="15"/>
      <c r="D870" s="15"/>
      <c r="E870" s="15"/>
      <c r="F870" s="74"/>
      <c r="G870" s="74"/>
      <c r="H870" s="74"/>
      <c r="I870" s="74"/>
      <c r="J870" s="74"/>
      <c r="K870" s="15"/>
      <c r="L870" s="15"/>
      <c r="M870" s="15"/>
      <c r="N870" s="15"/>
      <c r="O870" s="15"/>
      <c r="P870" s="15"/>
      <c r="Q870" s="15"/>
      <c r="R870" s="15"/>
    </row>
    <row r="871">
      <c r="A871" s="15"/>
      <c r="B871" s="15"/>
      <c r="C871" s="15"/>
      <c r="D871" s="15"/>
      <c r="E871" s="15"/>
      <c r="F871" s="74"/>
      <c r="G871" s="74"/>
      <c r="H871" s="74"/>
      <c r="I871" s="74"/>
      <c r="J871" s="74"/>
      <c r="K871" s="15"/>
      <c r="L871" s="15"/>
      <c r="M871" s="15"/>
      <c r="N871" s="15"/>
      <c r="O871" s="15"/>
      <c r="P871" s="15"/>
      <c r="Q871" s="15"/>
      <c r="R871" s="15"/>
    </row>
    <row r="872">
      <c r="A872" s="15"/>
      <c r="B872" s="15"/>
      <c r="C872" s="15"/>
      <c r="D872" s="15"/>
      <c r="E872" s="15"/>
      <c r="F872" s="74"/>
      <c r="G872" s="74"/>
      <c r="H872" s="74"/>
      <c r="I872" s="74"/>
      <c r="J872" s="74"/>
      <c r="K872" s="15"/>
      <c r="L872" s="15"/>
      <c r="M872" s="15"/>
      <c r="N872" s="15"/>
      <c r="O872" s="15"/>
      <c r="P872" s="15"/>
      <c r="Q872" s="15"/>
      <c r="R872" s="15"/>
    </row>
    <row r="873">
      <c r="A873" s="15"/>
      <c r="B873" s="15"/>
      <c r="C873" s="15"/>
      <c r="D873" s="15"/>
      <c r="E873" s="15"/>
      <c r="F873" s="74"/>
      <c r="G873" s="74"/>
      <c r="H873" s="74"/>
      <c r="I873" s="74"/>
      <c r="J873" s="74"/>
      <c r="K873" s="15"/>
      <c r="L873" s="15"/>
      <c r="M873" s="15"/>
      <c r="N873" s="15"/>
      <c r="O873" s="15"/>
      <c r="P873" s="15"/>
      <c r="Q873" s="15"/>
      <c r="R873" s="15"/>
    </row>
    <row r="874">
      <c r="A874" s="15"/>
      <c r="B874" s="15"/>
      <c r="C874" s="15"/>
      <c r="D874" s="15"/>
      <c r="E874" s="15"/>
      <c r="F874" s="74"/>
      <c r="G874" s="74"/>
      <c r="H874" s="74"/>
      <c r="I874" s="74"/>
      <c r="J874" s="74"/>
      <c r="K874" s="15"/>
      <c r="L874" s="15"/>
      <c r="M874" s="15"/>
      <c r="N874" s="15"/>
      <c r="O874" s="15"/>
      <c r="P874" s="15"/>
      <c r="Q874" s="15"/>
      <c r="R874" s="15"/>
    </row>
    <row r="875">
      <c r="A875" s="15"/>
      <c r="B875" s="15"/>
      <c r="C875" s="15"/>
      <c r="D875" s="15"/>
      <c r="E875" s="15"/>
      <c r="F875" s="74"/>
      <c r="G875" s="74"/>
      <c r="H875" s="74"/>
      <c r="I875" s="74"/>
      <c r="J875" s="74"/>
      <c r="K875" s="15"/>
      <c r="L875" s="15"/>
      <c r="M875" s="15"/>
      <c r="N875" s="15"/>
      <c r="O875" s="15"/>
      <c r="P875" s="15"/>
      <c r="Q875" s="15"/>
      <c r="R875" s="15"/>
    </row>
    <row r="876">
      <c r="A876" s="15"/>
      <c r="B876" s="15"/>
      <c r="C876" s="15"/>
      <c r="D876" s="15"/>
      <c r="E876" s="15"/>
      <c r="F876" s="74"/>
      <c r="G876" s="74"/>
      <c r="H876" s="74"/>
      <c r="I876" s="74"/>
      <c r="J876" s="74"/>
      <c r="K876" s="15"/>
      <c r="L876" s="15"/>
      <c r="M876" s="15"/>
      <c r="N876" s="15"/>
      <c r="O876" s="15"/>
      <c r="P876" s="15"/>
      <c r="Q876" s="15"/>
      <c r="R876" s="15"/>
    </row>
    <row r="877">
      <c r="A877" s="15"/>
      <c r="B877" s="15"/>
      <c r="C877" s="15"/>
      <c r="D877" s="15"/>
      <c r="E877" s="15"/>
      <c r="F877" s="74"/>
      <c r="G877" s="74"/>
      <c r="H877" s="74"/>
      <c r="I877" s="74"/>
      <c r="J877" s="74"/>
      <c r="K877" s="15"/>
      <c r="L877" s="15"/>
      <c r="M877" s="15"/>
      <c r="N877" s="15"/>
      <c r="O877" s="15"/>
      <c r="P877" s="15"/>
      <c r="Q877" s="15"/>
      <c r="R877" s="15"/>
    </row>
    <row r="878">
      <c r="A878" s="15"/>
      <c r="B878" s="15"/>
      <c r="C878" s="15"/>
      <c r="D878" s="15"/>
      <c r="E878" s="15"/>
      <c r="F878" s="74"/>
      <c r="G878" s="74"/>
      <c r="H878" s="74"/>
      <c r="I878" s="74"/>
      <c r="J878" s="74"/>
      <c r="K878" s="15"/>
      <c r="L878" s="15"/>
      <c r="M878" s="15"/>
      <c r="N878" s="15"/>
      <c r="O878" s="15"/>
      <c r="P878" s="15"/>
      <c r="Q878" s="15"/>
      <c r="R878" s="15"/>
    </row>
    <row r="879">
      <c r="A879" s="15"/>
      <c r="B879" s="15"/>
      <c r="C879" s="15"/>
      <c r="D879" s="15"/>
      <c r="E879" s="15"/>
      <c r="F879" s="74"/>
      <c r="G879" s="74"/>
      <c r="H879" s="74"/>
      <c r="I879" s="74"/>
      <c r="J879" s="74"/>
      <c r="K879" s="15"/>
      <c r="L879" s="15"/>
      <c r="M879" s="15"/>
      <c r="N879" s="15"/>
      <c r="O879" s="15"/>
      <c r="P879" s="15"/>
      <c r="Q879" s="15"/>
      <c r="R879" s="15"/>
    </row>
    <row r="880">
      <c r="A880" s="15"/>
      <c r="B880" s="15"/>
      <c r="C880" s="15"/>
      <c r="D880" s="15"/>
      <c r="E880" s="15"/>
      <c r="F880" s="74"/>
      <c r="G880" s="74"/>
      <c r="H880" s="74"/>
      <c r="I880" s="74"/>
      <c r="J880" s="74"/>
      <c r="K880" s="15"/>
      <c r="L880" s="15"/>
      <c r="M880" s="15"/>
      <c r="N880" s="15"/>
      <c r="O880" s="15"/>
      <c r="P880" s="15"/>
      <c r="Q880" s="15"/>
      <c r="R880" s="15"/>
    </row>
    <row r="881">
      <c r="A881" s="15"/>
      <c r="B881" s="15"/>
      <c r="C881" s="15"/>
      <c r="D881" s="15"/>
      <c r="E881" s="15"/>
      <c r="F881" s="74"/>
      <c r="G881" s="74"/>
      <c r="H881" s="74"/>
      <c r="I881" s="74"/>
      <c r="J881" s="74"/>
      <c r="K881" s="15"/>
      <c r="L881" s="15"/>
      <c r="M881" s="15"/>
      <c r="N881" s="15"/>
      <c r="O881" s="15"/>
      <c r="P881" s="15"/>
      <c r="Q881" s="15"/>
      <c r="R881" s="15"/>
    </row>
    <row r="882">
      <c r="A882" s="15"/>
      <c r="B882" s="15"/>
      <c r="C882" s="15"/>
      <c r="D882" s="15"/>
      <c r="E882" s="15"/>
      <c r="F882" s="74"/>
      <c r="G882" s="74"/>
      <c r="H882" s="74"/>
      <c r="I882" s="74"/>
      <c r="J882" s="74"/>
      <c r="K882" s="15"/>
      <c r="L882" s="15"/>
      <c r="M882" s="15"/>
      <c r="N882" s="15"/>
      <c r="O882" s="15"/>
      <c r="P882" s="15"/>
      <c r="Q882" s="15"/>
      <c r="R882" s="15"/>
    </row>
    <row r="883">
      <c r="A883" s="15"/>
      <c r="B883" s="15"/>
      <c r="C883" s="15"/>
      <c r="D883" s="15"/>
      <c r="E883" s="15"/>
      <c r="F883" s="74"/>
      <c r="G883" s="74"/>
      <c r="H883" s="74"/>
      <c r="I883" s="74"/>
      <c r="J883" s="74"/>
      <c r="K883" s="15"/>
      <c r="L883" s="15"/>
      <c r="M883" s="15"/>
      <c r="N883" s="15"/>
      <c r="O883" s="15"/>
      <c r="P883" s="15"/>
      <c r="Q883" s="15"/>
      <c r="R883" s="15"/>
    </row>
    <row r="884">
      <c r="A884" s="15"/>
      <c r="B884" s="15"/>
      <c r="C884" s="15"/>
      <c r="D884" s="15"/>
      <c r="E884" s="15"/>
      <c r="F884" s="74"/>
      <c r="G884" s="74"/>
      <c r="H884" s="74"/>
      <c r="I884" s="74"/>
      <c r="J884" s="74"/>
      <c r="K884" s="15"/>
      <c r="L884" s="15"/>
      <c r="M884" s="15"/>
      <c r="N884" s="15"/>
      <c r="O884" s="15"/>
      <c r="P884" s="15"/>
      <c r="Q884" s="15"/>
      <c r="R884" s="15"/>
    </row>
    <row r="885">
      <c r="A885" s="15"/>
      <c r="B885" s="15"/>
      <c r="C885" s="15"/>
      <c r="D885" s="15"/>
      <c r="E885" s="15"/>
      <c r="F885" s="74"/>
      <c r="G885" s="74"/>
      <c r="H885" s="74"/>
      <c r="I885" s="74"/>
      <c r="J885" s="74"/>
      <c r="K885" s="15"/>
      <c r="L885" s="15"/>
      <c r="M885" s="15"/>
      <c r="N885" s="15"/>
      <c r="O885" s="15"/>
      <c r="P885" s="15"/>
      <c r="Q885" s="15"/>
      <c r="R885" s="15"/>
    </row>
    <row r="886">
      <c r="A886" s="15"/>
      <c r="B886" s="15"/>
      <c r="C886" s="15"/>
      <c r="D886" s="15"/>
      <c r="E886" s="15"/>
      <c r="F886" s="74"/>
      <c r="G886" s="74"/>
      <c r="H886" s="74"/>
      <c r="I886" s="74"/>
      <c r="J886" s="74"/>
      <c r="K886" s="15"/>
      <c r="L886" s="15"/>
      <c r="M886" s="15"/>
      <c r="N886" s="15"/>
      <c r="O886" s="15"/>
      <c r="P886" s="15"/>
      <c r="Q886" s="15"/>
      <c r="R886" s="15"/>
    </row>
    <row r="887">
      <c r="A887" s="15"/>
      <c r="B887" s="15"/>
      <c r="C887" s="15"/>
      <c r="D887" s="15"/>
      <c r="E887" s="15"/>
      <c r="F887" s="74"/>
      <c r="G887" s="74"/>
      <c r="H887" s="74"/>
      <c r="I887" s="74"/>
      <c r="J887" s="74"/>
      <c r="K887" s="15"/>
      <c r="L887" s="15"/>
      <c r="M887" s="15"/>
      <c r="N887" s="15"/>
      <c r="O887" s="15"/>
      <c r="P887" s="15"/>
      <c r="Q887" s="15"/>
      <c r="R887" s="15"/>
    </row>
    <row r="888">
      <c r="A888" s="15"/>
      <c r="B888" s="15"/>
      <c r="C888" s="15"/>
      <c r="D888" s="15"/>
      <c r="E888" s="15"/>
      <c r="F888" s="74"/>
      <c r="G888" s="74"/>
      <c r="H888" s="74"/>
      <c r="I888" s="74"/>
      <c r="J888" s="74"/>
      <c r="K888" s="15"/>
      <c r="L888" s="15"/>
      <c r="M888" s="15"/>
      <c r="N888" s="15"/>
      <c r="O888" s="15"/>
      <c r="P888" s="15"/>
      <c r="Q888" s="15"/>
      <c r="R888" s="15"/>
    </row>
    <row r="889">
      <c r="A889" s="15"/>
      <c r="B889" s="15"/>
      <c r="C889" s="15"/>
      <c r="D889" s="15"/>
      <c r="E889" s="15"/>
      <c r="F889" s="74"/>
      <c r="G889" s="74"/>
      <c r="H889" s="74"/>
      <c r="I889" s="74"/>
      <c r="J889" s="74"/>
      <c r="K889" s="15"/>
      <c r="L889" s="15"/>
      <c r="M889" s="15"/>
      <c r="N889" s="15"/>
      <c r="O889" s="15"/>
      <c r="P889" s="15"/>
      <c r="Q889" s="15"/>
      <c r="R889" s="15"/>
    </row>
    <row r="890">
      <c r="A890" s="15"/>
      <c r="B890" s="15"/>
      <c r="C890" s="15"/>
      <c r="D890" s="15"/>
      <c r="E890" s="15"/>
      <c r="F890" s="74"/>
      <c r="G890" s="74"/>
      <c r="H890" s="74"/>
      <c r="I890" s="74"/>
      <c r="J890" s="74"/>
      <c r="K890" s="15"/>
      <c r="L890" s="15"/>
      <c r="M890" s="15"/>
      <c r="N890" s="15"/>
      <c r="O890" s="15"/>
      <c r="P890" s="15"/>
      <c r="Q890" s="15"/>
      <c r="R890" s="15"/>
    </row>
    <row r="891">
      <c r="A891" s="15"/>
      <c r="B891" s="15"/>
      <c r="C891" s="15"/>
      <c r="D891" s="15"/>
      <c r="E891" s="15"/>
      <c r="F891" s="74"/>
      <c r="G891" s="74"/>
      <c r="H891" s="74"/>
      <c r="I891" s="74"/>
      <c r="J891" s="74"/>
      <c r="K891" s="15"/>
      <c r="L891" s="15"/>
      <c r="M891" s="15"/>
      <c r="N891" s="15"/>
      <c r="O891" s="15"/>
      <c r="P891" s="15"/>
      <c r="Q891" s="15"/>
      <c r="R891" s="15"/>
    </row>
    <row r="892">
      <c r="A892" s="15"/>
      <c r="B892" s="15"/>
      <c r="C892" s="15"/>
      <c r="D892" s="15"/>
      <c r="E892" s="15"/>
      <c r="F892" s="74"/>
      <c r="G892" s="74"/>
      <c r="H892" s="74"/>
      <c r="I892" s="74"/>
      <c r="J892" s="74"/>
      <c r="K892" s="15"/>
      <c r="L892" s="15"/>
      <c r="M892" s="15"/>
      <c r="N892" s="15"/>
      <c r="O892" s="15"/>
      <c r="P892" s="15"/>
      <c r="Q892" s="15"/>
      <c r="R892" s="15"/>
    </row>
    <row r="893">
      <c r="A893" s="15"/>
      <c r="B893" s="15"/>
      <c r="C893" s="15"/>
      <c r="D893" s="15"/>
      <c r="E893" s="15"/>
      <c r="F893" s="74"/>
      <c r="G893" s="74"/>
      <c r="H893" s="74"/>
      <c r="I893" s="74"/>
      <c r="J893" s="74"/>
      <c r="K893" s="15"/>
      <c r="L893" s="15"/>
      <c r="M893" s="15"/>
      <c r="N893" s="15"/>
      <c r="O893" s="15"/>
      <c r="P893" s="15"/>
      <c r="Q893" s="15"/>
      <c r="R893" s="15"/>
    </row>
    <row r="894">
      <c r="A894" s="15"/>
      <c r="B894" s="15"/>
      <c r="C894" s="15"/>
      <c r="D894" s="15"/>
      <c r="E894" s="15"/>
      <c r="F894" s="74"/>
      <c r="G894" s="74"/>
      <c r="H894" s="74"/>
      <c r="I894" s="74"/>
      <c r="J894" s="74"/>
      <c r="K894" s="15"/>
      <c r="L894" s="15"/>
      <c r="M894" s="15"/>
      <c r="N894" s="15"/>
      <c r="O894" s="15"/>
      <c r="P894" s="15"/>
      <c r="Q894" s="15"/>
      <c r="R894" s="15"/>
    </row>
    <row r="895">
      <c r="A895" s="15"/>
      <c r="B895" s="15"/>
      <c r="C895" s="15"/>
      <c r="D895" s="15"/>
      <c r="E895" s="15"/>
      <c r="F895" s="74"/>
      <c r="G895" s="74"/>
      <c r="H895" s="74"/>
      <c r="I895" s="74"/>
      <c r="J895" s="74"/>
      <c r="K895" s="15"/>
      <c r="L895" s="15"/>
      <c r="M895" s="15"/>
      <c r="N895" s="15"/>
      <c r="O895" s="15"/>
      <c r="P895" s="15"/>
      <c r="Q895" s="15"/>
      <c r="R895" s="15"/>
    </row>
    <row r="896">
      <c r="A896" s="15"/>
      <c r="B896" s="15"/>
      <c r="C896" s="15"/>
      <c r="D896" s="15"/>
      <c r="E896" s="15"/>
      <c r="F896" s="74"/>
      <c r="G896" s="74"/>
      <c r="H896" s="74"/>
      <c r="I896" s="74"/>
      <c r="J896" s="74"/>
      <c r="K896" s="15"/>
      <c r="L896" s="15"/>
      <c r="M896" s="15"/>
      <c r="N896" s="15"/>
      <c r="O896" s="15"/>
      <c r="P896" s="15"/>
      <c r="Q896" s="15"/>
      <c r="R896" s="15"/>
    </row>
    <row r="897">
      <c r="A897" s="15"/>
      <c r="B897" s="15"/>
      <c r="C897" s="15"/>
      <c r="D897" s="15"/>
      <c r="E897" s="15"/>
      <c r="F897" s="74"/>
      <c r="G897" s="74"/>
      <c r="H897" s="74"/>
      <c r="I897" s="74"/>
      <c r="J897" s="74"/>
      <c r="K897" s="15"/>
      <c r="L897" s="15"/>
      <c r="M897" s="15"/>
      <c r="N897" s="15"/>
      <c r="O897" s="15"/>
      <c r="P897" s="15"/>
      <c r="Q897" s="15"/>
      <c r="R897" s="15"/>
    </row>
    <row r="898">
      <c r="A898" s="15"/>
      <c r="B898" s="15"/>
      <c r="C898" s="15"/>
      <c r="D898" s="15"/>
      <c r="E898" s="15"/>
      <c r="F898" s="74"/>
      <c r="G898" s="74"/>
      <c r="H898" s="74"/>
      <c r="I898" s="74"/>
      <c r="J898" s="74"/>
      <c r="K898" s="15"/>
      <c r="L898" s="15"/>
      <c r="M898" s="15"/>
      <c r="N898" s="15"/>
      <c r="O898" s="15"/>
      <c r="P898" s="15"/>
      <c r="Q898" s="15"/>
      <c r="R898" s="15"/>
    </row>
    <row r="899">
      <c r="A899" s="15"/>
      <c r="B899" s="15"/>
      <c r="C899" s="15"/>
      <c r="D899" s="15"/>
      <c r="E899" s="15"/>
      <c r="F899" s="74"/>
      <c r="G899" s="74"/>
      <c r="H899" s="74"/>
      <c r="I899" s="74"/>
      <c r="J899" s="74"/>
      <c r="K899" s="15"/>
      <c r="L899" s="15"/>
      <c r="M899" s="15"/>
      <c r="N899" s="15"/>
      <c r="O899" s="15"/>
      <c r="P899" s="15"/>
      <c r="Q899" s="15"/>
      <c r="R899" s="15"/>
    </row>
    <row r="900">
      <c r="A900" s="15"/>
      <c r="B900" s="15"/>
      <c r="C900" s="15"/>
      <c r="D900" s="15"/>
      <c r="E900" s="15"/>
      <c r="F900" s="74"/>
      <c r="G900" s="74"/>
      <c r="H900" s="74"/>
      <c r="I900" s="74"/>
      <c r="J900" s="74"/>
      <c r="K900" s="15"/>
      <c r="L900" s="15"/>
      <c r="M900" s="15"/>
      <c r="N900" s="15"/>
      <c r="O900" s="15"/>
      <c r="P900" s="15"/>
      <c r="Q900" s="15"/>
      <c r="R900" s="15"/>
    </row>
    <row r="901">
      <c r="A901" s="15"/>
      <c r="B901" s="15"/>
      <c r="C901" s="15"/>
      <c r="D901" s="15"/>
      <c r="E901" s="15"/>
      <c r="F901" s="74"/>
      <c r="G901" s="74"/>
      <c r="H901" s="74"/>
      <c r="I901" s="74"/>
      <c r="J901" s="74"/>
      <c r="K901" s="15"/>
      <c r="L901" s="15"/>
      <c r="M901" s="15"/>
      <c r="N901" s="15"/>
      <c r="O901" s="15"/>
      <c r="P901" s="15"/>
      <c r="Q901" s="15"/>
      <c r="R901" s="15"/>
    </row>
    <row r="902">
      <c r="A902" s="15"/>
      <c r="B902" s="15"/>
      <c r="C902" s="15"/>
      <c r="D902" s="15"/>
      <c r="E902" s="15"/>
      <c r="F902" s="74"/>
      <c r="G902" s="74"/>
      <c r="H902" s="74"/>
      <c r="I902" s="74"/>
      <c r="J902" s="74"/>
      <c r="K902" s="15"/>
      <c r="L902" s="15"/>
      <c r="M902" s="15"/>
      <c r="N902" s="15"/>
      <c r="O902" s="15"/>
      <c r="P902" s="15"/>
      <c r="Q902" s="15"/>
      <c r="R902" s="15"/>
    </row>
    <row r="903">
      <c r="A903" s="15"/>
      <c r="B903" s="15"/>
      <c r="C903" s="15"/>
      <c r="D903" s="15"/>
      <c r="E903" s="15"/>
      <c r="F903" s="74"/>
      <c r="G903" s="74"/>
      <c r="H903" s="74"/>
      <c r="I903" s="74"/>
      <c r="J903" s="74"/>
      <c r="K903" s="15"/>
      <c r="L903" s="15"/>
      <c r="M903" s="15"/>
      <c r="N903" s="15"/>
      <c r="O903" s="15"/>
      <c r="P903" s="15"/>
      <c r="Q903" s="15"/>
      <c r="R903" s="15"/>
    </row>
    <row r="904">
      <c r="A904" s="15"/>
      <c r="B904" s="15"/>
      <c r="C904" s="15"/>
      <c r="D904" s="15"/>
      <c r="E904" s="15"/>
      <c r="F904" s="74"/>
      <c r="G904" s="74"/>
      <c r="H904" s="74"/>
      <c r="I904" s="74"/>
      <c r="J904" s="74"/>
      <c r="K904" s="15"/>
      <c r="L904" s="15"/>
      <c r="M904" s="15"/>
      <c r="N904" s="15"/>
      <c r="O904" s="15"/>
      <c r="P904" s="15"/>
      <c r="Q904" s="15"/>
      <c r="R904" s="15"/>
    </row>
    <row r="905">
      <c r="A905" s="15"/>
      <c r="B905" s="15"/>
      <c r="C905" s="15"/>
      <c r="D905" s="15"/>
      <c r="E905" s="15"/>
      <c r="F905" s="74"/>
      <c r="G905" s="74"/>
      <c r="H905" s="74"/>
      <c r="I905" s="74"/>
      <c r="J905" s="74"/>
      <c r="K905" s="15"/>
      <c r="L905" s="15"/>
      <c r="M905" s="15"/>
      <c r="N905" s="15"/>
      <c r="O905" s="15"/>
      <c r="P905" s="15"/>
      <c r="Q905" s="15"/>
      <c r="R905" s="15"/>
    </row>
    <row r="906">
      <c r="A906" s="15"/>
      <c r="B906" s="15"/>
      <c r="C906" s="15"/>
      <c r="D906" s="15"/>
      <c r="E906" s="15"/>
      <c r="F906" s="74"/>
      <c r="G906" s="74"/>
      <c r="H906" s="74"/>
      <c r="I906" s="74"/>
      <c r="J906" s="74"/>
      <c r="K906" s="15"/>
      <c r="L906" s="15"/>
      <c r="M906" s="15"/>
      <c r="N906" s="15"/>
      <c r="O906" s="15"/>
      <c r="P906" s="15"/>
      <c r="Q906" s="15"/>
      <c r="R906" s="15"/>
    </row>
    <row r="907">
      <c r="A907" s="15"/>
      <c r="B907" s="15"/>
      <c r="C907" s="15"/>
      <c r="D907" s="15"/>
      <c r="E907" s="15"/>
      <c r="F907" s="74"/>
      <c r="G907" s="74"/>
      <c r="H907" s="74"/>
      <c r="I907" s="74"/>
      <c r="J907" s="74"/>
      <c r="K907" s="15"/>
      <c r="L907" s="15"/>
      <c r="M907" s="15"/>
      <c r="N907" s="15"/>
      <c r="O907" s="15"/>
      <c r="P907" s="15"/>
      <c r="Q907" s="15"/>
      <c r="R907" s="15"/>
    </row>
    <row r="908">
      <c r="A908" s="15"/>
      <c r="B908" s="15"/>
      <c r="C908" s="15"/>
      <c r="D908" s="15"/>
      <c r="E908" s="15"/>
      <c r="F908" s="74"/>
      <c r="G908" s="74"/>
      <c r="H908" s="74"/>
      <c r="I908" s="74"/>
      <c r="J908" s="74"/>
      <c r="K908" s="15"/>
      <c r="L908" s="15"/>
      <c r="M908" s="15"/>
      <c r="N908" s="15"/>
      <c r="O908" s="15"/>
      <c r="P908" s="15"/>
      <c r="Q908" s="15"/>
      <c r="R908" s="15"/>
    </row>
    <row r="909">
      <c r="A909" s="15"/>
      <c r="B909" s="15"/>
      <c r="C909" s="15"/>
      <c r="D909" s="15"/>
      <c r="E909" s="15"/>
      <c r="F909" s="74"/>
      <c r="G909" s="74"/>
      <c r="H909" s="74"/>
      <c r="I909" s="74"/>
      <c r="J909" s="74"/>
      <c r="K909" s="15"/>
      <c r="L909" s="15"/>
      <c r="M909" s="15"/>
      <c r="N909" s="15"/>
      <c r="O909" s="15"/>
      <c r="P909" s="15"/>
      <c r="Q909" s="15"/>
      <c r="R909" s="15"/>
    </row>
    <row r="910">
      <c r="A910" s="15"/>
      <c r="B910" s="15"/>
      <c r="C910" s="15"/>
      <c r="D910" s="15"/>
      <c r="E910" s="15"/>
      <c r="F910" s="74"/>
      <c r="G910" s="74"/>
      <c r="H910" s="74"/>
      <c r="I910" s="74"/>
      <c r="J910" s="74"/>
      <c r="K910" s="15"/>
      <c r="L910" s="15"/>
      <c r="M910" s="15"/>
      <c r="N910" s="15"/>
      <c r="O910" s="15"/>
      <c r="P910" s="15"/>
      <c r="Q910" s="15"/>
      <c r="R910" s="15"/>
    </row>
    <row r="911">
      <c r="A911" s="15"/>
      <c r="B911" s="15"/>
      <c r="C911" s="15"/>
      <c r="D911" s="15"/>
      <c r="E911" s="15"/>
      <c r="F911" s="74"/>
      <c r="G911" s="74"/>
      <c r="H911" s="74"/>
      <c r="I911" s="74"/>
      <c r="J911" s="74"/>
      <c r="K911" s="15"/>
      <c r="L911" s="15"/>
      <c r="M911" s="15"/>
      <c r="N911" s="15"/>
      <c r="O911" s="15"/>
      <c r="P911" s="15"/>
      <c r="Q911" s="15"/>
      <c r="R911" s="15"/>
    </row>
    <row r="912">
      <c r="A912" s="15"/>
      <c r="B912" s="15"/>
      <c r="C912" s="15"/>
      <c r="D912" s="15"/>
      <c r="E912" s="15"/>
      <c r="F912" s="74"/>
      <c r="G912" s="74"/>
      <c r="H912" s="74"/>
      <c r="I912" s="74"/>
      <c r="J912" s="74"/>
      <c r="K912" s="15"/>
      <c r="L912" s="15"/>
      <c r="M912" s="15"/>
      <c r="N912" s="15"/>
      <c r="O912" s="15"/>
      <c r="P912" s="15"/>
      <c r="Q912" s="15"/>
      <c r="R912" s="15"/>
    </row>
    <row r="913">
      <c r="A913" s="15"/>
      <c r="B913" s="15"/>
      <c r="C913" s="15"/>
      <c r="D913" s="15"/>
      <c r="E913" s="15"/>
      <c r="F913" s="74"/>
      <c r="G913" s="74"/>
      <c r="H913" s="74"/>
      <c r="I913" s="74"/>
      <c r="J913" s="74"/>
      <c r="K913" s="15"/>
      <c r="L913" s="15"/>
      <c r="M913" s="15"/>
      <c r="N913" s="15"/>
      <c r="O913" s="15"/>
      <c r="P913" s="15"/>
      <c r="Q913" s="15"/>
      <c r="R913" s="15"/>
    </row>
    <row r="914">
      <c r="A914" s="15"/>
      <c r="B914" s="15"/>
      <c r="C914" s="15"/>
      <c r="D914" s="15"/>
      <c r="E914" s="15"/>
      <c r="F914" s="74"/>
      <c r="G914" s="74"/>
      <c r="H914" s="74"/>
      <c r="I914" s="74"/>
      <c r="J914" s="74"/>
      <c r="K914" s="15"/>
      <c r="L914" s="15"/>
      <c r="M914" s="15"/>
      <c r="N914" s="15"/>
      <c r="O914" s="15"/>
      <c r="P914" s="15"/>
      <c r="Q914" s="15"/>
      <c r="R914" s="15"/>
    </row>
    <row r="915">
      <c r="A915" s="15"/>
      <c r="B915" s="15"/>
      <c r="C915" s="15"/>
      <c r="D915" s="15"/>
      <c r="E915" s="15"/>
      <c r="F915" s="74"/>
      <c r="G915" s="74"/>
      <c r="H915" s="74"/>
      <c r="I915" s="74"/>
      <c r="J915" s="74"/>
      <c r="K915" s="15"/>
      <c r="L915" s="15"/>
      <c r="M915" s="15"/>
      <c r="N915" s="15"/>
      <c r="O915" s="15"/>
      <c r="P915" s="15"/>
      <c r="Q915" s="15"/>
      <c r="R915" s="15"/>
    </row>
    <row r="916">
      <c r="A916" s="15"/>
      <c r="B916" s="15"/>
      <c r="C916" s="15"/>
      <c r="D916" s="15"/>
      <c r="E916" s="15"/>
      <c r="F916" s="74"/>
      <c r="G916" s="74"/>
      <c r="H916" s="74"/>
      <c r="I916" s="74"/>
      <c r="J916" s="74"/>
      <c r="K916" s="15"/>
      <c r="L916" s="15"/>
      <c r="M916" s="15"/>
      <c r="N916" s="15"/>
      <c r="O916" s="15"/>
      <c r="P916" s="15"/>
      <c r="Q916" s="15"/>
      <c r="R916" s="15"/>
    </row>
    <row r="917">
      <c r="A917" s="15"/>
      <c r="B917" s="15"/>
      <c r="C917" s="15"/>
      <c r="D917" s="15"/>
      <c r="E917" s="15"/>
      <c r="F917" s="74"/>
      <c r="G917" s="74"/>
      <c r="H917" s="74"/>
      <c r="I917" s="74"/>
      <c r="J917" s="74"/>
      <c r="K917" s="15"/>
      <c r="L917" s="15"/>
      <c r="M917" s="15"/>
      <c r="N917" s="15"/>
      <c r="O917" s="15"/>
      <c r="P917" s="15"/>
      <c r="Q917" s="15"/>
      <c r="R917" s="15"/>
    </row>
    <row r="918">
      <c r="A918" s="15"/>
      <c r="B918" s="15"/>
      <c r="C918" s="15"/>
      <c r="D918" s="15"/>
      <c r="E918" s="15"/>
      <c r="F918" s="74"/>
      <c r="G918" s="74"/>
      <c r="H918" s="74"/>
      <c r="I918" s="74"/>
      <c r="J918" s="74"/>
      <c r="K918" s="15"/>
      <c r="L918" s="15"/>
      <c r="M918" s="15"/>
      <c r="N918" s="15"/>
      <c r="O918" s="15"/>
      <c r="P918" s="15"/>
      <c r="Q918" s="15"/>
      <c r="R918" s="15"/>
    </row>
    <row r="919">
      <c r="A919" s="15"/>
      <c r="B919" s="15"/>
      <c r="C919" s="15"/>
      <c r="D919" s="15"/>
      <c r="E919" s="15"/>
      <c r="F919" s="74"/>
      <c r="G919" s="74"/>
      <c r="H919" s="74"/>
      <c r="I919" s="74"/>
      <c r="J919" s="74"/>
      <c r="K919" s="15"/>
      <c r="L919" s="15"/>
      <c r="M919" s="15"/>
      <c r="N919" s="15"/>
      <c r="O919" s="15"/>
      <c r="P919" s="15"/>
      <c r="Q919" s="15"/>
      <c r="R919" s="15"/>
    </row>
    <row r="920">
      <c r="A920" s="15"/>
      <c r="B920" s="15"/>
      <c r="C920" s="15"/>
      <c r="D920" s="15"/>
      <c r="E920" s="15"/>
      <c r="F920" s="74"/>
      <c r="G920" s="74"/>
      <c r="H920" s="74"/>
      <c r="I920" s="74"/>
      <c r="J920" s="74"/>
      <c r="K920" s="15"/>
      <c r="L920" s="15"/>
      <c r="M920" s="15"/>
      <c r="N920" s="15"/>
      <c r="O920" s="15"/>
      <c r="P920" s="15"/>
      <c r="Q920" s="15"/>
      <c r="R920" s="15"/>
    </row>
    <row r="921">
      <c r="A921" s="15"/>
      <c r="B921" s="15"/>
      <c r="C921" s="15"/>
      <c r="D921" s="15"/>
      <c r="E921" s="15"/>
      <c r="F921" s="74"/>
      <c r="G921" s="74"/>
      <c r="H921" s="74"/>
      <c r="I921" s="74"/>
      <c r="J921" s="74"/>
      <c r="K921" s="15"/>
      <c r="L921" s="15"/>
      <c r="M921" s="15"/>
      <c r="N921" s="15"/>
      <c r="O921" s="15"/>
      <c r="P921" s="15"/>
      <c r="Q921" s="15"/>
      <c r="R921" s="15"/>
    </row>
    <row r="922">
      <c r="A922" s="15"/>
      <c r="B922" s="15"/>
      <c r="C922" s="15"/>
      <c r="D922" s="15"/>
      <c r="E922" s="15"/>
      <c r="F922" s="74"/>
      <c r="G922" s="74"/>
      <c r="H922" s="74"/>
      <c r="I922" s="74"/>
      <c r="J922" s="74"/>
      <c r="K922" s="15"/>
      <c r="L922" s="15"/>
      <c r="M922" s="15"/>
      <c r="N922" s="15"/>
      <c r="O922" s="15"/>
      <c r="P922" s="15"/>
      <c r="Q922" s="15"/>
      <c r="R922" s="15"/>
    </row>
    <row r="923">
      <c r="A923" s="15"/>
      <c r="B923" s="15"/>
      <c r="C923" s="15"/>
      <c r="D923" s="15"/>
      <c r="E923" s="15"/>
      <c r="F923" s="74"/>
      <c r="G923" s="74"/>
      <c r="H923" s="74"/>
      <c r="I923" s="74"/>
      <c r="J923" s="74"/>
      <c r="K923" s="15"/>
      <c r="L923" s="15"/>
      <c r="M923" s="15"/>
      <c r="N923" s="15"/>
      <c r="O923" s="15"/>
      <c r="P923" s="15"/>
      <c r="Q923" s="15"/>
      <c r="R923" s="15"/>
    </row>
    <row r="924">
      <c r="A924" s="15"/>
      <c r="B924" s="15"/>
      <c r="C924" s="15"/>
      <c r="D924" s="15"/>
      <c r="E924" s="15"/>
      <c r="F924" s="74"/>
      <c r="G924" s="74"/>
      <c r="H924" s="74"/>
      <c r="I924" s="74"/>
      <c r="J924" s="74"/>
      <c r="K924" s="15"/>
      <c r="L924" s="15"/>
      <c r="M924" s="15"/>
      <c r="N924" s="15"/>
      <c r="O924" s="15"/>
      <c r="P924" s="15"/>
      <c r="Q924" s="15"/>
      <c r="R924" s="15"/>
    </row>
    <row r="925">
      <c r="A925" s="15"/>
      <c r="B925" s="15"/>
      <c r="C925" s="15"/>
      <c r="D925" s="15"/>
      <c r="E925" s="15"/>
      <c r="F925" s="74"/>
      <c r="G925" s="74"/>
      <c r="H925" s="74"/>
      <c r="I925" s="74"/>
      <c r="J925" s="74"/>
      <c r="K925" s="15"/>
      <c r="L925" s="15"/>
      <c r="M925" s="15"/>
      <c r="N925" s="15"/>
      <c r="O925" s="15"/>
      <c r="P925" s="15"/>
      <c r="Q925" s="15"/>
      <c r="R925" s="15"/>
    </row>
    <row r="926">
      <c r="A926" s="15"/>
      <c r="B926" s="15"/>
      <c r="C926" s="15"/>
      <c r="D926" s="15"/>
      <c r="E926" s="15"/>
      <c r="F926" s="74"/>
      <c r="G926" s="74"/>
      <c r="H926" s="74"/>
      <c r="I926" s="74"/>
      <c r="J926" s="74"/>
      <c r="K926" s="15"/>
      <c r="L926" s="15"/>
      <c r="M926" s="15"/>
      <c r="N926" s="15"/>
      <c r="O926" s="15"/>
      <c r="P926" s="15"/>
      <c r="Q926" s="15"/>
      <c r="R926" s="15"/>
    </row>
    <row r="927">
      <c r="A927" s="15"/>
      <c r="B927" s="15"/>
      <c r="C927" s="15"/>
      <c r="D927" s="15"/>
      <c r="E927" s="15"/>
      <c r="F927" s="74"/>
      <c r="G927" s="74"/>
      <c r="H927" s="74"/>
      <c r="I927" s="74"/>
      <c r="J927" s="74"/>
      <c r="K927" s="15"/>
      <c r="L927" s="15"/>
      <c r="M927" s="15"/>
      <c r="N927" s="15"/>
      <c r="O927" s="15"/>
      <c r="P927" s="15"/>
      <c r="Q927" s="15"/>
      <c r="R927" s="15"/>
    </row>
    <row r="928">
      <c r="A928" s="15"/>
      <c r="B928" s="15"/>
      <c r="C928" s="15"/>
      <c r="D928" s="15"/>
      <c r="E928" s="15"/>
      <c r="F928" s="74"/>
      <c r="G928" s="74"/>
      <c r="H928" s="74"/>
      <c r="I928" s="74"/>
      <c r="J928" s="74"/>
      <c r="K928" s="15"/>
      <c r="L928" s="15"/>
      <c r="M928" s="15"/>
      <c r="N928" s="15"/>
      <c r="O928" s="15"/>
      <c r="P928" s="15"/>
      <c r="Q928" s="15"/>
      <c r="R928" s="15"/>
    </row>
    <row r="929">
      <c r="A929" s="15"/>
      <c r="B929" s="15"/>
      <c r="C929" s="15"/>
      <c r="D929" s="15"/>
      <c r="E929" s="15"/>
      <c r="F929" s="74"/>
      <c r="G929" s="74"/>
      <c r="H929" s="74"/>
      <c r="I929" s="74"/>
      <c r="J929" s="74"/>
      <c r="K929" s="15"/>
      <c r="L929" s="15"/>
      <c r="M929" s="15"/>
      <c r="N929" s="15"/>
      <c r="O929" s="15"/>
      <c r="P929" s="15"/>
      <c r="Q929" s="15"/>
      <c r="R929" s="15"/>
    </row>
    <row r="930">
      <c r="A930" s="15"/>
      <c r="B930" s="15"/>
      <c r="C930" s="15"/>
      <c r="D930" s="15"/>
      <c r="E930" s="15"/>
      <c r="F930" s="74"/>
      <c r="G930" s="74"/>
      <c r="H930" s="74"/>
      <c r="I930" s="74"/>
      <c r="J930" s="74"/>
      <c r="K930" s="15"/>
      <c r="L930" s="15"/>
      <c r="M930" s="15"/>
      <c r="N930" s="15"/>
      <c r="O930" s="15"/>
      <c r="P930" s="15"/>
      <c r="Q930" s="15"/>
      <c r="R930" s="15"/>
    </row>
    <row r="931">
      <c r="A931" s="15"/>
      <c r="B931" s="15"/>
      <c r="C931" s="15"/>
      <c r="D931" s="15"/>
      <c r="E931" s="15"/>
      <c r="F931" s="74"/>
      <c r="G931" s="74"/>
      <c r="H931" s="74"/>
      <c r="I931" s="74"/>
      <c r="J931" s="74"/>
      <c r="K931" s="15"/>
      <c r="L931" s="15"/>
      <c r="M931" s="15"/>
      <c r="N931" s="15"/>
      <c r="O931" s="15"/>
      <c r="P931" s="15"/>
      <c r="Q931" s="15"/>
      <c r="R931" s="15"/>
    </row>
    <row r="932">
      <c r="A932" s="15"/>
      <c r="B932" s="15"/>
      <c r="C932" s="15"/>
      <c r="D932" s="15"/>
      <c r="E932" s="15"/>
      <c r="F932" s="74"/>
      <c r="G932" s="74"/>
      <c r="H932" s="74"/>
      <c r="I932" s="74"/>
      <c r="J932" s="74"/>
      <c r="K932" s="15"/>
      <c r="L932" s="15"/>
      <c r="M932" s="15"/>
      <c r="N932" s="15"/>
      <c r="O932" s="15"/>
      <c r="P932" s="15"/>
      <c r="Q932" s="15"/>
      <c r="R932" s="15"/>
    </row>
    <row r="933">
      <c r="A933" s="15"/>
      <c r="B933" s="15"/>
      <c r="C933" s="15"/>
      <c r="D933" s="15"/>
      <c r="E933" s="15"/>
      <c r="F933" s="74"/>
      <c r="G933" s="74"/>
      <c r="H933" s="74"/>
      <c r="I933" s="74"/>
      <c r="J933" s="74"/>
      <c r="K933" s="15"/>
      <c r="L933" s="15"/>
      <c r="M933" s="15"/>
      <c r="N933" s="15"/>
      <c r="O933" s="15"/>
      <c r="P933" s="15"/>
      <c r="Q933" s="15"/>
      <c r="R933" s="15"/>
    </row>
    <row r="934">
      <c r="A934" s="15"/>
      <c r="B934" s="15"/>
      <c r="C934" s="15"/>
      <c r="D934" s="15"/>
      <c r="E934" s="15"/>
      <c r="F934" s="74"/>
      <c r="G934" s="74"/>
      <c r="H934" s="74"/>
      <c r="I934" s="74"/>
      <c r="J934" s="74"/>
      <c r="K934" s="15"/>
      <c r="L934" s="15"/>
      <c r="M934" s="15"/>
      <c r="N934" s="15"/>
      <c r="O934" s="15"/>
      <c r="P934" s="15"/>
      <c r="Q934" s="15"/>
      <c r="R934" s="15"/>
    </row>
    <row r="935">
      <c r="A935" s="15"/>
      <c r="B935" s="15"/>
      <c r="C935" s="15"/>
      <c r="D935" s="15"/>
      <c r="E935" s="15"/>
      <c r="F935" s="74"/>
      <c r="G935" s="74"/>
      <c r="H935" s="74"/>
      <c r="I935" s="74"/>
      <c r="J935" s="74"/>
      <c r="K935" s="15"/>
      <c r="L935" s="15"/>
      <c r="M935" s="15"/>
      <c r="N935" s="15"/>
      <c r="O935" s="15"/>
      <c r="P935" s="15"/>
      <c r="Q935" s="15"/>
      <c r="R935" s="15"/>
    </row>
    <row r="936">
      <c r="A936" s="15"/>
      <c r="B936" s="15"/>
      <c r="C936" s="15"/>
      <c r="D936" s="15"/>
      <c r="E936" s="15"/>
      <c r="F936" s="74"/>
      <c r="G936" s="74"/>
      <c r="H936" s="74"/>
      <c r="I936" s="74"/>
      <c r="J936" s="74"/>
      <c r="K936" s="15"/>
      <c r="L936" s="15"/>
      <c r="M936" s="15"/>
      <c r="N936" s="15"/>
      <c r="O936" s="15"/>
      <c r="P936" s="15"/>
      <c r="Q936" s="15"/>
      <c r="R936" s="15"/>
    </row>
    <row r="937">
      <c r="A937" s="15"/>
      <c r="B937" s="15"/>
      <c r="C937" s="15"/>
      <c r="D937" s="15"/>
      <c r="E937" s="15"/>
      <c r="F937" s="74"/>
      <c r="G937" s="74"/>
      <c r="H937" s="74"/>
      <c r="I937" s="74"/>
      <c r="J937" s="74"/>
      <c r="K937" s="15"/>
      <c r="L937" s="15"/>
      <c r="M937" s="15"/>
      <c r="N937" s="15"/>
      <c r="O937" s="15"/>
      <c r="P937" s="15"/>
      <c r="Q937" s="15"/>
      <c r="R937" s="15"/>
    </row>
    <row r="938">
      <c r="A938" s="15"/>
      <c r="B938" s="15"/>
      <c r="C938" s="15"/>
      <c r="D938" s="15"/>
      <c r="E938" s="15"/>
      <c r="F938" s="74"/>
      <c r="G938" s="74"/>
      <c r="H938" s="74"/>
      <c r="I938" s="74"/>
      <c r="J938" s="74"/>
      <c r="K938" s="15"/>
      <c r="L938" s="15"/>
      <c r="M938" s="15"/>
      <c r="N938" s="15"/>
      <c r="O938" s="15"/>
      <c r="P938" s="15"/>
      <c r="Q938" s="15"/>
      <c r="R938" s="15"/>
    </row>
    <row r="939">
      <c r="A939" s="15"/>
      <c r="B939" s="15"/>
      <c r="C939" s="15"/>
      <c r="D939" s="15"/>
      <c r="E939" s="15"/>
      <c r="F939" s="74"/>
      <c r="G939" s="74"/>
      <c r="H939" s="74"/>
      <c r="I939" s="74"/>
      <c r="J939" s="74"/>
      <c r="K939" s="15"/>
      <c r="L939" s="15"/>
      <c r="M939" s="15"/>
      <c r="N939" s="15"/>
      <c r="O939" s="15"/>
      <c r="P939" s="15"/>
      <c r="Q939" s="15"/>
      <c r="R939" s="15"/>
    </row>
    <row r="940">
      <c r="A940" s="15"/>
      <c r="B940" s="15"/>
      <c r="C940" s="15"/>
      <c r="D940" s="15"/>
      <c r="E940" s="15"/>
      <c r="F940" s="74"/>
      <c r="G940" s="74"/>
      <c r="H940" s="74"/>
      <c r="I940" s="74"/>
      <c r="J940" s="74"/>
      <c r="K940" s="15"/>
      <c r="L940" s="15"/>
      <c r="M940" s="15"/>
      <c r="N940" s="15"/>
      <c r="O940" s="15"/>
      <c r="P940" s="15"/>
      <c r="Q940" s="15"/>
      <c r="R940" s="15"/>
    </row>
    <row r="941">
      <c r="A941" s="15"/>
      <c r="B941" s="15"/>
      <c r="C941" s="15"/>
      <c r="D941" s="15"/>
      <c r="E941" s="15"/>
      <c r="F941" s="74"/>
      <c r="G941" s="74"/>
      <c r="H941" s="74"/>
      <c r="I941" s="74"/>
      <c r="J941" s="74"/>
      <c r="K941" s="15"/>
      <c r="L941" s="15"/>
      <c r="M941" s="15"/>
      <c r="N941" s="15"/>
      <c r="O941" s="15"/>
      <c r="P941" s="15"/>
      <c r="Q941" s="15"/>
      <c r="R941" s="15"/>
    </row>
    <row r="942">
      <c r="A942" s="15"/>
      <c r="B942" s="15"/>
      <c r="C942" s="15"/>
      <c r="D942" s="15"/>
      <c r="E942" s="15"/>
      <c r="F942" s="74"/>
      <c r="G942" s="74"/>
      <c r="H942" s="74"/>
      <c r="I942" s="74"/>
      <c r="J942" s="74"/>
      <c r="K942" s="15"/>
      <c r="L942" s="15"/>
      <c r="M942" s="15"/>
      <c r="N942" s="15"/>
      <c r="O942" s="15"/>
      <c r="P942" s="15"/>
      <c r="Q942" s="15"/>
      <c r="R942" s="15"/>
    </row>
    <row r="943">
      <c r="A943" s="15"/>
      <c r="B943" s="15"/>
      <c r="C943" s="15"/>
      <c r="D943" s="15"/>
      <c r="E943" s="15"/>
      <c r="F943" s="74"/>
      <c r="G943" s="74"/>
      <c r="H943" s="74"/>
      <c r="I943" s="74"/>
      <c r="J943" s="74"/>
      <c r="K943" s="15"/>
      <c r="L943" s="15"/>
      <c r="M943" s="15"/>
      <c r="N943" s="15"/>
      <c r="O943" s="15"/>
      <c r="P943" s="15"/>
      <c r="Q943" s="15"/>
      <c r="R943" s="15"/>
    </row>
    <row r="944">
      <c r="A944" s="15"/>
      <c r="B944" s="15"/>
      <c r="C944" s="15"/>
      <c r="D944" s="15"/>
      <c r="E944" s="15"/>
      <c r="F944" s="74"/>
      <c r="G944" s="74"/>
      <c r="H944" s="74"/>
      <c r="I944" s="74"/>
      <c r="J944" s="74"/>
      <c r="K944" s="15"/>
      <c r="L944" s="15"/>
      <c r="M944" s="15"/>
      <c r="N944" s="15"/>
      <c r="O944" s="15"/>
      <c r="P944" s="15"/>
      <c r="Q944" s="15"/>
      <c r="R944" s="15"/>
    </row>
    <row r="945">
      <c r="A945" s="15"/>
      <c r="B945" s="15"/>
      <c r="C945" s="15"/>
      <c r="D945" s="15"/>
      <c r="E945" s="15"/>
      <c r="F945" s="74"/>
      <c r="G945" s="74"/>
      <c r="H945" s="74"/>
      <c r="I945" s="74"/>
      <c r="J945" s="74"/>
      <c r="K945" s="15"/>
      <c r="L945" s="15"/>
      <c r="M945" s="15"/>
      <c r="N945" s="15"/>
      <c r="O945" s="15"/>
      <c r="P945" s="15"/>
      <c r="Q945" s="15"/>
      <c r="R945" s="15"/>
    </row>
    <row r="946">
      <c r="A946" s="15"/>
      <c r="B946" s="15"/>
      <c r="C946" s="15"/>
      <c r="D946" s="15"/>
      <c r="E946" s="15"/>
      <c r="F946" s="74"/>
      <c r="G946" s="74"/>
      <c r="H946" s="74"/>
      <c r="I946" s="74"/>
      <c r="J946" s="74"/>
      <c r="K946" s="15"/>
      <c r="L946" s="15"/>
      <c r="M946" s="15"/>
      <c r="N946" s="15"/>
      <c r="O946" s="15"/>
      <c r="P946" s="15"/>
      <c r="Q946" s="15"/>
      <c r="R946" s="15"/>
    </row>
    <row r="947">
      <c r="A947" s="15"/>
      <c r="B947" s="15"/>
      <c r="C947" s="15"/>
      <c r="D947" s="15"/>
      <c r="E947" s="15"/>
      <c r="F947" s="74"/>
      <c r="G947" s="74"/>
      <c r="H947" s="74"/>
      <c r="I947" s="74"/>
      <c r="J947" s="74"/>
      <c r="K947" s="15"/>
      <c r="L947" s="15"/>
      <c r="M947" s="15"/>
      <c r="N947" s="15"/>
      <c r="O947" s="15"/>
      <c r="P947" s="15"/>
      <c r="Q947" s="15"/>
      <c r="R947" s="15"/>
    </row>
    <row r="948">
      <c r="A948" s="15"/>
      <c r="B948" s="15"/>
      <c r="C948" s="15"/>
      <c r="D948" s="15"/>
      <c r="E948" s="15"/>
      <c r="F948" s="74"/>
      <c r="G948" s="74"/>
      <c r="H948" s="74"/>
      <c r="I948" s="74"/>
      <c r="J948" s="74"/>
      <c r="K948" s="15"/>
      <c r="L948" s="15"/>
      <c r="M948" s="15"/>
      <c r="N948" s="15"/>
      <c r="O948" s="15"/>
      <c r="P948" s="15"/>
      <c r="Q948" s="15"/>
      <c r="R948" s="15"/>
    </row>
    <row r="949">
      <c r="A949" s="15"/>
      <c r="B949" s="15"/>
      <c r="C949" s="15"/>
      <c r="D949" s="15"/>
      <c r="E949" s="15"/>
      <c r="F949" s="74"/>
      <c r="G949" s="74"/>
      <c r="H949" s="74"/>
      <c r="I949" s="74"/>
      <c r="J949" s="74"/>
      <c r="K949" s="15"/>
      <c r="L949" s="15"/>
      <c r="M949" s="15"/>
      <c r="N949" s="15"/>
      <c r="O949" s="15"/>
      <c r="P949" s="15"/>
      <c r="Q949" s="15"/>
      <c r="R949" s="15"/>
    </row>
    <row r="950">
      <c r="A950" s="15"/>
      <c r="B950" s="15"/>
      <c r="C950" s="15"/>
      <c r="D950" s="15"/>
      <c r="E950" s="15"/>
      <c r="F950" s="74"/>
      <c r="G950" s="74"/>
      <c r="H950" s="74"/>
      <c r="I950" s="74"/>
      <c r="J950" s="74"/>
      <c r="K950" s="15"/>
      <c r="L950" s="15"/>
      <c r="M950" s="15"/>
      <c r="N950" s="15"/>
      <c r="O950" s="15"/>
      <c r="P950" s="15"/>
      <c r="Q950" s="15"/>
      <c r="R950" s="15"/>
    </row>
    <row r="951">
      <c r="A951" s="15"/>
      <c r="B951" s="15"/>
      <c r="C951" s="15"/>
      <c r="D951" s="15"/>
      <c r="E951" s="15"/>
      <c r="F951" s="74"/>
      <c r="G951" s="74"/>
      <c r="H951" s="74"/>
      <c r="I951" s="74"/>
      <c r="J951" s="74"/>
      <c r="K951" s="15"/>
      <c r="L951" s="15"/>
      <c r="M951" s="15"/>
      <c r="N951" s="15"/>
      <c r="O951" s="15"/>
      <c r="P951" s="15"/>
      <c r="Q951" s="15"/>
      <c r="R951" s="15"/>
    </row>
    <row r="952">
      <c r="A952" s="15"/>
      <c r="B952" s="15"/>
      <c r="C952" s="15"/>
      <c r="D952" s="15"/>
      <c r="E952" s="15"/>
      <c r="F952" s="74"/>
      <c r="G952" s="74"/>
      <c r="H952" s="74"/>
      <c r="I952" s="74"/>
      <c r="J952" s="74"/>
      <c r="K952" s="15"/>
      <c r="L952" s="15"/>
      <c r="M952" s="15"/>
      <c r="N952" s="15"/>
      <c r="O952" s="15"/>
      <c r="P952" s="15"/>
      <c r="Q952" s="15"/>
      <c r="R952" s="15"/>
    </row>
    <row r="953">
      <c r="A953" s="15"/>
      <c r="B953" s="15"/>
      <c r="C953" s="15"/>
      <c r="D953" s="15"/>
      <c r="E953" s="15"/>
      <c r="F953" s="74"/>
      <c r="G953" s="74"/>
      <c r="H953" s="74"/>
      <c r="I953" s="74"/>
      <c r="J953" s="74"/>
      <c r="K953" s="15"/>
      <c r="L953" s="15"/>
      <c r="M953" s="15"/>
      <c r="N953" s="15"/>
      <c r="O953" s="15"/>
      <c r="P953" s="15"/>
      <c r="Q953" s="15"/>
      <c r="R953" s="15"/>
    </row>
    <row r="954">
      <c r="A954" s="15"/>
      <c r="B954" s="15"/>
      <c r="C954" s="15"/>
      <c r="D954" s="15"/>
      <c r="E954" s="15"/>
      <c r="F954" s="74"/>
      <c r="G954" s="74"/>
      <c r="H954" s="74"/>
      <c r="I954" s="74"/>
      <c r="J954" s="74"/>
      <c r="K954" s="15"/>
      <c r="L954" s="15"/>
      <c r="M954" s="15"/>
      <c r="N954" s="15"/>
      <c r="O954" s="15"/>
      <c r="P954" s="15"/>
      <c r="Q954" s="15"/>
      <c r="R954" s="15"/>
    </row>
    <row r="955">
      <c r="A955" s="15"/>
      <c r="B955" s="15"/>
      <c r="C955" s="15"/>
      <c r="D955" s="15"/>
      <c r="E955" s="15"/>
      <c r="F955" s="74"/>
      <c r="G955" s="74"/>
      <c r="H955" s="74"/>
      <c r="I955" s="74"/>
      <c r="J955" s="74"/>
      <c r="K955" s="15"/>
      <c r="L955" s="15"/>
      <c r="M955" s="15"/>
      <c r="N955" s="15"/>
      <c r="O955" s="15"/>
      <c r="P955" s="15"/>
      <c r="Q955" s="15"/>
      <c r="R955" s="15"/>
    </row>
    <row r="956">
      <c r="A956" s="15"/>
      <c r="B956" s="15"/>
      <c r="C956" s="15"/>
      <c r="D956" s="15"/>
      <c r="E956" s="15"/>
      <c r="F956" s="74"/>
      <c r="G956" s="74"/>
      <c r="H956" s="74"/>
      <c r="I956" s="74"/>
      <c r="J956" s="74"/>
      <c r="K956" s="15"/>
      <c r="L956" s="15"/>
      <c r="M956" s="15"/>
      <c r="N956" s="15"/>
      <c r="O956" s="15"/>
      <c r="P956" s="15"/>
      <c r="Q956" s="15"/>
      <c r="R956" s="15"/>
    </row>
    <row r="957">
      <c r="A957" s="15"/>
      <c r="B957" s="15"/>
      <c r="C957" s="15"/>
      <c r="D957" s="15"/>
      <c r="E957" s="15"/>
      <c r="F957" s="74"/>
      <c r="G957" s="74"/>
      <c r="H957" s="74"/>
      <c r="I957" s="74"/>
      <c r="J957" s="74"/>
      <c r="K957" s="15"/>
      <c r="L957" s="15"/>
      <c r="M957" s="15"/>
      <c r="N957" s="15"/>
      <c r="O957" s="15"/>
      <c r="P957" s="15"/>
      <c r="Q957" s="15"/>
      <c r="R957" s="15"/>
    </row>
    <row r="958">
      <c r="A958" s="15"/>
      <c r="B958" s="15"/>
      <c r="C958" s="15"/>
      <c r="D958" s="15"/>
      <c r="E958" s="15"/>
      <c r="F958" s="74"/>
      <c r="G958" s="74"/>
      <c r="H958" s="74"/>
      <c r="I958" s="74"/>
      <c r="J958" s="74"/>
      <c r="K958" s="15"/>
      <c r="L958" s="15"/>
      <c r="M958" s="15"/>
      <c r="N958" s="15"/>
      <c r="O958" s="15"/>
      <c r="P958" s="15"/>
      <c r="Q958" s="15"/>
      <c r="R958" s="15"/>
    </row>
    <row r="959">
      <c r="A959" s="15"/>
      <c r="B959" s="15"/>
      <c r="C959" s="15"/>
      <c r="D959" s="15"/>
      <c r="E959" s="15"/>
      <c r="F959" s="74"/>
      <c r="G959" s="74"/>
      <c r="H959" s="74"/>
      <c r="I959" s="74"/>
      <c r="J959" s="74"/>
      <c r="K959" s="15"/>
      <c r="L959" s="15"/>
      <c r="M959" s="15"/>
      <c r="N959" s="15"/>
      <c r="O959" s="15"/>
      <c r="P959" s="15"/>
      <c r="Q959" s="15"/>
      <c r="R959" s="15"/>
    </row>
    <row r="960">
      <c r="A960" s="15"/>
      <c r="B960" s="15"/>
      <c r="C960" s="15"/>
      <c r="D960" s="15"/>
      <c r="E960" s="15"/>
      <c r="F960" s="74"/>
      <c r="G960" s="74"/>
      <c r="H960" s="74"/>
      <c r="I960" s="74"/>
      <c r="J960" s="74"/>
      <c r="K960" s="15"/>
      <c r="L960" s="15"/>
      <c r="M960" s="15"/>
      <c r="N960" s="15"/>
      <c r="O960" s="15"/>
      <c r="P960" s="15"/>
      <c r="Q960" s="15"/>
      <c r="R960" s="15"/>
    </row>
    <row r="961">
      <c r="A961" s="15"/>
      <c r="B961" s="15"/>
      <c r="C961" s="15"/>
      <c r="D961" s="15"/>
      <c r="E961" s="15"/>
      <c r="F961" s="74"/>
      <c r="G961" s="74"/>
      <c r="H961" s="74"/>
      <c r="I961" s="74"/>
      <c r="J961" s="74"/>
      <c r="K961" s="15"/>
      <c r="L961" s="15"/>
      <c r="M961" s="15"/>
      <c r="N961" s="15"/>
      <c r="O961" s="15"/>
      <c r="P961" s="15"/>
      <c r="Q961" s="15"/>
      <c r="R961" s="15"/>
    </row>
    <row r="962">
      <c r="A962" s="15"/>
      <c r="B962" s="15"/>
      <c r="C962" s="15"/>
      <c r="D962" s="15"/>
      <c r="E962" s="15"/>
      <c r="F962" s="74"/>
      <c r="G962" s="74"/>
      <c r="H962" s="74"/>
      <c r="I962" s="74"/>
      <c r="J962" s="74"/>
      <c r="K962" s="15"/>
      <c r="L962" s="15"/>
      <c r="M962" s="15"/>
      <c r="N962" s="15"/>
      <c r="O962" s="15"/>
      <c r="P962" s="15"/>
      <c r="Q962" s="15"/>
      <c r="R962" s="15"/>
    </row>
    <row r="963">
      <c r="A963" s="15"/>
      <c r="B963" s="15"/>
      <c r="C963" s="15"/>
      <c r="D963" s="15"/>
      <c r="E963" s="15"/>
      <c r="F963" s="74"/>
      <c r="G963" s="74"/>
      <c r="H963" s="74"/>
      <c r="I963" s="74"/>
      <c r="J963" s="74"/>
      <c r="K963" s="15"/>
      <c r="L963" s="15"/>
      <c r="M963" s="15"/>
      <c r="N963" s="15"/>
      <c r="O963" s="15"/>
      <c r="P963" s="15"/>
      <c r="Q963" s="15"/>
      <c r="R963" s="15"/>
    </row>
    <row r="964">
      <c r="A964" s="15"/>
      <c r="B964" s="15"/>
      <c r="C964" s="15"/>
      <c r="D964" s="15"/>
      <c r="E964" s="15"/>
      <c r="F964" s="74"/>
      <c r="G964" s="74"/>
      <c r="H964" s="74"/>
      <c r="I964" s="74"/>
      <c r="J964" s="74"/>
      <c r="K964" s="15"/>
      <c r="L964" s="15"/>
      <c r="M964" s="15"/>
      <c r="N964" s="15"/>
      <c r="O964" s="15"/>
      <c r="P964" s="15"/>
      <c r="Q964" s="15"/>
      <c r="R964" s="15"/>
    </row>
    <row r="965">
      <c r="A965" s="15"/>
      <c r="B965" s="15"/>
      <c r="C965" s="15"/>
      <c r="D965" s="15"/>
      <c r="E965" s="15"/>
      <c r="F965" s="74"/>
      <c r="G965" s="74"/>
      <c r="H965" s="74"/>
      <c r="I965" s="74"/>
      <c r="J965" s="74"/>
      <c r="K965" s="15"/>
      <c r="L965" s="15"/>
      <c r="M965" s="15"/>
      <c r="N965" s="15"/>
      <c r="O965" s="15"/>
      <c r="P965" s="15"/>
      <c r="Q965" s="15"/>
      <c r="R965" s="15"/>
    </row>
    <row r="966">
      <c r="A966" s="15"/>
      <c r="B966" s="15"/>
      <c r="C966" s="15"/>
      <c r="D966" s="15"/>
      <c r="E966" s="15"/>
      <c r="F966" s="74"/>
      <c r="G966" s="74"/>
      <c r="H966" s="74"/>
      <c r="I966" s="74"/>
      <c r="J966" s="74"/>
      <c r="K966" s="15"/>
      <c r="L966" s="15"/>
      <c r="M966" s="15"/>
      <c r="N966" s="15"/>
      <c r="O966" s="15"/>
      <c r="P966" s="15"/>
      <c r="Q966" s="15"/>
      <c r="R966" s="15"/>
    </row>
    <row r="967">
      <c r="A967" s="15"/>
      <c r="B967" s="15"/>
      <c r="C967" s="15"/>
      <c r="D967" s="15"/>
      <c r="E967" s="15"/>
      <c r="F967" s="74"/>
      <c r="G967" s="74"/>
      <c r="H967" s="74"/>
      <c r="I967" s="74"/>
      <c r="J967" s="74"/>
      <c r="K967" s="15"/>
      <c r="L967" s="15"/>
      <c r="M967" s="15"/>
      <c r="N967" s="15"/>
      <c r="O967" s="15"/>
      <c r="P967" s="15"/>
      <c r="Q967" s="15"/>
      <c r="R967" s="15"/>
    </row>
    <row r="968">
      <c r="A968" s="15"/>
      <c r="B968" s="15"/>
      <c r="C968" s="15"/>
      <c r="D968" s="15"/>
      <c r="E968" s="15"/>
      <c r="F968" s="74"/>
      <c r="G968" s="74"/>
      <c r="H968" s="74"/>
      <c r="I968" s="74"/>
      <c r="J968" s="74"/>
      <c r="K968" s="15"/>
      <c r="L968" s="15"/>
      <c r="M968" s="15"/>
      <c r="N968" s="15"/>
      <c r="O968" s="15"/>
      <c r="P968" s="15"/>
      <c r="Q968" s="15"/>
      <c r="R968" s="15"/>
    </row>
    <row r="969">
      <c r="A969" s="15"/>
      <c r="B969" s="15"/>
      <c r="C969" s="15"/>
      <c r="D969" s="15"/>
      <c r="E969" s="15"/>
      <c r="F969" s="74"/>
      <c r="G969" s="74"/>
      <c r="H969" s="74"/>
      <c r="I969" s="74"/>
      <c r="J969" s="74"/>
      <c r="K969" s="15"/>
      <c r="L969" s="15"/>
      <c r="M969" s="15"/>
      <c r="N969" s="15"/>
      <c r="O969" s="15"/>
      <c r="P969" s="15"/>
      <c r="Q969" s="15"/>
      <c r="R969" s="15"/>
    </row>
    <row r="970">
      <c r="A970" s="15"/>
      <c r="B970" s="15"/>
      <c r="C970" s="15"/>
      <c r="D970" s="15"/>
      <c r="E970" s="15"/>
      <c r="F970" s="74"/>
      <c r="G970" s="74"/>
      <c r="H970" s="74"/>
      <c r="I970" s="74"/>
      <c r="J970" s="74"/>
      <c r="K970" s="15"/>
      <c r="L970" s="15"/>
      <c r="M970" s="15"/>
      <c r="N970" s="15"/>
      <c r="O970" s="15"/>
      <c r="P970" s="15"/>
      <c r="Q970" s="15"/>
      <c r="R970" s="15"/>
    </row>
    <row r="971">
      <c r="A971" s="15"/>
      <c r="B971" s="15"/>
      <c r="C971" s="15"/>
      <c r="D971" s="15"/>
      <c r="E971" s="15"/>
      <c r="F971" s="74"/>
      <c r="G971" s="74"/>
      <c r="H971" s="74"/>
      <c r="I971" s="74"/>
      <c r="J971" s="74"/>
      <c r="K971" s="15"/>
      <c r="L971" s="15"/>
      <c r="M971" s="15"/>
      <c r="N971" s="15"/>
      <c r="O971" s="15"/>
      <c r="P971" s="15"/>
      <c r="Q971" s="15"/>
      <c r="R971" s="15"/>
    </row>
    <row r="972">
      <c r="A972" s="15"/>
      <c r="B972" s="15"/>
      <c r="C972" s="15"/>
      <c r="D972" s="15"/>
      <c r="E972" s="15"/>
      <c r="F972" s="74"/>
      <c r="G972" s="74"/>
      <c r="H972" s="74"/>
      <c r="I972" s="74"/>
      <c r="J972" s="74"/>
      <c r="K972" s="15"/>
      <c r="L972" s="15"/>
      <c r="M972" s="15"/>
      <c r="N972" s="15"/>
      <c r="O972" s="15"/>
      <c r="P972" s="15"/>
      <c r="Q972" s="15"/>
      <c r="R972" s="15"/>
    </row>
    <row r="973">
      <c r="A973" s="15"/>
      <c r="B973" s="15"/>
      <c r="C973" s="15"/>
      <c r="D973" s="15"/>
      <c r="E973" s="15"/>
      <c r="F973" s="74"/>
      <c r="G973" s="74"/>
      <c r="H973" s="74"/>
      <c r="I973" s="74"/>
      <c r="J973" s="74"/>
      <c r="K973" s="15"/>
      <c r="L973" s="15"/>
      <c r="M973" s="15"/>
      <c r="N973" s="15"/>
      <c r="O973" s="15"/>
      <c r="P973" s="15"/>
      <c r="Q973" s="15"/>
      <c r="R973" s="15"/>
    </row>
    <row r="974">
      <c r="A974" s="15"/>
      <c r="B974" s="15"/>
      <c r="C974" s="15"/>
      <c r="D974" s="15"/>
      <c r="E974" s="15"/>
      <c r="F974" s="74"/>
      <c r="G974" s="74"/>
      <c r="H974" s="74"/>
      <c r="I974" s="74"/>
      <c r="J974" s="74"/>
      <c r="K974" s="15"/>
      <c r="L974" s="15"/>
      <c r="M974" s="15"/>
      <c r="N974" s="15"/>
      <c r="O974" s="15"/>
      <c r="P974" s="15"/>
      <c r="Q974" s="15"/>
      <c r="R974" s="15"/>
    </row>
    <row r="975">
      <c r="A975" s="15"/>
      <c r="B975" s="15"/>
      <c r="C975" s="15"/>
      <c r="D975" s="15"/>
      <c r="E975" s="15"/>
      <c r="F975" s="74"/>
      <c r="G975" s="74"/>
      <c r="H975" s="74"/>
      <c r="I975" s="74"/>
      <c r="J975" s="74"/>
      <c r="K975" s="15"/>
      <c r="L975" s="15"/>
      <c r="M975" s="15"/>
      <c r="N975" s="15"/>
      <c r="O975" s="15"/>
      <c r="P975" s="15"/>
      <c r="Q975" s="15"/>
      <c r="R975" s="15"/>
    </row>
    <row r="976">
      <c r="A976" s="15"/>
      <c r="B976" s="15"/>
      <c r="C976" s="15"/>
      <c r="D976" s="15"/>
      <c r="E976" s="15"/>
      <c r="F976" s="74"/>
      <c r="G976" s="74"/>
      <c r="H976" s="74"/>
      <c r="I976" s="74"/>
      <c r="J976" s="74"/>
      <c r="K976" s="15"/>
      <c r="L976" s="15"/>
      <c r="M976" s="15"/>
      <c r="N976" s="15"/>
      <c r="O976" s="15"/>
      <c r="P976" s="15"/>
      <c r="Q976" s="15"/>
      <c r="R976" s="15"/>
    </row>
    <row r="977">
      <c r="A977" s="15"/>
      <c r="B977" s="15"/>
      <c r="C977" s="15"/>
      <c r="D977" s="15"/>
      <c r="E977" s="15"/>
      <c r="F977" s="74"/>
      <c r="G977" s="74"/>
      <c r="H977" s="74"/>
      <c r="I977" s="74"/>
      <c r="J977" s="74"/>
      <c r="K977" s="15"/>
      <c r="L977" s="15"/>
      <c r="M977" s="15"/>
      <c r="N977" s="15"/>
      <c r="O977" s="15"/>
      <c r="P977" s="15"/>
      <c r="Q977" s="15"/>
      <c r="R977" s="15"/>
    </row>
    <row r="978">
      <c r="A978" s="15"/>
      <c r="B978" s="15"/>
      <c r="C978" s="15"/>
      <c r="D978" s="15"/>
      <c r="E978" s="15"/>
      <c r="F978" s="74"/>
      <c r="G978" s="74"/>
      <c r="H978" s="74"/>
      <c r="I978" s="74"/>
      <c r="J978" s="74"/>
      <c r="K978" s="15"/>
      <c r="L978" s="15"/>
      <c r="M978" s="15"/>
      <c r="N978" s="15"/>
      <c r="O978" s="15"/>
      <c r="P978" s="15"/>
      <c r="Q978" s="15"/>
      <c r="R978" s="15"/>
    </row>
    <row r="979">
      <c r="A979" s="15"/>
      <c r="B979" s="15"/>
      <c r="C979" s="15"/>
      <c r="D979" s="15"/>
      <c r="E979" s="15"/>
      <c r="F979" s="74"/>
      <c r="G979" s="74"/>
      <c r="H979" s="74"/>
      <c r="I979" s="74"/>
      <c r="J979" s="74"/>
      <c r="K979" s="15"/>
      <c r="L979" s="15"/>
      <c r="M979" s="15"/>
      <c r="N979" s="15"/>
      <c r="O979" s="15"/>
      <c r="P979" s="15"/>
      <c r="Q979" s="15"/>
      <c r="R979" s="15"/>
    </row>
    <row r="980">
      <c r="A980" s="15"/>
      <c r="B980" s="15"/>
      <c r="C980" s="15"/>
      <c r="D980" s="15"/>
      <c r="E980" s="15"/>
      <c r="F980" s="74"/>
      <c r="G980" s="74"/>
      <c r="H980" s="74"/>
      <c r="I980" s="74"/>
      <c r="J980" s="74"/>
      <c r="K980" s="15"/>
      <c r="L980" s="15"/>
      <c r="M980" s="15"/>
      <c r="N980" s="15"/>
      <c r="O980" s="15"/>
      <c r="P980" s="15"/>
      <c r="Q980" s="15"/>
      <c r="R980" s="15"/>
    </row>
    <row r="981">
      <c r="A981" s="15"/>
      <c r="B981" s="15"/>
      <c r="C981" s="15"/>
      <c r="D981" s="15"/>
      <c r="E981" s="15"/>
      <c r="F981" s="74"/>
      <c r="G981" s="74"/>
      <c r="H981" s="74"/>
      <c r="I981" s="74"/>
      <c r="J981" s="74"/>
      <c r="K981" s="15"/>
      <c r="L981" s="15"/>
      <c r="M981" s="15"/>
      <c r="N981" s="15"/>
      <c r="O981" s="15"/>
      <c r="P981" s="15"/>
      <c r="Q981" s="15"/>
      <c r="R981" s="15"/>
    </row>
    <row r="982">
      <c r="A982" s="15"/>
      <c r="B982" s="15"/>
      <c r="C982" s="15"/>
      <c r="D982" s="15"/>
      <c r="E982" s="15"/>
      <c r="F982" s="74"/>
      <c r="G982" s="74"/>
      <c r="H982" s="74"/>
      <c r="I982" s="74"/>
      <c r="J982" s="74"/>
      <c r="K982" s="15"/>
      <c r="L982" s="15"/>
      <c r="M982" s="15"/>
      <c r="N982" s="15"/>
      <c r="O982" s="15"/>
      <c r="P982" s="15"/>
      <c r="Q982" s="15"/>
      <c r="R982" s="15"/>
    </row>
    <row r="983">
      <c r="A983" s="15"/>
      <c r="B983" s="15"/>
      <c r="C983" s="15"/>
      <c r="D983" s="15"/>
      <c r="E983" s="15"/>
      <c r="F983" s="74"/>
      <c r="G983" s="74"/>
      <c r="H983" s="74"/>
      <c r="I983" s="74"/>
      <c r="J983" s="74"/>
      <c r="K983" s="15"/>
      <c r="L983" s="15"/>
      <c r="M983" s="15"/>
      <c r="N983" s="15"/>
      <c r="O983" s="15"/>
      <c r="P983" s="15"/>
      <c r="Q983" s="15"/>
      <c r="R983" s="15"/>
    </row>
    <row r="984">
      <c r="A984" s="15"/>
      <c r="B984" s="15"/>
      <c r="C984" s="15"/>
      <c r="D984" s="15"/>
      <c r="E984" s="15"/>
      <c r="F984" s="74"/>
      <c r="G984" s="74"/>
      <c r="H984" s="74"/>
      <c r="I984" s="74"/>
      <c r="J984" s="74"/>
      <c r="K984" s="15"/>
      <c r="L984" s="15"/>
      <c r="M984" s="15"/>
      <c r="N984" s="15"/>
      <c r="O984" s="15"/>
      <c r="P984" s="15"/>
      <c r="Q984" s="15"/>
      <c r="R984" s="15"/>
    </row>
    <row r="985">
      <c r="A985" s="15"/>
      <c r="B985" s="15"/>
      <c r="C985" s="15"/>
      <c r="D985" s="15"/>
      <c r="E985" s="15"/>
      <c r="F985" s="74"/>
      <c r="G985" s="74"/>
      <c r="H985" s="74"/>
      <c r="I985" s="74"/>
      <c r="J985" s="74"/>
      <c r="K985" s="15"/>
      <c r="L985" s="15"/>
      <c r="M985" s="15"/>
      <c r="N985" s="15"/>
      <c r="O985" s="15"/>
      <c r="P985" s="15"/>
      <c r="Q985" s="15"/>
      <c r="R985" s="15"/>
    </row>
    <row r="986">
      <c r="A986" s="15"/>
      <c r="B986" s="15"/>
      <c r="C986" s="15"/>
      <c r="D986" s="15"/>
      <c r="E986" s="15"/>
      <c r="F986" s="74"/>
      <c r="G986" s="74"/>
      <c r="H986" s="74"/>
      <c r="I986" s="74"/>
      <c r="J986" s="74"/>
      <c r="K986" s="15"/>
      <c r="L986" s="15"/>
      <c r="M986" s="15"/>
      <c r="N986" s="15"/>
      <c r="O986" s="15"/>
      <c r="P986" s="15"/>
      <c r="Q986" s="15"/>
      <c r="R986" s="15"/>
    </row>
    <row r="987">
      <c r="A987" s="15"/>
      <c r="B987" s="15"/>
      <c r="C987" s="15"/>
      <c r="D987" s="15"/>
      <c r="E987" s="15"/>
      <c r="F987" s="74"/>
      <c r="G987" s="74"/>
      <c r="H987" s="74"/>
      <c r="I987" s="74"/>
      <c r="J987" s="74"/>
      <c r="K987" s="15"/>
      <c r="L987" s="15"/>
      <c r="M987" s="15"/>
      <c r="N987" s="15"/>
      <c r="O987" s="15"/>
      <c r="P987" s="15"/>
      <c r="Q987" s="15"/>
      <c r="R987" s="15"/>
    </row>
    <row r="988">
      <c r="A988" s="15"/>
      <c r="B988" s="15"/>
      <c r="C988" s="15"/>
      <c r="D988" s="15"/>
      <c r="E988" s="15"/>
      <c r="F988" s="74"/>
      <c r="G988" s="74"/>
      <c r="H988" s="74"/>
      <c r="I988" s="74"/>
      <c r="J988" s="74"/>
      <c r="K988" s="15"/>
      <c r="L988" s="15"/>
      <c r="M988" s="15"/>
      <c r="N988" s="15"/>
      <c r="O988" s="15"/>
      <c r="P988" s="15"/>
      <c r="Q988" s="15"/>
      <c r="R988" s="15"/>
    </row>
    <row r="989">
      <c r="A989" s="15"/>
      <c r="B989" s="15"/>
      <c r="C989" s="15"/>
      <c r="D989" s="15"/>
      <c r="E989" s="15"/>
      <c r="F989" s="74"/>
      <c r="G989" s="74"/>
      <c r="H989" s="74"/>
      <c r="I989" s="74"/>
      <c r="J989" s="74"/>
      <c r="K989" s="15"/>
      <c r="L989" s="15"/>
      <c r="M989" s="15"/>
      <c r="N989" s="15"/>
      <c r="O989" s="15"/>
      <c r="P989" s="15"/>
      <c r="Q989" s="15"/>
      <c r="R989" s="15"/>
    </row>
    <row r="990">
      <c r="A990" s="15"/>
      <c r="B990" s="15"/>
      <c r="C990" s="15"/>
      <c r="D990" s="15"/>
      <c r="E990" s="15"/>
      <c r="F990" s="74"/>
      <c r="G990" s="74"/>
      <c r="H990" s="74"/>
      <c r="I990" s="74"/>
      <c r="J990" s="74"/>
      <c r="K990" s="15"/>
      <c r="L990" s="15"/>
      <c r="M990" s="15"/>
      <c r="N990" s="15"/>
      <c r="O990" s="15"/>
      <c r="P990" s="15"/>
      <c r="Q990" s="15"/>
      <c r="R990" s="15"/>
    </row>
    <row r="991">
      <c r="A991" s="15"/>
      <c r="B991" s="15"/>
      <c r="C991" s="15"/>
      <c r="D991" s="15"/>
      <c r="E991" s="15"/>
      <c r="F991" s="74"/>
      <c r="G991" s="74"/>
      <c r="H991" s="74"/>
      <c r="I991" s="74"/>
      <c r="J991" s="74"/>
      <c r="K991" s="15"/>
      <c r="L991" s="15"/>
      <c r="M991" s="15"/>
      <c r="N991" s="15"/>
      <c r="O991" s="15"/>
      <c r="P991" s="15"/>
      <c r="Q991" s="15"/>
      <c r="R991" s="15"/>
    </row>
    <row r="992">
      <c r="A992" s="15"/>
      <c r="B992" s="15"/>
      <c r="C992" s="15"/>
      <c r="D992" s="15"/>
      <c r="E992" s="15"/>
      <c r="F992" s="74"/>
      <c r="G992" s="74"/>
      <c r="H992" s="74"/>
      <c r="I992" s="74"/>
      <c r="J992" s="74"/>
      <c r="K992" s="15"/>
      <c r="L992" s="15"/>
      <c r="M992" s="15"/>
      <c r="N992" s="15"/>
      <c r="O992" s="15"/>
      <c r="P992" s="15"/>
      <c r="Q992" s="15"/>
      <c r="R992" s="15"/>
    </row>
    <row r="993">
      <c r="A993" s="15"/>
      <c r="B993" s="15"/>
      <c r="C993" s="15"/>
      <c r="D993" s="15"/>
      <c r="E993" s="15"/>
      <c r="F993" s="74"/>
      <c r="G993" s="74"/>
      <c r="H993" s="74"/>
      <c r="I993" s="74"/>
      <c r="J993" s="74"/>
      <c r="K993" s="15"/>
      <c r="L993" s="15"/>
      <c r="M993" s="15"/>
      <c r="N993" s="15"/>
      <c r="O993" s="15"/>
      <c r="P993" s="15"/>
      <c r="Q993" s="15"/>
      <c r="R993" s="15"/>
    </row>
    <row r="994">
      <c r="A994" s="15"/>
      <c r="B994" s="15"/>
      <c r="C994" s="15"/>
      <c r="D994" s="15"/>
      <c r="E994" s="15"/>
      <c r="F994" s="74"/>
      <c r="G994" s="74"/>
      <c r="H994" s="74"/>
      <c r="I994" s="74"/>
      <c r="J994" s="74"/>
      <c r="K994" s="15"/>
      <c r="L994" s="15"/>
      <c r="M994" s="15"/>
      <c r="N994" s="15"/>
      <c r="O994" s="15"/>
      <c r="P994" s="15"/>
      <c r="Q994" s="15"/>
      <c r="R994" s="15"/>
    </row>
    <row r="995">
      <c r="A995" s="15"/>
      <c r="B995" s="15"/>
      <c r="C995" s="15"/>
      <c r="D995" s="15"/>
      <c r="E995" s="15"/>
      <c r="F995" s="74"/>
      <c r="G995" s="74"/>
      <c r="H995" s="74"/>
      <c r="I995" s="74"/>
      <c r="J995" s="74"/>
      <c r="K995" s="15"/>
      <c r="L995" s="15"/>
      <c r="M995" s="15"/>
      <c r="N995" s="15"/>
      <c r="O995" s="15"/>
      <c r="P995" s="15"/>
      <c r="Q995" s="15"/>
      <c r="R995" s="15"/>
    </row>
    <row r="996">
      <c r="A996" s="15"/>
      <c r="B996" s="15"/>
      <c r="C996" s="15"/>
      <c r="D996" s="15"/>
      <c r="E996" s="15"/>
      <c r="F996" s="74"/>
      <c r="G996" s="74"/>
      <c r="H996" s="74"/>
      <c r="I996" s="74"/>
      <c r="J996" s="74"/>
      <c r="K996" s="15"/>
      <c r="L996" s="15"/>
      <c r="M996" s="15"/>
      <c r="N996" s="15"/>
      <c r="O996" s="15"/>
      <c r="P996" s="15"/>
      <c r="Q996" s="15"/>
      <c r="R996" s="15"/>
    </row>
    <row r="997">
      <c r="A997" s="15"/>
      <c r="B997" s="15"/>
      <c r="C997" s="15"/>
      <c r="D997" s="15"/>
      <c r="E997" s="15"/>
      <c r="F997" s="74"/>
      <c r="G997" s="74"/>
      <c r="H997" s="74"/>
      <c r="I997" s="74"/>
      <c r="J997" s="74"/>
      <c r="K997" s="15"/>
      <c r="L997" s="15"/>
      <c r="M997" s="15"/>
      <c r="N997" s="15"/>
      <c r="O997" s="15"/>
      <c r="P997" s="15"/>
      <c r="Q997" s="15"/>
      <c r="R997" s="15"/>
    </row>
    <row r="998">
      <c r="A998" s="15"/>
      <c r="B998" s="15"/>
      <c r="C998" s="15"/>
      <c r="D998" s="15"/>
      <c r="E998" s="15"/>
      <c r="F998" s="74"/>
      <c r="G998" s="74"/>
      <c r="H998" s="74"/>
      <c r="I998" s="74"/>
      <c r="J998" s="74"/>
      <c r="K998" s="15"/>
      <c r="L998" s="15"/>
      <c r="M998" s="15"/>
      <c r="N998" s="15"/>
      <c r="O998" s="15"/>
      <c r="P998" s="15"/>
      <c r="Q998" s="15"/>
      <c r="R998" s="15"/>
    </row>
    <row r="999">
      <c r="A999" s="15"/>
      <c r="B999" s="15"/>
      <c r="C999" s="15"/>
      <c r="D999" s="15"/>
      <c r="E999" s="15"/>
      <c r="F999" s="74"/>
      <c r="G999" s="74"/>
      <c r="H999" s="74"/>
      <c r="I999" s="74"/>
      <c r="J999" s="74"/>
      <c r="K999" s="15"/>
      <c r="L999" s="15"/>
      <c r="M999" s="15"/>
      <c r="N999" s="15"/>
      <c r="O999" s="15"/>
      <c r="P999" s="15"/>
      <c r="Q999" s="15"/>
      <c r="R999" s="15"/>
    </row>
    <row r="1000">
      <c r="A1000" s="15"/>
      <c r="B1000" s="15"/>
      <c r="C1000" s="15"/>
      <c r="D1000" s="15"/>
      <c r="E1000" s="15"/>
      <c r="F1000" s="74"/>
      <c r="G1000" s="74"/>
      <c r="H1000" s="74"/>
      <c r="I1000" s="74"/>
      <c r="J1000" s="74"/>
      <c r="K1000" s="15"/>
      <c r="L1000" s="15"/>
      <c r="M1000" s="15"/>
      <c r="N1000" s="15"/>
      <c r="O1000" s="15"/>
      <c r="P1000" s="15"/>
      <c r="Q1000" s="15"/>
      <c r="R1000" s="15"/>
    </row>
    <row r="1001">
      <c r="A1001" s="15"/>
      <c r="B1001" s="15"/>
      <c r="C1001" s="15"/>
      <c r="D1001" s="15"/>
      <c r="E1001" s="15"/>
      <c r="F1001" s="74"/>
      <c r="G1001" s="74"/>
      <c r="H1001" s="74"/>
      <c r="I1001" s="74"/>
      <c r="J1001" s="74"/>
      <c r="K1001" s="15"/>
      <c r="L1001" s="15"/>
      <c r="M1001" s="15"/>
      <c r="N1001" s="15"/>
      <c r="O1001" s="15"/>
      <c r="P1001" s="15"/>
      <c r="Q1001" s="15"/>
      <c r="R1001" s="15"/>
    </row>
    <row r="1002">
      <c r="A1002" s="15"/>
      <c r="B1002" s="15"/>
      <c r="C1002" s="15"/>
      <c r="D1002" s="15"/>
      <c r="E1002" s="15"/>
      <c r="F1002" s="74"/>
      <c r="G1002" s="74"/>
      <c r="H1002" s="74"/>
      <c r="I1002" s="74"/>
      <c r="J1002" s="74"/>
      <c r="K1002" s="15"/>
      <c r="L1002" s="15"/>
      <c r="M1002" s="15"/>
      <c r="N1002" s="15"/>
      <c r="O1002" s="15"/>
      <c r="P1002" s="15"/>
      <c r="Q1002" s="15"/>
      <c r="R1002" s="15"/>
    </row>
    <row r="1003">
      <c r="A1003" s="15"/>
      <c r="B1003" s="15"/>
      <c r="C1003" s="15"/>
      <c r="D1003" s="15"/>
      <c r="E1003" s="15"/>
      <c r="F1003" s="74"/>
      <c r="G1003" s="74"/>
      <c r="H1003" s="74"/>
      <c r="I1003" s="74"/>
      <c r="J1003" s="74"/>
      <c r="K1003" s="15"/>
      <c r="L1003" s="15"/>
      <c r="M1003" s="15"/>
      <c r="N1003" s="15"/>
      <c r="O1003" s="15"/>
      <c r="P1003" s="15"/>
      <c r="Q1003" s="15"/>
      <c r="R1003" s="15"/>
    </row>
    <row r="1004">
      <c r="A1004" s="15"/>
      <c r="B1004" s="15"/>
      <c r="C1004" s="15"/>
      <c r="D1004" s="15"/>
      <c r="E1004" s="15"/>
      <c r="F1004" s="74"/>
      <c r="G1004" s="74"/>
      <c r="H1004" s="74"/>
      <c r="I1004" s="74"/>
      <c r="J1004" s="74"/>
      <c r="K1004" s="15"/>
      <c r="L1004" s="15"/>
      <c r="M1004" s="15"/>
      <c r="N1004" s="15"/>
      <c r="O1004" s="15"/>
      <c r="P1004" s="15"/>
      <c r="Q1004" s="15"/>
      <c r="R1004" s="15"/>
    </row>
    <row r="1005">
      <c r="A1005" s="15"/>
      <c r="B1005" s="15"/>
      <c r="C1005" s="15"/>
      <c r="D1005" s="15"/>
      <c r="E1005" s="15"/>
      <c r="F1005" s="74"/>
      <c r="G1005" s="74"/>
      <c r="H1005" s="74"/>
      <c r="I1005" s="74"/>
      <c r="J1005" s="74"/>
      <c r="K1005" s="15"/>
      <c r="L1005" s="15"/>
      <c r="M1005" s="15"/>
      <c r="N1005" s="15"/>
      <c r="O1005" s="15"/>
      <c r="P1005" s="15"/>
      <c r="Q1005" s="15"/>
      <c r="R1005" s="15"/>
    </row>
    <row r="1006">
      <c r="A1006" s="15"/>
      <c r="B1006" s="15"/>
      <c r="C1006" s="15"/>
      <c r="D1006" s="15"/>
      <c r="E1006" s="15"/>
      <c r="F1006" s="74"/>
      <c r="G1006" s="74"/>
      <c r="H1006" s="74"/>
      <c r="I1006" s="74"/>
      <c r="J1006" s="74"/>
      <c r="K1006" s="15"/>
      <c r="L1006" s="15"/>
      <c r="M1006" s="15"/>
      <c r="N1006" s="15"/>
      <c r="O1006" s="15"/>
      <c r="P1006" s="15"/>
      <c r="Q1006" s="15"/>
      <c r="R1006" s="15"/>
    </row>
    <row r="1007">
      <c r="A1007" s="15"/>
      <c r="B1007" s="15"/>
      <c r="C1007" s="15"/>
      <c r="D1007" s="15"/>
      <c r="E1007" s="15"/>
      <c r="F1007" s="74"/>
      <c r="G1007" s="74"/>
      <c r="H1007" s="74"/>
      <c r="I1007" s="74"/>
      <c r="J1007" s="74"/>
      <c r="K1007" s="15"/>
      <c r="L1007" s="15"/>
      <c r="M1007" s="15"/>
      <c r="N1007" s="15"/>
      <c r="O1007" s="15"/>
      <c r="P1007" s="15"/>
      <c r="Q1007" s="15"/>
      <c r="R1007" s="15"/>
    </row>
    <row r="1008">
      <c r="A1008" s="15"/>
      <c r="B1008" s="15"/>
      <c r="C1008" s="15"/>
      <c r="D1008" s="15"/>
      <c r="E1008" s="15"/>
      <c r="F1008" s="74"/>
      <c r="G1008" s="74"/>
      <c r="H1008" s="74"/>
      <c r="I1008" s="74"/>
      <c r="J1008" s="74"/>
      <c r="K1008" s="15"/>
      <c r="L1008" s="15"/>
      <c r="M1008" s="15"/>
      <c r="N1008" s="15"/>
      <c r="O1008" s="15"/>
      <c r="P1008" s="15"/>
      <c r="Q1008" s="15"/>
      <c r="R1008" s="15"/>
    </row>
    <row r="1009">
      <c r="A1009" s="15"/>
      <c r="B1009" s="15"/>
      <c r="C1009" s="15"/>
      <c r="D1009" s="15"/>
      <c r="E1009" s="15"/>
      <c r="F1009" s="74"/>
      <c r="G1009" s="74"/>
      <c r="H1009" s="74"/>
      <c r="I1009" s="74"/>
      <c r="J1009" s="74"/>
      <c r="K1009" s="15"/>
      <c r="L1009" s="15"/>
      <c r="M1009" s="15"/>
      <c r="N1009" s="15"/>
      <c r="O1009" s="15"/>
      <c r="P1009" s="15"/>
      <c r="Q1009" s="15"/>
      <c r="R1009" s="15"/>
    </row>
    <row r="1010">
      <c r="A1010" s="15"/>
      <c r="B1010" s="15"/>
      <c r="C1010" s="15"/>
      <c r="D1010" s="15"/>
      <c r="E1010" s="15"/>
      <c r="F1010" s="74"/>
      <c r="G1010" s="74"/>
      <c r="H1010" s="74"/>
      <c r="I1010" s="74"/>
      <c r="J1010" s="74"/>
      <c r="K1010" s="15"/>
      <c r="L1010" s="15"/>
      <c r="M1010" s="15"/>
      <c r="N1010" s="15"/>
      <c r="O1010" s="15"/>
      <c r="P1010" s="15"/>
      <c r="Q1010" s="15"/>
      <c r="R1010" s="15"/>
    </row>
    <row r="1011">
      <c r="A1011" s="15"/>
      <c r="B1011" s="15"/>
      <c r="C1011" s="15"/>
      <c r="D1011" s="15"/>
      <c r="E1011" s="15"/>
      <c r="F1011" s="74"/>
      <c r="G1011" s="74"/>
      <c r="H1011" s="74"/>
      <c r="I1011" s="74"/>
      <c r="J1011" s="74"/>
      <c r="K1011" s="15"/>
      <c r="L1011" s="15"/>
      <c r="M1011" s="15"/>
      <c r="N1011" s="15"/>
      <c r="O1011" s="15"/>
      <c r="P1011" s="15"/>
      <c r="Q1011" s="15"/>
      <c r="R1011" s="15"/>
    </row>
    <row r="1012">
      <c r="A1012" s="15"/>
      <c r="B1012" s="15"/>
      <c r="C1012" s="15"/>
      <c r="D1012" s="15"/>
      <c r="E1012" s="15"/>
      <c r="F1012" s="74"/>
      <c r="G1012" s="74"/>
      <c r="H1012" s="74"/>
      <c r="I1012" s="74"/>
      <c r="J1012" s="74"/>
      <c r="K1012" s="15"/>
      <c r="L1012" s="15"/>
      <c r="M1012" s="15"/>
      <c r="N1012" s="15"/>
      <c r="O1012" s="15"/>
      <c r="P1012" s="15"/>
      <c r="Q1012" s="15"/>
      <c r="R1012" s="15"/>
    </row>
    <row r="1013">
      <c r="A1013" s="15"/>
      <c r="B1013" s="15"/>
      <c r="C1013" s="15"/>
      <c r="D1013" s="15"/>
      <c r="E1013" s="15"/>
      <c r="F1013" s="74"/>
      <c r="G1013" s="74"/>
      <c r="H1013" s="74"/>
      <c r="I1013" s="74"/>
      <c r="J1013" s="74"/>
      <c r="K1013" s="15"/>
      <c r="L1013" s="15"/>
      <c r="M1013" s="15"/>
      <c r="N1013" s="15"/>
      <c r="O1013" s="15"/>
      <c r="P1013" s="15"/>
      <c r="Q1013" s="15"/>
      <c r="R1013" s="15"/>
    </row>
    <row r="1014">
      <c r="A1014" s="15"/>
      <c r="B1014" s="15"/>
      <c r="C1014" s="15"/>
      <c r="D1014" s="15"/>
      <c r="E1014" s="15"/>
      <c r="F1014" s="74"/>
      <c r="G1014" s="74"/>
      <c r="H1014" s="74"/>
      <c r="I1014" s="74"/>
      <c r="J1014" s="74"/>
      <c r="K1014" s="15"/>
      <c r="L1014" s="15"/>
      <c r="M1014" s="15"/>
      <c r="N1014" s="15"/>
      <c r="O1014" s="15"/>
      <c r="P1014" s="15"/>
      <c r="Q1014" s="15"/>
      <c r="R1014" s="15"/>
    </row>
    <row r="1015">
      <c r="A1015" s="15"/>
      <c r="B1015" s="15"/>
      <c r="C1015" s="15"/>
      <c r="D1015" s="15"/>
      <c r="E1015" s="15"/>
      <c r="F1015" s="74"/>
      <c r="G1015" s="74"/>
      <c r="H1015" s="74"/>
      <c r="I1015" s="74"/>
      <c r="J1015" s="74"/>
      <c r="K1015" s="15"/>
      <c r="L1015" s="15"/>
      <c r="M1015" s="15"/>
      <c r="N1015" s="15"/>
      <c r="O1015" s="15"/>
      <c r="P1015" s="15"/>
      <c r="Q1015" s="15"/>
      <c r="R1015" s="15"/>
    </row>
    <row r="1016">
      <c r="A1016" s="15"/>
      <c r="B1016" s="15"/>
      <c r="C1016" s="15"/>
      <c r="D1016" s="15"/>
      <c r="E1016" s="15"/>
      <c r="F1016" s="74"/>
      <c r="G1016" s="74"/>
      <c r="H1016" s="74"/>
      <c r="I1016" s="74"/>
      <c r="J1016" s="74"/>
      <c r="K1016" s="15"/>
      <c r="L1016" s="15"/>
      <c r="M1016" s="15"/>
      <c r="N1016" s="15"/>
      <c r="O1016" s="15"/>
      <c r="P1016" s="15"/>
      <c r="Q1016" s="15"/>
      <c r="R1016" s="15"/>
    </row>
    <row r="1017">
      <c r="A1017" s="15"/>
      <c r="B1017" s="15"/>
      <c r="C1017" s="15"/>
      <c r="D1017" s="15"/>
      <c r="E1017" s="15"/>
      <c r="F1017" s="74"/>
      <c r="G1017" s="74"/>
      <c r="H1017" s="74"/>
      <c r="I1017" s="74"/>
      <c r="J1017" s="74"/>
      <c r="K1017" s="15"/>
      <c r="L1017" s="15"/>
      <c r="M1017" s="15"/>
      <c r="N1017" s="15"/>
      <c r="O1017" s="15"/>
      <c r="P1017" s="15"/>
      <c r="Q1017" s="15"/>
      <c r="R1017" s="15"/>
    </row>
    <row r="1018">
      <c r="A1018" s="15"/>
      <c r="B1018" s="15"/>
      <c r="C1018" s="15"/>
      <c r="D1018" s="15"/>
      <c r="E1018" s="15"/>
      <c r="F1018" s="74"/>
      <c r="G1018" s="74"/>
      <c r="H1018" s="74"/>
      <c r="I1018" s="74"/>
      <c r="J1018" s="74"/>
      <c r="K1018" s="15"/>
      <c r="L1018" s="15"/>
      <c r="M1018" s="15"/>
      <c r="N1018" s="15"/>
      <c r="O1018" s="15"/>
      <c r="P1018" s="15"/>
      <c r="Q1018" s="15"/>
      <c r="R1018" s="15"/>
    </row>
    <row r="1019">
      <c r="A1019" s="15"/>
      <c r="B1019" s="15"/>
      <c r="C1019" s="15"/>
      <c r="D1019" s="15"/>
      <c r="E1019" s="15"/>
      <c r="F1019" s="74"/>
      <c r="G1019" s="74"/>
      <c r="H1019" s="74"/>
      <c r="I1019" s="74"/>
      <c r="J1019" s="74"/>
      <c r="K1019" s="15"/>
      <c r="L1019" s="15"/>
      <c r="M1019" s="15"/>
      <c r="N1019" s="15"/>
      <c r="O1019" s="15"/>
      <c r="P1019" s="15"/>
      <c r="Q1019" s="15"/>
      <c r="R1019" s="15"/>
    </row>
    <row r="1020">
      <c r="A1020" s="15"/>
      <c r="B1020" s="15"/>
      <c r="C1020" s="15"/>
      <c r="D1020" s="15"/>
      <c r="E1020" s="15"/>
      <c r="F1020" s="74"/>
      <c r="G1020" s="74"/>
      <c r="H1020" s="74"/>
      <c r="I1020" s="74"/>
      <c r="J1020" s="74"/>
      <c r="K1020" s="15"/>
      <c r="L1020" s="15"/>
      <c r="M1020" s="15"/>
      <c r="N1020" s="15"/>
      <c r="O1020" s="15"/>
      <c r="P1020" s="15"/>
      <c r="Q1020" s="15"/>
      <c r="R1020" s="15"/>
    </row>
    <row r="1021">
      <c r="A1021" s="15"/>
      <c r="B1021" s="15"/>
      <c r="C1021" s="15"/>
      <c r="D1021" s="15"/>
      <c r="E1021" s="15"/>
      <c r="F1021" s="74"/>
      <c r="G1021" s="74"/>
      <c r="H1021" s="74"/>
      <c r="I1021" s="74"/>
      <c r="J1021" s="74"/>
      <c r="K1021" s="15"/>
      <c r="L1021" s="15"/>
      <c r="M1021" s="15"/>
      <c r="N1021" s="15"/>
      <c r="O1021" s="15"/>
      <c r="P1021" s="15"/>
      <c r="Q1021" s="15"/>
      <c r="R1021" s="15"/>
    </row>
    <row r="1022">
      <c r="A1022" s="15"/>
      <c r="B1022" s="15"/>
      <c r="C1022" s="15"/>
      <c r="D1022" s="15"/>
      <c r="E1022" s="15"/>
      <c r="F1022" s="74"/>
      <c r="G1022" s="74"/>
      <c r="H1022" s="74"/>
      <c r="I1022" s="74"/>
      <c r="J1022" s="74"/>
      <c r="K1022" s="15"/>
      <c r="L1022" s="15"/>
      <c r="M1022" s="15"/>
      <c r="N1022" s="15"/>
      <c r="O1022" s="15"/>
      <c r="P1022" s="15"/>
      <c r="Q1022" s="15"/>
      <c r="R1022" s="15"/>
    </row>
    <row r="1023">
      <c r="A1023" s="15"/>
      <c r="B1023" s="15"/>
      <c r="C1023" s="15"/>
      <c r="D1023" s="15"/>
      <c r="E1023" s="15"/>
      <c r="F1023" s="74"/>
      <c r="G1023" s="74"/>
      <c r="H1023" s="74"/>
      <c r="I1023" s="74"/>
      <c r="J1023" s="74"/>
      <c r="K1023" s="15"/>
      <c r="L1023" s="15"/>
      <c r="M1023" s="15"/>
      <c r="N1023" s="15"/>
      <c r="O1023" s="15"/>
      <c r="P1023" s="15"/>
      <c r="Q1023" s="15"/>
      <c r="R1023" s="15"/>
    </row>
    <row r="1024">
      <c r="A1024" s="15"/>
      <c r="B1024" s="15"/>
      <c r="C1024" s="15"/>
      <c r="D1024" s="15"/>
      <c r="E1024" s="15"/>
      <c r="F1024" s="74"/>
      <c r="G1024" s="74"/>
      <c r="H1024" s="74"/>
      <c r="I1024" s="74"/>
      <c r="J1024" s="74"/>
      <c r="K1024" s="15"/>
      <c r="L1024" s="15"/>
      <c r="M1024" s="15"/>
      <c r="N1024" s="15"/>
      <c r="O1024" s="15"/>
      <c r="P1024" s="15"/>
      <c r="Q1024" s="15"/>
      <c r="R1024" s="15"/>
    </row>
    <row r="1025">
      <c r="A1025" s="15"/>
      <c r="B1025" s="15"/>
      <c r="C1025" s="15"/>
      <c r="D1025" s="15"/>
      <c r="E1025" s="15"/>
      <c r="F1025" s="74"/>
      <c r="G1025" s="74"/>
      <c r="H1025" s="74"/>
      <c r="I1025" s="74"/>
      <c r="J1025" s="74"/>
      <c r="K1025" s="15"/>
      <c r="L1025" s="15"/>
      <c r="M1025" s="15"/>
      <c r="N1025" s="15"/>
      <c r="O1025" s="15"/>
      <c r="P1025" s="15"/>
      <c r="Q1025" s="15"/>
      <c r="R1025" s="15"/>
    </row>
    <row r="1026">
      <c r="A1026" s="15"/>
      <c r="B1026" s="15"/>
      <c r="C1026" s="15"/>
      <c r="D1026" s="15"/>
      <c r="E1026" s="15"/>
      <c r="F1026" s="74"/>
      <c r="G1026" s="74"/>
      <c r="H1026" s="74"/>
      <c r="I1026" s="74"/>
      <c r="J1026" s="74"/>
      <c r="K1026" s="15"/>
      <c r="L1026" s="15"/>
      <c r="M1026" s="15"/>
      <c r="N1026" s="15"/>
      <c r="O1026" s="15"/>
      <c r="P1026" s="15"/>
      <c r="Q1026" s="15"/>
      <c r="R1026" s="15"/>
    </row>
    <row r="1027">
      <c r="A1027" s="15"/>
      <c r="B1027" s="15"/>
      <c r="C1027" s="15"/>
      <c r="D1027" s="15"/>
      <c r="E1027" s="15"/>
      <c r="F1027" s="74"/>
      <c r="G1027" s="74"/>
      <c r="H1027" s="74"/>
      <c r="I1027" s="74"/>
      <c r="J1027" s="74"/>
      <c r="K1027" s="15"/>
      <c r="L1027" s="15"/>
      <c r="M1027" s="15"/>
      <c r="N1027" s="15"/>
      <c r="O1027" s="15"/>
      <c r="P1027" s="15"/>
      <c r="Q1027" s="15"/>
      <c r="R1027" s="15"/>
    </row>
    <row r="1028">
      <c r="A1028" s="15"/>
      <c r="B1028" s="15"/>
      <c r="C1028" s="15"/>
      <c r="D1028" s="15"/>
      <c r="E1028" s="15"/>
      <c r="F1028" s="74"/>
      <c r="G1028" s="74"/>
      <c r="H1028" s="74"/>
      <c r="I1028" s="74"/>
      <c r="J1028" s="74"/>
      <c r="K1028" s="15"/>
      <c r="L1028" s="15"/>
      <c r="M1028" s="15"/>
      <c r="N1028" s="15"/>
      <c r="O1028" s="15"/>
      <c r="P1028" s="15"/>
      <c r="Q1028" s="15"/>
      <c r="R1028" s="15"/>
    </row>
    <row r="1029">
      <c r="A1029" s="15"/>
      <c r="B1029" s="15"/>
      <c r="C1029" s="15"/>
      <c r="D1029" s="15"/>
      <c r="E1029" s="15"/>
      <c r="F1029" s="74"/>
      <c r="G1029" s="74"/>
      <c r="H1029" s="74"/>
      <c r="I1029" s="74"/>
      <c r="J1029" s="74"/>
      <c r="K1029" s="15"/>
      <c r="L1029" s="15"/>
      <c r="M1029" s="15"/>
      <c r="N1029" s="15"/>
      <c r="O1029" s="15"/>
      <c r="P1029" s="15"/>
      <c r="Q1029" s="15"/>
      <c r="R1029" s="15"/>
    </row>
    <row r="1030">
      <c r="A1030" s="15"/>
      <c r="B1030" s="15"/>
      <c r="C1030" s="15"/>
      <c r="D1030" s="15"/>
      <c r="E1030" s="15"/>
      <c r="F1030" s="74"/>
      <c r="G1030" s="74"/>
      <c r="H1030" s="74"/>
      <c r="I1030" s="74"/>
      <c r="J1030" s="74"/>
      <c r="K1030" s="15"/>
      <c r="L1030" s="15"/>
      <c r="M1030" s="15"/>
      <c r="N1030" s="15"/>
      <c r="O1030" s="15"/>
      <c r="P1030" s="15"/>
      <c r="Q1030" s="15"/>
      <c r="R1030" s="15"/>
    </row>
    <row r="1031">
      <c r="A1031" s="15"/>
      <c r="B1031" s="15"/>
      <c r="C1031" s="15"/>
      <c r="D1031" s="15"/>
      <c r="E1031" s="15"/>
      <c r="F1031" s="74"/>
      <c r="G1031" s="74"/>
      <c r="H1031" s="74"/>
      <c r="I1031" s="74"/>
      <c r="J1031" s="74"/>
      <c r="K1031" s="15"/>
      <c r="L1031" s="15"/>
      <c r="M1031" s="15"/>
      <c r="N1031" s="15"/>
      <c r="O1031" s="15"/>
      <c r="P1031" s="15"/>
      <c r="Q1031" s="15"/>
      <c r="R1031" s="15"/>
    </row>
    <row r="1032">
      <c r="A1032" s="15"/>
      <c r="B1032" s="15"/>
      <c r="C1032" s="15"/>
      <c r="D1032" s="15"/>
      <c r="E1032" s="15"/>
      <c r="F1032" s="74"/>
      <c r="G1032" s="74"/>
      <c r="H1032" s="74"/>
      <c r="I1032" s="74"/>
      <c r="J1032" s="74"/>
      <c r="K1032" s="15"/>
      <c r="L1032" s="15"/>
      <c r="M1032" s="15"/>
      <c r="N1032" s="15"/>
      <c r="O1032" s="15"/>
      <c r="P1032" s="15"/>
      <c r="Q1032" s="15"/>
      <c r="R1032" s="15"/>
    </row>
    <row r="1033">
      <c r="A1033" s="15"/>
      <c r="B1033" s="15"/>
      <c r="C1033" s="15"/>
      <c r="D1033" s="15"/>
      <c r="E1033" s="15"/>
      <c r="F1033" s="74"/>
      <c r="G1033" s="74"/>
      <c r="H1033" s="74"/>
      <c r="I1033" s="74"/>
      <c r="J1033" s="74"/>
      <c r="K1033" s="15"/>
      <c r="L1033" s="15"/>
      <c r="M1033" s="15"/>
      <c r="N1033" s="15"/>
      <c r="O1033" s="15"/>
      <c r="P1033" s="15"/>
      <c r="Q1033" s="15"/>
      <c r="R1033" s="15"/>
    </row>
    <row r="1034">
      <c r="A1034" s="15"/>
      <c r="B1034" s="15"/>
      <c r="C1034" s="15"/>
      <c r="D1034" s="15"/>
      <c r="E1034" s="15"/>
      <c r="F1034" s="74"/>
      <c r="G1034" s="74"/>
      <c r="H1034" s="74"/>
      <c r="I1034" s="74"/>
      <c r="J1034" s="74"/>
      <c r="K1034" s="15"/>
      <c r="L1034" s="15"/>
      <c r="M1034" s="15"/>
      <c r="N1034" s="15"/>
      <c r="O1034" s="15"/>
      <c r="P1034" s="15"/>
      <c r="Q1034" s="15"/>
      <c r="R1034" s="15"/>
    </row>
    <row r="1035">
      <c r="A1035" s="15"/>
      <c r="B1035" s="15"/>
      <c r="C1035" s="15"/>
      <c r="D1035" s="15"/>
      <c r="E1035" s="15"/>
      <c r="F1035" s="74"/>
      <c r="G1035" s="74"/>
      <c r="H1035" s="74"/>
      <c r="I1035" s="74"/>
      <c r="J1035" s="74"/>
      <c r="K1035" s="15"/>
      <c r="L1035" s="15"/>
      <c r="M1035" s="15"/>
      <c r="N1035" s="15"/>
      <c r="O1035" s="15"/>
      <c r="P1035" s="15"/>
      <c r="Q1035" s="15"/>
      <c r="R1035" s="15"/>
    </row>
    <row r="1036">
      <c r="A1036" s="15"/>
      <c r="B1036" s="15"/>
      <c r="C1036" s="15"/>
      <c r="D1036" s="15"/>
      <c r="E1036" s="15"/>
      <c r="F1036" s="74"/>
      <c r="G1036" s="74"/>
      <c r="H1036" s="74"/>
      <c r="I1036" s="74"/>
      <c r="J1036" s="74"/>
      <c r="K1036" s="15"/>
      <c r="L1036" s="15"/>
      <c r="M1036" s="15"/>
      <c r="N1036" s="15"/>
      <c r="O1036" s="15"/>
      <c r="P1036" s="15"/>
      <c r="Q1036" s="15"/>
      <c r="R1036" s="15"/>
    </row>
    <row r="1037">
      <c r="A1037" s="15"/>
      <c r="B1037" s="15"/>
      <c r="C1037" s="15"/>
      <c r="D1037" s="15"/>
      <c r="E1037" s="15"/>
      <c r="F1037" s="74"/>
      <c r="G1037" s="74"/>
      <c r="H1037" s="74"/>
      <c r="I1037" s="74"/>
      <c r="J1037" s="74"/>
      <c r="K1037" s="15"/>
      <c r="L1037" s="15"/>
      <c r="M1037" s="15"/>
      <c r="N1037" s="15"/>
      <c r="O1037" s="15"/>
      <c r="P1037" s="15"/>
      <c r="Q1037" s="15"/>
      <c r="R1037" s="15"/>
    </row>
    <row r="1038">
      <c r="A1038" s="15"/>
      <c r="B1038" s="15"/>
      <c r="C1038" s="15"/>
      <c r="D1038" s="15"/>
      <c r="E1038" s="15"/>
      <c r="F1038" s="74"/>
      <c r="G1038" s="74"/>
      <c r="H1038" s="74"/>
      <c r="I1038" s="74"/>
      <c r="J1038" s="74"/>
      <c r="K1038" s="15"/>
      <c r="L1038" s="15"/>
      <c r="M1038" s="15"/>
      <c r="N1038" s="15"/>
      <c r="O1038" s="15"/>
      <c r="P1038" s="15"/>
      <c r="Q1038" s="15"/>
      <c r="R1038" s="15"/>
    </row>
    <row r="1039">
      <c r="A1039" s="15"/>
      <c r="B1039" s="15"/>
      <c r="C1039" s="15"/>
      <c r="D1039" s="15"/>
      <c r="E1039" s="15"/>
      <c r="F1039" s="74"/>
      <c r="G1039" s="74"/>
      <c r="H1039" s="74"/>
      <c r="I1039" s="74"/>
      <c r="J1039" s="74"/>
      <c r="K1039" s="15"/>
      <c r="L1039" s="15"/>
      <c r="M1039" s="15"/>
      <c r="N1039" s="15"/>
      <c r="O1039" s="15"/>
      <c r="P1039" s="15"/>
      <c r="Q1039" s="15"/>
      <c r="R1039" s="15"/>
    </row>
    <row r="1040">
      <c r="A1040" s="15"/>
      <c r="B1040" s="15"/>
      <c r="C1040" s="15"/>
      <c r="D1040" s="15"/>
      <c r="E1040" s="15"/>
      <c r="F1040" s="74"/>
      <c r="G1040" s="74"/>
      <c r="H1040" s="74"/>
      <c r="I1040" s="74"/>
      <c r="J1040" s="74"/>
      <c r="K1040" s="15"/>
      <c r="L1040" s="15"/>
      <c r="M1040" s="15"/>
      <c r="N1040" s="15"/>
      <c r="O1040" s="15"/>
      <c r="P1040" s="15"/>
      <c r="Q1040" s="15"/>
      <c r="R1040" s="15"/>
    </row>
    <row r="1041">
      <c r="A1041" s="15"/>
      <c r="B1041" s="15"/>
      <c r="C1041" s="15"/>
      <c r="D1041" s="15"/>
      <c r="E1041" s="15"/>
      <c r="F1041" s="74"/>
      <c r="G1041" s="74"/>
      <c r="H1041" s="74"/>
      <c r="I1041" s="74"/>
      <c r="J1041" s="74"/>
      <c r="K1041" s="15"/>
      <c r="L1041" s="15"/>
      <c r="M1041" s="15"/>
      <c r="N1041" s="15"/>
      <c r="O1041" s="15"/>
      <c r="P1041" s="15"/>
      <c r="Q1041" s="15"/>
      <c r="R1041" s="15"/>
    </row>
    <row r="1042">
      <c r="A1042" s="15"/>
      <c r="B1042" s="15"/>
      <c r="C1042" s="15"/>
      <c r="D1042" s="15"/>
      <c r="E1042" s="15"/>
      <c r="F1042" s="74"/>
      <c r="G1042" s="74"/>
      <c r="H1042" s="74"/>
      <c r="I1042" s="74"/>
      <c r="J1042" s="74"/>
      <c r="K1042" s="15"/>
      <c r="L1042" s="15"/>
      <c r="M1042" s="15"/>
      <c r="N1042" s="15"/>
      <c r="O1042" s="15"/>
      <c r="P1042" s="15"/>
      <c r="Q1042" s="15"/>
      <c r="R1042" s="15"/>
    </row>
    <row r="1043">
      <c r="A1043" s="15"/>
      <c r="B1043" s="15"/>
      <c r="C1043" s="15"/>
      <c r="D1043" s="15"/>
      <c r="E1043" s="15"/>
      <c r="F1043" s="74"/>
      <c r="G1043" s="74"/>
      <c r="H1043" s="74"/>
      <c r="I1043" s="74"/>
      <c r="J1043" s="74"/>
      <c r="K1043" s="15"/>
      <c r="L1043" s="15"/>
      <c r="M1043" s="15"/>
      <c r="N1043" s="15"/>
      <c r="O1043" s="15"/>
      <c r="P1043" s="15"/>
      <c r="Q1043" s="15"/>
      <c r="R1043" s="15"/>
    </row>
    <row r="1044">
      <c r="A1044" s="15"/>
      <c r="B1044" s="15"/>
      <c r="C1044" s="15"/>
      <c r="D1044" s="15"/>
      <c r="E1044" s="15"/>
      <c r="F1044" s="74"/>
      <c r="G1044" s="74"/>
      <c r="H1044" s="74"/>
      <c r="I1044" s="74"/>
      <c r="J1044" s="74"/>
      <c r="K1044" s="15"/>
      <c r="L1044" s="15"/>
      <c r="M1044" s="15"/>
      <c r="N1044" s="15"/>
      <c r="O1044" s="15"/>
      <c r="P1044" s="15"/>
      <c r="Q1044" s="15"/>
      <c r="R1044" s="15"/>
    </row>
    <row r="1045">
      <c r="A1045" s="15"/>
      <c r="B1045" s="15"/>
      <c r="C1045" s="15"/>
      <c r="D1045" s="15"/>
      <c r="E1045" s="15"/>
      <c r="F1045" s="74"/>
      <c r="G1045" s="74"/>
      <c r="H1045" s="74"/>
      <c r="I1045" s="74"/>
      <c r="J1045" s="74"/>
      <c r="K1045" s="15"/>
      <c r="L1045" s="15"/>
      <c r="M1045" s="15"/>
      <c r="N1045" s="15"/>
      <c r="O1045" s="15"/>
      <c r="P1045" s="15"/>
      <c r="Q1045" s="15"/>
      <c r="R1045" s="15"/>
    </row>
    <row r="1046">
      <c r="A1046" s="15"/>
      <c r="B1046" s="15"/>
      <c r="C1046" s="15"/>
      <c r="D1046" s="15"/>
      <c r="E1046" s="15"/>
      <c r="F1046" s="74"/>
      <c r="G1046" s="74"/>
      <c r="H1046" s="74"/>
      <c r="I1046" s="74"/>
      <c r="J1046" s="74"/>
      <c r="K1046" s="15"/>
      <c r="L1046" s="15"/>
      <c r="M1046" s="15"/>
      <c r="N1046" s="15"/>
      <c r="O1046" s="15"/>
      <c r="P1046" s="15"/>
      <c r="Q1046" s="15"/>
      <c r="R1046" s="15"/>
    </row>
    <row r="1047">
      <c r="A1047" s="15"/>
      <c r="B1047" s="15"/>
      <c r="C1047" s="15"/>
      <c r="D1047" s="15"/>
      <c r="E1047" s="15"/>
      <c r="F1047" s="74"/>
      <c r="G1047" s="74"/>
      <c r="H1047" s="74"/>
      <c r="I1047" s="74"/>
      <c r="J1047" s="74"/>
      <c r="K1047" s="15"/>
      <c r="L1047" s="15"/>
      <c r="M1047" s="15"/>
      <c r="N1047" s="15"/>
      <c r="O1047" s="15"/>
      <c r="P1047" s="15"/>
      <c r="Q1047" s="15"/>
      <c r="R1047" s="15"/>
    </row>
    <row r="1048">
      <c r="A1048" s="15"/>
      <c r="B1048" s="15"/>
      <c r="C1048" s="15"/>
      <c r="D1048" s="15"/>
      <c r="E1048" s="15"/>
      <c r="F1048" s="74"/>
      <c r="G1048" s="74"/>
      <c r="H1048" s="74"/>
      <c r="I1048" s="74"/>
      <c r="J1048" s="74"/>
      <c r="K1048" s="15"/>
      <c r="L1048" s="15"/>
      <c r="M1048" s="15"/>
      <c r="N1048" s="15"/>
      <c r="O1048" s="15"/>
      <c r="P1048" s="15"/>
      <c r="Q1048" s="15"/>
      <c r="R1048" s="15"/>
    </row>
    <row r="1049">
      <c r="A1049" s="15"/>
      <c r="B1049" s="15"/>
      <c r="C1049" s="15"/>
      <c r="D1049" s="15"/>
      <c r="E1049" s="15"/>
      <c r="F1049" s="74"/>
      <c r="G1049" s="74"/>
      <c r="H1049" s="74"/>
      <c r="I1049" s="74"/>
      <c r="J1049" s="74"/>
      <c r="K1049" s="15"/>
      <c r="L1049" s="15"/>
      <c r="M1049" s="15"/>
      <c r="N1049" s="15"/>
      <c r="O1049" s="15"/>
      <c r="P1049" s="15"/>
      <c r="Q1049" s="15"/>
      <c r="R1049" s="15"/>
    </row>
    <row r="1050">
      <c r="A1050" s="15"/>
      <c r="B1050" s="15"/>
      <c r="C1050" s="15"/>
      <c r="D1050" s="15"/>
      <c r="E1050" s="15"/>
      <c r="F1050" s="74"/>
      <c r="G1050" s="74"/>
      <c r="H1050" s="74"/>
      <c r="I1050" s="74"/>
      <c r="J1050" s="74"/>
      <c r="K1050" s="15"/>
      <c r="L1050" s="15"/>
      <c r="M1050" s="15"/>
      <c r="N1050" s="15"/>
      <c r="O1050" s="15"/>
      <c r="P1050" s="15"/>
      <c r="Q1050" s="15"/>
      <c r="R1050" s="15"/>
    </row>
    <row r="1051">
      <c r="A1051" s="15"/>
      <c r="B1051" s="15"/>
      <c r="C1051" s="15"/>
      <c r="D1051" s="15"/>
      <c r="E1051" s="15"/>
      <c r="F1051" s="74"/>
      <c r="G1051" s="74"/>
      <c r="H1051" s="74"/>
      <c r="I1051" s="74"/>
      <c r="J1051" s="74"/>
      <c r="K1051" s="15"/>
      <c r="L1051" s="15"/>
      <c r="M1051" s="15"/>
      <c r="N1051" s="15"/>
      <c r="O1051" s="15"/>
      <c r="P1051" s="15"/>
      <c r="Q1051" s="15"/>
      <c r="R1051" s="15"/>
    </row>
    <row r="1052">
      <c r="A1052" s="15"/>
      <c r="B1052" s="15"/>
      <c r="C1052" s="15"/>
      <c r="D1052" s="15"/>
      <c r="E1052" s="15"/>
      <c r="F1052" s="74"/>
      <c r="G1052" s="74"/>
      <c r="H1052" s="74"/>
      <c r="I1052" s="74"/>
      <c r="J1052" s="74"/>
      <c r="K1052" s="15"/>
      <c r="L1052" s="15"/>
      <c r="M1052" s="15"/>
      <c r="N1052" s="15"/>
      <c r="O1052" s="15"/>
      <c r="P1052" s="15"/>
      <c r="Q1052" s="15"/>
      <c r="R1052" s="15"/>
    </row>
    <row r="1053">
      <c r="A1053" s="15"/>
      <c r="B1053" s="15"/>
      <c r="C1053" s="15"/>
      <c r="D1053" s="15"/>
      <c r="E1053" s="15"/>
      <c r="F1053" s="74"/>
      <c r="G1053" s="74"/>
      <c r="H1053" s="74"/>
      <c r="I1053" s="74"/>
      <c r="J1053" s="74"/>
      <c r="K1053" s="15"/>
      <c r="L1053" s="15"/>
      <c r="M1053" s="15"/>
      <c r="N1053" s="15"/>
      <c r="O1053" s="15"/>
      <c r="P1053" s="15"/>
      <c r="Q1053" s="15"/>
      <c r="R1053" s="15"/>
    </row>
    <row r="1054">
      <c r="A1054" s="15"/>
      <c r="B1054" s="15"/>
      <c r="C1054" s="15"/>
      <c r="D1054" s="15"/>
      <c r="E1054" s="15"/>
      <c r="F1054" s="74"/>
      <c r="G1054" s="74"/>
      <c r="H1054" s="74"/>
      <c r="I1054" s="74"/>
      <c r="J1054" s="74"/>
      <c r="K1054" s="15"/>
      <c r="L1054" s="15"/>
      <c r="M1054" s="15"/>
      <c r="N1054" s="15"/>
      <c r="O1054" s="15"/>
      <c r="P1054" s="15"/>
      <c r="Q1054" s="15"/>
      <c r="R1054" s="15"/>
    </row>
    <row r="1055">
      <c r="A1055" s="15"/>
      <c r="B1055" s="15"/>
      <c r="C1055" s="15"/>
      <c r="D1055" s="15"/>
      <c r="E1055" s="15"/>
      <c r="F1055" s="74"/>
      <c r="G1055" s="74"/>
      <c r="H1055" s="74"/>
      <c r="I1055" s="74"/>
      <c r="J1055" s="74"/>
      <c r="K1055" s="15"/>
      <c r="L1055" s="15"/>
      <c r="M1055" s="15"/>
      <c r="N1055" s="15"/>
      <c r="O1055" s="15"/>
      <c r="P1055" s="15"/>
      <c r="Q1055" s="15"/>
      <c r="R1055" s="15"/>
    </row>
    <row r="1056">
      <c r="A1056" s="15"/>
      <c r="B1056" s="15"/>
      <c r="C1056" s="15"/>
      <c r="D1056" s="15"/>
      <c r="E1056" s="15"/>
      <c r="F1056" s="74"/>
      <c r="G1056" s="74"/>
      <c r="H1056" s="74"/>
      <c r="I1056" s="74"/>
      <c r="J1056" s="74"/>
      <c r="K1056" s="15"/>
      <c r="L1056" s="15"/>
      <c r="M1056" s="15"/>
      <c r="N1056" s="15"/>
      <c r="O1056" s="15"/>
      <c r="P1056" s="15"/>
      <c r="Q1056" s="15"/>
      <c r="R1056" s="15"/>
    </row>
    <row r="1057">
      <c r="A1057" s="15"/>
      <c r="B1057" s="15"/>
      <c r="C1057" s="15"/>
      <c r="D1057" s="15"/>
      <c r="E1057" s="15"/>
      <c r="F1057" s="74"/>
      <c r="G1057" s="74"/>
      <c r="H1057" s="74"/>
      <c r="I1057" s="74"/>
      <c r="J1057" s="74"/>
      <c r="K1057" s="15"/>
      <c r="L1057" s="15"/>
      <c r="M1057" s="15"/>
      <c r="N1057" s="15"/>
      <c r="O1057" s="15"/>
      <c r="P1057" s="15"/>
      <c r="Q1057" s="15"/>
      <c r="R1057" s="15"/>
    </row>
    <row r="1058">
      <c r="A1058" s="15"/>
      <c r="B1058" s="15"/>
      <c r="C1058" s="15"/>
      <c r="D1058" s="15"/>
      <c r="E1058" s="15"/>
      <c r="F1058" s="74"/>
      <c r="G1058" s="74"/>
      <c r="H1058" s="74"/>
      <c r="I1058" s="74"/>
      <c r="J1058" s="74"/>
      <c r="K1058" s="15"/>
      <c r="L1058" s="15"/>
      <c r="M1058" s="15"/>
      <c r="N1058" s="15"/>
      <c r="O1058" s="15"/>
      <c r="P1058" s="15"/>
      <c r="Q1058" s="15"/>
      <c r="R1058" s="15"/>
    </row>
    <row r="1059">
      <c r="A1059" s="15"/>
      <c r="B1059" s="15"/>
      <c r="C1059" s="15"/>
      <c r="D1059" s="15"/>
      <c r="E1059" s="15"/>
      <c r="F1059" s="74"/>
      <c r="G1059" s="74"/>
      <c r="H1059" s="74"/>
      <c r="I1059" s="74"/>
      <c r="J1059" s="74"/>
      <c r="K1059" s="15"/>
      <c r="L1059" s="15"/>
      <c r="M1059" s="15"/>
      <c r="N1059" s="15"/>
      <c r="O1059" s="15"/>
      <c r="P1059" s="15"/>
      <c r="Q1059" s="15"/>
      <c r="R1059" s="15"/>
    </row>
    <row r="1060">
      <c r="A1060" s="15"/>
      <c r="B1060" s="15"/>
      <c r="C1060" s="15"/>
      <c r="D1060" s="15"/>
      <c r="E1060" s="15"/>
      <c r="F1060" s="74"/>
      <c r="G1060" s="74"/>
      <c r="H1060" s="74"/>
      <c r="I1060" s="74"/>
      <c r="J1060" s="74"/>
      <c r="K1060" s="15"/>
      <c r="L1060" s="15"/>
      <c r="M1060" s="15"/>
      <c r="N1060" s="15"/>
      <c r="O1060" s="15"/>
      <c r="P1060" s="15"/>
      <c r="Q1060" s="15"/>
      <c r="R1060" s="15"/>
    </row>
    <row r="1061">
      <c r="A1061" s="15"/>
      <c r="B1061" s="15"/>
      <c r="C1061" s="15"/>
      <c r="D1061" s="15"/>
      <c r="E1061" s="15"/>
      <c r="F1061" s="74"/>
      <c r="G1061" s="74"/>
      <c r="H1061" s="74"/>
      <c r="I1061" s="74"/>
      <c r="J1061" s="74"/>
      <c r="K1061" s="15"/>
      <c r="L1061" s="15"/>
      <c r="M1061" s="15"/>
      <c r="N1061" s="15"/>
      <c r="O1061" s="15"/>
      <c r="P1061" s="15"/>
      <c r="Q1061" s="15"/>
      <c r="R1061" s="15"/>
    </row>
    <row r="1062">
      <c r="A1062" s="15"/>
      <c r="B1062" s="15"/>
      <c r="C1062" s="15"/>
      <c r="D1062" s="15"/>
      <c r="E1062" s="15"/>
      <c r="F1062" s="74"/>
      <c r="G1062" s="74"/>
      <c r="H1062" s="74"/>
      <c r="I1062" s="74"/>
      <c r="J1062" s="74"/>
      <c r="K1062" s="15"/>
      <c r="L1062" s="15"/>
      <c r="M1062" s="15"/>
      <c r="N1062" s="15"/>
      <c r="O1062" s="15"/>
      <c r="P1062" s="15"/>
      <c r="Q1062" s="15"/>
      <c r="R1062" s="15"/>
    </row>
    <row r="1063">
      <c r="A1063" s="15"/>
      <c r="B1063" s="15"/>
      <c r="C1063" s="15"/>
      <c r="D1063" s="15"/>
      <c r="E1063" s="15"/>
      <c r="F1063" s="74"/>
      <c r="G1063" s="74"/>
      <c r="H1063" s="74"/>
      <c r="I1063" s="74"/>
      <c r="J1063" s="74"/>
      <c r="K1063" s="15"/>
      <c r="L1063" s="15"/>
      <c r="M1063" s="15"/>
      <c r="N1063" s="15"/>
      <c r="O1063" s="15"/>
      <c r="P1063" s="15"/>
      <c r="Q1063" s="15"/>
      <c r="R1063" s="15"/>
    </row>
    <row r="1064">
      <c r="A1064" s="15"/>
      <c r="B1064" s="15"/>
      <c r="C1064" s="15"/>
      <c r="D1064" s="15"/>
      <c r="E1064" s="15"/>
      <c r="F1064" s="74"/>
      <c r="G1064" s="74"/>
      <c r="H1064" s="74"/>
      <c r="I1064" s="74"/>
      <c r="J1064" s="74"/>
      <c r="K1064" s="15"/>
      <c r="L1064" s="15"/>
      <c r="M1064" s="15"/>
      <c r="N1064" s="15"/>
      <c r="O1064" s="15"/>
      <c r="P1064" s="15"/>
      <c r="Q1064" s="15"/>
      <c r="R1064" s="15"/>
    </row>
    <row r="1065">
      <c r="A1065" s="15"/>
      <c r="B1065" s="15"/>
      <c r="C1065" s="15"/>
      <c r="D1065" s="15"/>
      <c r="E1065" s="15"/>
      <c r="F1065" s="74"/>
      <c r="G1065" s="74"/>
      <c r="H1065" s="74"/>
      <c r="I1065" s="74"/>
      <c r="J1065" s="74"/>
      <c r="K1065" s="15"/>
      <c r="L1065" s="15"/>
      <c r="M1065" s="15"/>
      <c r="N1065" s="15"/>
      <c r="O1065" s="15"/>
      <c r="P1065" s="15"/>
      <c r="Q1065" s="15"/>
      <c r="R1065" s="15"/>
    </row>
    <row r="1066">
      <c r="A1066" s="15"/>
      <c r="B1066" s="15"/>
      <c r="C1066" s="15"/>
      <c r="D1066" s="15"/>
      <c r="E1066" s="15"/>
      <c r="F1066" s="74"/>
      <c r="G1066" s="74"/>
      <c r="H1066" s="74"/>
      <c r="I1066" s="74"/>
      <c r="J1066" s="74"/>
      <c r="K1066" s="15"/>
      <c r="L1066" s="15"/>
      <c r="M1066" s="15"/>
      <c r="N1066" s="15"/>
      <c r="O1066" s="15"/>
      <c r="P1066" s="15"/>
      <c r="Q1066" s="15"/>
      <c r="R1066" s="15"/>
    </row>
    <row r="1067">
      <c r="A1067" s="15"/>
      <c r="B1067" s="15"/>
      <c r="C1067" s="15"/>
      <c r="D1067" s="15"/>
      <c r="E1067" s="15"/>
      <c r="F1067" s="74"/>
      <c r="G1067" s="74"/>
      <c r="H1067" s="74"/>
      <c r="I1067" s="74"/>
      <c r="J1067" s="74"/>
      <c r="K1067" s="15"/>
      <c r="L1067" s="15"/>
      <c r="M1067" s="15"/>
      <c r="N1067" s="15"/>
      <c r="O1067" s="15"/>
      <c r="P1067" s="15"/>
      <c r="Q1067" s="15"/>
      <c r="R1067" s="15"/>
    </row>
    <row r="1068">
      <c r="A1068" s="15"/>
      <c r="B1068" s="15"/>
      <c r="C1068" s="15"/>
      <c r="D1068" s="15"/>
      <c r="E1068" s="15"/>
      <c r="F1068" s="74"/>
      <c r="G1068" s="74"/>
      <c r="H1068" s="74"/>
      <c r="I1068" s="74"/>
      <c r="J1068" s="74"/>
      <c r="K1068" s="15"/>
      <c r="L1068" s="15"/>
      <c r="M1068" s="15"/>
      <c r="N1068" s="15"/>
      <c r="O1068" s="15"/>
      <c r="P1068" s="15"/>
      <c r="Q1068" s="15"/>
      <c r="R1068" s="15"/>
    </row>
    <row r="1069">
      <c r="A1069" s="15"/>
      <c r="B1069" s="15"/>
      <c r="C1069" s="15"/>
      <c r="D1069" s="15"/>
      <c r="E1069" s="15"/>
      <c r="F1069" s="74"/>
      <c r="G1069" s="74"/>
      <c r="H1069" s="74"/>
      <c r="I1069" s="74"/>
      <c r="J1069" s="74"/>
      <c r="K1069" s="15"/>
      <c r="L1069" s="15"/>
      <c r="M1069" s="15"/>
      <c r="N1069" s="15"/>
      <c r="O1069" s="15"/>
      <c r="P1069" s="15"/>
      <c r="Q1069" s="15"/>
      <c r="R1069" s="15"/>
    </row>
    <row r="1070">
      <c r="A1070" s="15"/>
      <c r="B1070" s="15"/>
      <c r="C1070" s="15"/>
      <c r="D1070" s="15"/>
      <c r="E1070" s="15"/>
      <c r="F1070" s="74"/>
      <c r="G1070" s="74"/>
      <c r="H1070" s="74"/>
      <c r="I1070" s="74"/>
      <c r="J1070" s="74"/>
      <c r="K1070" s="15"/>
      <c r="L1070" s="15"/>
      <c r="M1070" s="15"/>
      <c r="N1070" s="15"/>
      <c r="O1070" s="15"/>
      <c r="P1070" s="15"/>
      <c r="Q1070" s="15"/>
      <c r="R1070" s="15"/>
    </row>
    <row r="1071">
      <c r="A1071" s="15"/>
      <c r="B1071" s="15"/>
      <c r="C1071" s="15"/>
      <c r="D1071" s="15"/>
      <c r="E1071" s="15"/>
      <c r="F1071" s="74"/>
      <c r="G1071" s="74"/>
      <c r="H1071" s="74"/>
      <c r="I1071" s="74"/>
      <c r="J1071" s="74"/>
      <c r="K1071" s="15"/>
      <c r="L1071" s="15"/>
      <c r="M1071" s="15"/>
      <c r="N1071" s="15"/>
      <c r="O1071" s="15"/>
      <c r="P1071" s="15"/>
      <c r="Q1071" s="15"/>
      <c r="R1071" s="15"/>
    </row>
    <row r="1072">
      <c r="A1072" s="15"/>
      <c r="B1072" s="15"/>
      <c r="C1072" s="15"/>
      <c r="D1072" s="15"/>
      <c r="E1072" s="15"/>
      <c r="F1072" s="74"/>
      <c r="G1072" s="74"/>
      <c r="H1072" s="74"/>
      <c r="I1072" s="74"/>
      <c r="J1072" s="74"/>
      <c r="K1072" s="15"/>
      <c r="L1072" s="15"/>
      <c r="M1072" s="15"/>
      <c r="N1072" s="15"/>
      <c r="O1072" s="15"/>
      <c r="P1072" s="15"/>
      <c r="Q1072" s="15"/>
      <c r="R1072" s="15"/>
    </row>
    <row r="1073">
      <c r="A1073" s="15"/>
      <c r="B1073" s="15"/>
      <c r="C1073" s="15"/>
      <c r="D1073" s="15"/>
      <c r="E1073" s="15"/>
      <c r="F1073" s="74"/>
      <c r="G1073" s="74"/>
      <c r="H1073" s="74"/>
      <c r="I1073" s="74"/>
      <c r="J1073" s="74"/>
      <c r="K1073" s="15"/>
      <c r="L1073" s="15"/>
      <c r="M1073" s="15"/>
      <c r="N1073" s="15"/>
      <c r="O1073" s="15"/>
      <c r="P1073" s="15"/>
      <c r="Q1073" s="15"/>
      <c r="R1073" s="15"/>
    </row>
    <row r="1074">
      <c r="A1074" s="15"/>
      <c r="B1074" s="15"/>
      <c r="C1074" s="15"/>
      <c r="D1074" s="15"/>
      <c r="E1074" s="15"/>
      <c r="F1074" s="74"/>
      <c r="G1074" s="74"/>
      <c r="H1074" s="74"/>
      <c r="I1074" s="74"/>
      <c r="J1074" s="74"/>
      <c r="K1074" s="15"/>
      <c r="L1074" s="15"/>
      <c r="M1074" s="15"/>
      <c r="N1074" s="15"/>
      <c r="O1074" s="15"/>
      <c r="P1074" s="15"/>
      <c r="Q1074" s="15"/>
      <c r="R1074" s="15"/>
    </row>
    <row r="1075">
      <c r="A1075" s="15"/>
      <c r="B1075" s="15"/>
      <c r="C1075" s="15"/>
      <c r="D1075" s="15"/>
      <c r="E1075" s="15"/>
      <c r="F1075" s="74"/>
      <c r="G1075" s="74"/>
      <c r="H1075" s="74"/>
      <c r="I1075" s="74"/>
      <c r="J1075" s="74"/>
      <c r="K1075" s="15"/>
      <c r="L1075" s="15"/>
      <c r="M1075" s="15"/>
      <c r="N1075" s="15"/>
      <c r="O1075" s="15"/>
      <c r="P1075" s="15"/>
      <c r="Q1075" s="15"/>
      <c r="R1075" s="15"/>
    </row>
    <row r="1076">
      <c r="A1076" s="15"/>
      <c r="B1076" s="15"/>
      <c r="C1076" s="15"/>
      <c r="D1076" s="15"/>
      <c r="E1076" s="15"/>
      <c r="F1076" s="74"/>
      <c r="G1076" s="74"/>
      <c r="H1076" s="74"/>
      <c r="I1076" s="74"/>
      <c r="J1076" s="74"/>
      <c r="K1076" s="15"/>
      <c r="L1076" s="15"/>
      <c r="M1076" s="15"/>
      <c r="N1076" s="15"/>
      <c r="O1076" s="15"/>
      <c r="P1076" s="15"/>
      <c r="Q1076" s="15"/>
      <c r="R1076" s="15"/>
    </row>
    <row r="1077">
      <c r="A1077" s="15"/>
      <c r="B1077" s="15"/>
      <c r="C1077" s="15"/>
      <c r="D1077" s="15"/>
      <c r="E1077" s="15"/>
      <c r="F1077" s="74"/>
      <c r="G1077" s="74"/>
      <c r="H1077" s="74"/>
      <c r="I1077" s="74"/>
      <c r="J1077" s="74"/>
      <c r="K1077" s="15"/>
      <c r="L1077" s="15"/>
      <c r="M1077" s="15"/>
      <c r="N1077" s="15"/>
      <c r="O1077" s="15"/>
      <c r="P1077" s="15"/>
      <c r="Q1077" s="15"/>
      <c r="R1077" s="15"/>
    </row>
    <row r="1078">
      <c r="A1078" s="15"/>
      <c r="B1078" s="15"/>
      <c r="C1078" s="15"/>
      <c r="D1078" s="15"/>
      <c r="E1078" s="15"/>
      <c r="F1078" s="74"/>
      <c r="G1078" s="74"/>
      <c r="H1078" s="74"/>
      <c r="I1078" s="74"/>
      <c r="J1078" s="74"/>
      <c r="K1078" s="15"/>
      <c r="L1078" s="15"/>
      <c r="M1078" s="15"/>
      <c r="N1078" s="15"/>
      <c r="O1078" s="15"/>
      <c r="P1078" s="15"/>
      <c r="Q1078" s="15"/>
      <c r="R1078" s="15"/>
    </row>
    <row r="1079">
      <c r="A1079" s="15"/>
      <c r="B1079" s="15"/>
      <c r="C1079" s="15"/>
      <c r="D1079" s="15"/>
      <c r="E1079" s="15"/>
      <c r="F1079" s="74"/>
      <c r="G1079" s="74"/>
      <c r="H1079" s="74"/>
      <c r="I1079" s="74"/>
      <c r="J1079" s="74"/>
      <c r="K1079" s="15"/>
      <c r="L1079" s="15"/>
      <c r="M1079" s="15"/>
      <c r="N1079" s="15"/>
      <c r="O1079" s="15"/>
      <c r="P1079" s="15"/>
      <c r="Q1079" s="15"/>
      <c r="R1079" s="15"/>
    </row>
    <row r="1080">
      <c r="A1080" s="15"/>
      <c r="B1080" s="15"/>
      <c r="C1080" s="15"/>
      <c r="D1080" s="15"/>
      <c r="E1080" s="15"/>
      <c r="F1080" s="74"/>
      <c r="G1080" s="74"/>
      <c r="H1080" s="74"/>
      <c r="I1080" s="74"/>
      <c r="J1080" s="74"/>
      <c r="K1080" s="15"/>
      <c r="L1080" s="15"/>
      <c r="M1080" s="15"/>
      <c r="N1080" s="15"/>
      <c r="O1080" s="15"/>
      <c r="P1080" s="15"/>
      <c r="Q1080" s="15"/>
      <c r="R1080" s="15"/>
    </row>
    <row r="1081">
      <c r="A1081" s="15"/>
      <c r="B1081" s="15"/>
      <c r="C1081" s="15"/>
      <c r="D1081" s="15"/>
      <c r="E1081" s="15"/>
      <c r="F1081" s="74"/>
      <c r="G1081" s="74"/>
      <c r="H1081" s="74"/>
      <c r="I1081" s="74"/>
      <c r="J1081" s="74"/>
      <c r="K1081" s="15"/>
      <c r="L1081" s="15"/>
      <c r="M1081" s="15"/>
      <c r="N1081" s="15"/>
      <c r="O1081" s="15"/>
      <c r="P1081" s="15"/>
      <c r="Q1081" s="15"/>
      <c r="R1081" s="15"/>
    </row>
    <row r="1082">
      <c r="A1082" s="15"/>
      <c r="B1082" s="15"/>
      <c r="C1082" s="15"/>
      <c r="D1082" s="15"/>
      <c r="E1082" s="15"/>
      <c r="F1082" s="74"/>
      <c r="G1082" s="74"/>
      <c r="H1082" s="74"/>
      <c r="I1082" s="74"/>
      <c r="J1082" s="74"/>
      <c r="K1082" s="15"/>
      <c r="L1082" s="15"/>
      <c r="M1082" s="15"/>
      <c r="N1082" s="15"/>
      <c r="O1082" s="15"/>
      <c r="P1082" s="15"/>
      <c r="Q1082" s="15"/>
      <c r="R1082" s="15"/>
    </row>
    <row r="1083">
      <c r="A1083" s="15"/>
      <c r="B1083" s="15"/>
      <c r="C1083" s="15"/>
      <c r="D1083" s="15"/>
      <c r="E1083" s="15"/>
      <c r="F1083" s="74"/>
      <c r="G1083" s="74"/>
      <c r="H1083" s="74"/>
      <c r="I1083" s="74"/>
      <c r="J1083" s="74"/>
      <c r="K1083" s="15"/>
      <c r="L1083" s="15"/>
      <c r="M1083" s="15"/>
      <c r="N1083" s="15"/>
      <c r="O1083" s="15"/>
      <c r="P1083" s="15"/>
      <c r="Q1083" s="15"/>
      <c r="R1083" s="15"/>
    </row>
    <row r="1084">
      <c r="A1084" s="15"/>
      <c r="B1084" s="15"/>
      <c r="C1084" s="15"/>
      <c r="D1084" s="15"/>
      <c r="E1084" s="15"/>
      <c r="F1084" s="74"/>
      <c r="G1084" s="74"/>
      <c r="H1084" s="74"/>
      <c r="I1084" s="74"/>
      <c r="J1084" s="74"/>
      <c r="K1084" s="15"/>
      <c r="L1084" s="15"/>
      <c r="M1084" s="15"/>
      <c r="N1084" s="15"/>
      <c r="O1084" s="15"/>
      <c r="P1084" s="15"/>
      <c r="Q1084" s="15"/>
      <c r="R1084" s="15"/>
    </row>
    <row r="1085">
      <c r="A1085" s="15"/>
      <c r="B1085" s="15"/>
      <c r="C1085" s="15"/>
      <c r="D1085" s="15"/>
      <c r="E1085" s="15"/>
      <c r="F1085" s="74"/>
      <c r="G1085" s="74"/>
      <c r="H1085" s="74"/>
      <c r="I1085" s="74"/>
      <c r="J1085" s="74"/>
      <c r="K1085" s="15"/>
      <c r="L1085" s="15"/>
      <c r="M1085" s="15"/>
      <c r="N1085" s="15"/>
      <c r="O1085" s="15"/>
      <c r="P1085" s="15"/>
      <c r="Q1085" s="15"/>
      <c r="R1085" s="15"/>
    </row>
    <row r="1086">
      <c r="A1086" s="15"/>
      <c r="B1086" s="15"/>
      <c r="C1086" s="15"/>
      <c r="D1086" s="15"/>
      <c r="E1086" s="15"/>
      <c r="F1086" s="74"/>
      <c r="G1086" s="74"/>
      <c r="H1086" s="74"/>
      <c r="I1086" s="74"/>
      <c r="J1086" s="74"/>
      <c r="K1086" s="15"/>
      <c r="L1086" s="15"/>
      <c r="M1086" s="15"/>
      <c r="N1086" s="15"/>
      <c r="O1086" s="15"/>
      <c r="P1086" s="15"/>
      <c r="Q1086" s="15"/>
      <c r="R1086" s="15"/>
    </row>
    <row r="1087">
      <c r="A1087" s="15"/>
      <c r="B1087" s="15"/>
      <c r="C1087" s="15"/>
      <c r="D1087" s="15"/>
      <c r="E1087" s="15"/>
      <c r="F1087" s="74"/>
      <c r="G1087" s="74"/>
      <c r="H1087" s="74"/>
      <c r="I1087" s="74"/>
      <c r="J1087" s="74"/>
      <c r="K1087" s="15"/>
      <c r="L1087" s="15"/>
      <c r="M1087" s="15"/>
      <c r="N1087" s="15"/>
      <c r="O1087" s="15"/>
      <c r="P1087" s="15"/>
      <c r="Q1087" s="15"/>
      <c r="R1087" s="15"/>
    </row>
    <row r="1088">
      <c r="A1088" s="15"/>
      <c r="B1088" s="15"/>
      <c r="C1088" s="15"/>
      <c r="D1088" s="15"/>
      <c r="E1088" s="15"/>
      <c r="F1088" s="74"/>
      <c r="G1088" s="74"/>
      <c r="H1088" s="74"/>
      <c r="I1088" s="74"/>
      <c r="J1088" s="74"/>
      <c r="K1088" s="15"/>
      <c r="L1088" s="15"/>
      <c r="M1088" s="15"/>
      <c r="N1088" s="15"/>
      <c r="O1088" s="15"/>
      <c r="P1088" s="15"/>
      <c r="Q1088" s="15"/>
      <c r="R1088" s="15"/>
    </row>
    <row r="1089">
      <c r="A1089" s="15"/>
      <c r="B1089" s="15"/>
      <c r="C1089" s="15"/>
      <c r="D1089" s="15"/>
      <c r="E1089" s="15"/>
      <c r="F1089" s="74"/>
      <c r="G1089" s="74"/>
      <c r="H1089" s="74"/>
      <c r="I1089" s="74"/>
      <c r="J1089" s="74"/>
      <c r="K1089" s="15"/>
      <c r="L1089" s="15"/>
      <c r="M1089" s="15"/>
      <c r="N1089" s="15"/>
      <c r="O1089" s="15"/>
      <c r="P1089" s="15"/>
      <c r="Q1089" s="15"/>
      <c r="R1089" s="15"/>
    </row>
    <row r="1090">
      <c r="A1090" s="15"/>
      <c r="B1090" s="15"/>
      <c r="C1090" s="15"/>
      <c r="D1090" s="15"/>
      <c r="E1090" s="15"/>
      <c r="F1090" s="74"/>
      <c r="G1090" s="74"/>
      <c r="H1090" s="74"/>
      <c r="I1090" s="74"/>
      <c r="J1090" s="74"/>
      <c r="K1090" s="15"/>
      <c r="L1090" s="15"/>
      <c r="M1090" s="15"/>
      <c r="N1090" s="15"/>
      <c r="O1090" s="15"/>
      <c r="P1090" s="15"/>
      <c r="Q1090" s="15"/>
      <c r="R1090" s="15"/>
    </row>
    <row r="1091">
      <c r="A1091" s="15"/>
      <c r="B1091" s="15"/>
      <c r="C1091" s="15"/>
      <c r="D1091" s="15"/>
      <c r="E1091" s="15"/>
      <c r="F1091" s="74"/>
      <c r="G1091" s="74"/>
      <c r="H1091" s="74"/>
      <c r="I1091" s="74"/>
      <c r="J1091" s="74"/>
      <c r="K1091" s="15"/>
      <c r="L1091" s="15"/>
      <c r="M1091" s="15"/>
      <c r="N1091" s="15"/>
      <c r="O1091" s="15"/>
      <c r="P1091" s="15"/>
      <c r="Q1091" s="15"/>
      <c r="R1091" s="15"/>
    </row>
    <row r="1092">
      <c r="A1092" s="15"/>
      <c r="B1092" s="15"/>
      <c r="C1092" s="15"/>
      <c r="D1092" s="15"/>
      <c r="E1092" s="15"/>
      <c r="F1092" s="74"/>
      <c r="G1092" s="74"/>
      <c r="H1092" s="74"/>
      <c r="I1092" s="74"/>
      <c r="J1092" s="74"/>
      <c r="K1092" s="15"/>
      <c r="L1092" s="15"/>
      <c r="M1092" s="15"/>
      <c r="N1092" s="15"/>
      <c r="O1092" s="15"/>
      <c r="P1092" s="15"/>
      <c r="Q1092" s="15"/>
      <c r="R1092" s="15"/>
    </row>
    <row r="1093">
      <c r="A1093" s="15"/>
      <c r="B1093" s="15"/>
      <c r="C1093" s="15"/>
      <c r="D1093" s="15"/>
      <c r="E1093" s="15"/>
      <c r="F1093" s="74"/>
      <c r="G1093" s="74"/>
      <c r="H1093" s="74"/>
      <c r="I1093" s="74"/>
      <c r="J1093" s="74"/>
      <c r="K1093" s="15"/>
      <c r="L1093" s="15"/>
      <c r="M1093" s="15"/>
      <c r="N1093" s="15"/>
      <c r="O1093" s="15"/>
      <c r="P1093" s="15"/>
      <c r="Q1093" s="15"/>
      <c r="R1093" s="15"/>
    </row>
    <row r="1094">
      <c r="A1094" s="15"/>
      <c r="B1094" s="15"/>
      <c r="C1094" s="15"/>
      <c r="D1094" s="15"/>
      <c r="E1094" s="15"/>
      <c r="F1094" s="74"/>
      <c r="G1094" s="74"/>
      <c r="H1094" s="74"/>
      <c r="I1094" s="74"/>
      <c r="J1094" s="74"/>
      <c r="K1094" s="15"/>
      <c r="L1094" s="15"/>
      <c r="M1094" s="15"/>
      <c r="N1094" s="15"/>
      <c r="O1094" s="15"/>
      <c r="P1094" s="15"/>
      <c r="Q1094" s="15"/>
      <c r="R1094" s="15"/>
    </row>
    <row r="1095">
      <c r="A1095" s="15"/>
      <c r="B1095" s="15"/>
      <c r="C1095" s="15"/>
      <c r="D1095" s="15"/>
      <c r="E1095" s="15"/>
      <c r="F1095" s="74"/>
      <c r="G1095" s="74"/>
      <c r="H1095" s="74"/>
      <c r="I1095" s="74"/>
      <c r="J1095" s="74"/>
      <c r="K1095" s="15"/>
      <c r="L1095" s="15"/>
      <c r="M1095" s="15"/>
      <c r="N1095" s="15"/>
      <c r="O1095" s="15"/>
      <c r="P1095" s="15"/>
      <c r="Q1095" s="15"/>
      <c r="R1095" s="15"/>
    </row>
    <row r="1096">
      <c r="A1096" s="15"/>
      <c r="B1096" s="15"/>
      <c r="C1096" s="15"/>
      <c r="D1096" s="15"/>
      <c r="E1096" s="15"/>
      <c r="F1096" s="74"/>
      <c r="G1096" s="74"/>
      <c r="H1096" s="74"/>
      <c r="I1096" s="74"/>
      <c r="J1096" s="74"/>
      <c r="K1096" s="15"/>
      <c r="L1096" s="15"/>
      <c r="M1096" s="15"/>
      <c r="N1096" s="15"/>
      <c r="O1096" s="15"/>
      <c r="P1096" s="15"/>
      <c r="Q1096" s="15"/>
      <c r="R1096" s="15"/>
    </row>
    <row r="1097">
      <c r="A1097" s="15"/>
      <c r="B1097" s="15"/>
      <c r="C1097" s="15"/>
      <c r="D1097" s="15"/>
      <c r="E1097" s="15"/>
      <c r="F1097" s="74"/>
      <c r="G1097" s="74"/>
      <c r="H1097" s="74"/>
      <c r="I1097" s="74"/>
      <c r="J1097" s="74"/>
      <c r="K1097" s="15"/>
      <c r="L1097" s="15"/>
      <c r="M1097" s="15"/>
      <c r="N1097" s="15"/>
      <c r="O1097" s="15"/>
      <c r="P1097" s="15"/>
      <c r="Q1097" s="15"/>
      <c r="R1097" s="15"/>
    </row>
    <row r="1098">
      <c r="A1098" s="15"/>
      <c r="B1098" s="15"/>
      <c r="C1098" s="15"/>
      <c r="D1098" s="15"/>
      <c r="E1098" s="15"/>
      <c r="F1098" s="74"/>
      <c r="G1098" s="74"/>
      <c r="H1098" s="74"/>
      <c r="I1098" s="74"/>
      <c r="J1098" s="74"/>
      <c r="K1098" s="15"/>
      <c r="L1098" s="15"/>
      <c r="M1098" s="15"/>
      <c r="N1098" s="15"/>
      <c r="O1098" s="15"/>
      <c r="P1098" s="15"/>
      <c r="Q1098" s="15"/>
      <c r="R1098" s="15"/>
    </row>
    <row r="1099">
      <c r="A1099" s="15"/>
      <c r="B1099" s="15"/>
      <c r="C1099" s="15"/>
      <c r="D1099" s="15"/>
      <c r="E1099" s="15"/>
      <c r="F1099" s="74"/>
      <c r="G1099" s="74"/>
      <c r="H1099" s="74"/>
      <c r="I1099" s="74"/>
      <c r="J1099" s="74"/>
      <c r="K1099" s="15"/>
      <c r="L1099" s="15"/>
      <c r="M1099" s="15"/>
      <c r="N1099" s="15"/>
      <c r="O1099" s="15"/>
      <c r="P1099" s="15"/>
      <c r="Q1099" s="15"/>
      <c r="R1099" s="15"/>
    </row>
    <row r="1100">
      <c r="A1100" s="15"/>
      <c r="B1100" s="15"/>
      <c r="C1100" s="15"/>
      <c r="D1100" s="15"/>
      <c r="E1100" s="15"/>
      <c r="F1100" s="74"/>
      <c r="G1100" s="74"/>
      <c r="H1100" s="74"/>
      <c r="I1100" s="74"/>
      <c r="J1100" s="74"/>
      <c r="K1100" s="15"/>
      <c r="L1100" s="15"/>
      <c r="M1100" s="15"/>
      <c r="N1100" s="15"/>
      <c r="O1100" s="15"/>
      <c r="P1100" s="15"/>
      <c r="Q1100" s="15"/>
      <c r="R1100" s="15"/>
    </row>
    <row r="1101">
      <c r="A1101" s="15"/>
      <c r="B1101" s="15"/>
      <c r="C1101" s="15"/>
      <c r="D1101" s="15"/>
      <c r="E1101" s="15"/>
      <c r="F1101" s="74"/>
      <c r="G1101" s="74"/>
      <c r="H1101" s="74"/>
      <c r="I1101" s="74"/>
      <c r="J1101" s="74"/>
      <c r="K1101" s="15"/>
      <c r="L1101" s="15"/>
      <c r="M1101" s="15"/>
      <c r="N1101" s="15"/>
      <c r="O1101" s="15"/>
      <c r="P1101" s="15"/>
      <c r="Q1101" s="15"/>
      <c r="R1101" s="15"/>
    </row>
    <row r="1102">
      <c r="A1102" s="15"/>
      <c r="B1102" s="15"/>
      <c r="C1102" s="15"/>
      <c r="D1102" s="15"/>
      <c r="E1102" s="15"/>
      <c r="F1102" s="74"/>
      <c r="G1102" s="74"/>
      <c r="H1102" s="74"/>
      <c r="I1102" s="74"/>
      <c r="J1102" s="74"/>
      <c r="K1102" s="15"/>
      <c r="L1102" s="15"/>
      <c r="M1102" s="15"/>
      <c r="N1102" s="15"/>
      <c r="O1102" s="15"/>
      <c r="P1102" s="15"/>
      <c r="Q1102" s="15"/>
      <c r="R1102" s="15"/>
    </row>
    <row r="1103">
      <c r="A1103" s="15"/>
      <c r="B1103" s="15"/>
      <c r="C1103" s="15"/>
      <c r="D1103" s="15"/>
      <c r="E1103" s="15"/>
      <c r="F1103" s="74"/>
      <c r="G1103" s="74"/>
      <c r="H1103" s="74"/>
      <c r="I1103" s="74"/>
      <c r="J1103" s="74"/>
      <c r="K1103" s="15"/>
      <c r="L1103" s="15"/>
      <c r="M1103" s="15"/>
      <c r="N1103" s="15"/>
      <c r="O1103" s="15"/>
      <c r="P1103" s="15"/>
      <c r="Q1103" s="15"/>
      <c r="R1103" s="15"/>
    </row>
    <row r="1104">
      <c r="A1104" s="15"/>
      <c r="B1104" s="15"/>
      <c r="C1104" s="15"/>
      <c r="D1104" s="15"/>
      <c r="E1104" s="15"/>
      <c r="F1104" s="74"/>
      <c r="G1104" s="74"/>
      <c r="H1104" s="74"/>
      <c r="I1104" s="74"/>
      <c r="J1104" s="74"/>
      <c r="K1104" s="15"/>
      <c r="L1104" s="15"/>
      <c r="M1104" s="15"/>
      <c r="N1104" s="15"/>
      <c r="O1104" s="15"/>
      <c r="P1104" s="15"/>
      <c r="Q1104" s="15"/>
      <c r="R1104" s="15"/>
    </row>
    <row r="1105">
      <c r="A1105" s="15"/>
      <c r="B1105" s="15"/>
      <c r="C1105" s="15"/>
      <c r="D1105" s="15"/>
      <c r="E1105" s="15"/>
      <c r="F1105" s="74"/>
      <c r="G1105" s="74"/>
      <c r="H1105" s="74"/>
      <c r="I1105" s="74"/>
      <c r="J1105" s="74"/>
      <c r="K1105" s="15"/>
      <c r="L1105" s="15"/>
      <c r="M1105" s="15"/>
      <c r="N1105" s="15"/>
      <c r="O1105" s="15"/>
      <c r="P1105" s="15"/>
      <c r="Q1105" s="15"/>
      <c r="R1105" s="15"/>
    </row>
    <row r="1106">
      <c r="A1106" s="15"/>
      <c r="B1106" s="15"/>
      <c r="C1106" s="15"/>
      <c r="D1106" s="15"/>
      <c r="E1106" s="15"/>
      <c r="F1106" s="74"/>
      <c r="G1106" s="74"/>
      <c r="H1106" s="74"/>
      <c r="I1106" s="74"/>
      <c r="J1106" s="74"/>
      <c r="K1106" s="15"/>
      <c r="L1106" s="15"/>
      <c r="M1106" s="15"/>
      <c r="N1106" s="15"/>
      <c r="O1106" s="15"/>
      <c r="P1106" s="15"/>
      <c r="Q1106" s="15"/>
      <c r="R1106" s="15"/>
    </row>
    <row r="1107">
      <c r="A1107" s="15"/>
      <c r="B1107" s="15"/>
      <c r="C1107" s="15"/>
      <c r="D1107" s="15"/>
      <c r="E1107" s="15"/>
      <c r="F1107" s="74"/>
      <c r="G1107" s="74"/>
      <c r="H1107" s="74"/>
      <c r="I1107" s="74"/>
      <c r="J1107" s="74"/>
      <c r="K1107" s="15"/>
      <c r="L1107" s="15"/>
      <c r="M1107" s="15"/>
      <c r="N1107" s="15"/>
      <c r="O1107" s="15"/>
      <c r="P1107" s="15"/>
      <c r="Q1107" s="15"/>
      <c r="R1107" s="15"/>
    </row>
    <row r="1108">
      <c r="A1108" s="15"/>
      <c r="B1108" s="15"/>
      <c r="C1108" s="15"/>
      <c r="D1108" s="15"/>
      <c r="E1108" s="15"/>
      <c r="F1108" s="74"/>
      <c r="G1108" s="74"/>
      <c r="H1108" s="74"/>
      <c r="I1108" s="74"/>
      <c r="J1108" s="74"/>
      <c r="K1108" s="15"/>
      <c r="L1108" s="15"/>
      <c r="M1108" s="15"/>
      <c r="N1108" s="15"/>
      <c r="O1108" s="15"/>
      <c r="P1108" s="15"/>
      <c r="Q1108" s="15"/>
      <c r="R1108" s="15"/>
    </row>
    <row r="1109">
      <c r="A1109" s="15"/>
      <c r="B1109" s="15"/>
      <c r="C1109" s="15"/>
      <c r="D1109" s="15"/>
      <c r="E1109" s="15"/>
      <c r="F1109" s="74"/>
      <c r="G1109" s="74"/>
      <c r="H1109" s="74"/>
      <c r="I1109" s="74"/>
      <c r="J1109" s="74"/>
      <c r="K1109" s="15"/>
      <c r="L1109" s="15"/>
      <c r="M1109" s="15"/>
      <c r="N1109" s="15"/>
      <c r="O1109" s="15"/>
      <c r="P1109" s="15"/>
      <c r="Q1109" s="15"/>
      <c r="R1109" s="15"/>
    </row>
    <row r="1110">
      <c r="A1110" s="15"/>
      <c r="B1110" s="15"/>
      <c r="C1110" s="15"/>
      <c r="D1110" s="15"/>
      <c r="E1110" s="15"/>
      <c r="F1110" s="74"/>
      <c r="G1110" s="74"/>
      <c r="H1110" s="74"/>
      <c r="I1110" s="74"/>
      <c r="J1110" s="74"/>
      <c r="K1110" s="15"/>
      <c r="L1110" s="15"/>
      <c r="M1110" s="15"/>
      <c r="N1110" s="15"/>
      <c r="O1110" s="15"/>
      <c r="P1110" s="15"/>
      <c r="Q1110" s="15"/>
      <c r="R1110" s="15"/>
    </row>
    <row r="1111">
      <c r="A1111" s="15"/>
      <c r="B1111" s="15"/>
      <c r="C1111" s="15"/>
      <c r="D1111" s="15"/>
      <c r="E1111" s="15"/>
      <c r="F1111" s="74"/>
      <c r="G1111" s="74"/>
      <c r="H1111" s="74"/>
      <c r="I1111" s="74"/>
      <c r="J1111" s="74"/>
      <c r="K1111" s="15"/>
      <c r="L1111" s="15"/>
      <c r="M1111" s="15"/>
      <c r="N1111" s="15"/>
      <c r="O1111" s="15"/>
      <c r="P1111" s="15"/>
      <c r="Q1111" s="15"/>
      <c r="R1111" s="15"/>
    </row>
    <row r="1112">
      <c r="A1112" s="15"/>
      <c r="B1112" s="15"/>
      <c r="C1112" s="15"/>
      <c r="D1112" s="15"/>
      <c r="E1112" s="15"/>
      <c r="F1112" s="74"/>
      <c r="G1112" s="74"/>
      <c r="H1112" s="74"/>
      <c r="I1112" s="74"/>
      <c r="J1112" s="74"/>
      <c r="K1112" s="15"/>
      <c r="L1112" s="15"/>
      <c r="M1112" s="15"/>
      <c r="N1112" s="15"/>
      <c r="O1112" s="15"/>
      <c r="P1112" s="15"/>
      <c r="Q1112" s="15"/>
      <c r="R1112" s="15"/>
    </row>
    <row r="1113">
      <c r="A1113" s="15"/>
      <c r="B1113" s="15"/>
      <c r="C1113" s="15"/>
      <c r="D1113" s="15"/>
      <c r="E1113" s="15"/>
      <c r="F1113" s="74"/>
      <c r="G1113" s="74"/>
      <c r="H1113" s="74"/>
      <c r="I1113" s="74"/>
      <c r="J1113" s="74"/>
      <c r="K1113" s="15"/>
      <c r="L1113" s="15"/>
      <c r="M1113" s="15"/>
      <c r="N1113" s="15"/>
      <c r="O1113" s="15"/>
      <c r="P1113" s="15"/>
      <c r="Q1113" s="15"/>
      <c r="R1113" s="15"/>
    </row>
    <row r="1114">
      <c r="A1114" s="15"/>
      <c r="B1114" s="15"/>
      <c r="C1114" s="15"/>
      <c r="D1114" s="15"/>
      <c r="E1114" s="15"/>
      <c r="F1114" s="74"/>
      <c r="G1114" s="74"/>
      <c r="H1114" s="74"/>
      <c r="I1114" s="74"/>
      <c r="J1114" s="74"/>
      <c r="K1114" s="15"/>
      <c r="L1114" s="15"/>
      <c r="M1114" s="15"/>
      <c r="N1114" s="15"/>
      <c r="O1114" s="15"/>
      <c r="P1114" s="15"/>
      <c r="Q1114" s="15"/>
      <c r="R1114" s="15"/>
    </row>
    <row r="1115">
      <c r="A1115" s="15"/>
      <c r="B1115" s="15"/>
      <c r="C1115" s="15"/>
      <c r="D1115" s="15"/>
      <c r="E1115" s="15"/>
      <c r="F1115" s="74"/>
      <c r="G1115" s="74"/>
      <c r="H1115" s="74"/>
      <c r="I1115" s="74"/>
      <c r="J1115" s="74"/>
      <c r="K1115" s="15"/>
      <c r="L1115" s="15"/>
      <c r="M1115" s="15"/>
      <c r="N1115" s="15"/>
      <c r="O1115" s="15"/>
      <c r="P1115" s="15"/>
      <c r="Q1115" s="15"/>
      <c r="R1115" s="15"/>
    </row>
    <row r="1116">
      <c r="A1116" s="15"/>
      <c r="B1116" s="15"/>
      <c r="C1116" s="15"/>
      <c r="D1116" s="15"/>
      <c r="E1116" s="15"/>
      <c r="F1116" s="74"/>
      <c r="G1116" s="74"/>
      <c r="H1116" s="74"/>
      <c r="I1116" s="74"/>
      <c r="J1116" s="74"/>
      <c r="K1116" s="15"/>
      <c r="L1116" s="15"/>
      <c r="M1116" s="15"/>
      <c r="N1116" s="15"/>
      <c r="O1116" s="15"/>
      <c r="P1116" s="15"/>
      <c r="Q1116" s="15"/>
      <c r="R1116" s="15"/>
    </row>
    <row r="1117">
      <c r="A1117" s="15"/>
      <c r="B1117" s="15"/>
      <c r="C1117" s="15"/>
      <c r="D1117" s="15"/>
      <c r="E1117" s="15"/>
      <c r="F1117" s="74"/>
      <c r="G1117" s="74"/>
      <c r="H1117" s="74"/>
      <c r="I1117" s="74"/>
      <c r="J1117" s="74"/>
      <c r="K1117" s="15"/>
      <c r="L1117" s="15"/>
      <c r="M1117" s="15"/>
      <c r="N1117" s="15"/>
      <c r="O1117" s="15"/>
      <c r="P1117" s="15"/>
      <c r="Q1117" s="15"/>
      <c r="R1117" s="15"/>
    </row>
    <row r="1118">
      <c r="A1118" s="15"/>
      <c r="B1118" s="15"/>
      <c r="C1118" s="15"/>
      <c r="D1118" s="15"/>
      <c r="E1118" s="15"/>
      <c r="F1118" s="74"/>
      <c r="G1118" s="74"/>
      <c r="H1118" s="74"/>
      <c r="I1118" s="74"/>
      <c r="J1118" s="74"/>
      <c r="K1118" s="15"/>
      <c r="L1118" s="15"/>
      <c r="M1118" s="15"/>
      <c r="N1118" s="15"/>
      <c r="O1118" s="15"/>
      <c r="P1118" s="15"/>
      <c r="Q1118" s="15"/>
      <c r="R1118" s="15"/>
    </row>
    <row r="1119">
      <c r="A1119" s="15"/>
      <c r="B1119" s="15"/>
      <c r="C1119" s="15"/>
      <c r="D1119" s="15"/>
      <c r="E1119" s="15"/>
      <c r="F1119" s="74"/>
      <c r="G1119" s="74"/>
      <c r="H1119" s="74"/>
      <c r="I1119" s="74"/>
      <c r="J1119" s="74"/>
      <c r="K1119" s="15"/>
      <c r="L1119" s="15"/>
      <c r="M1119" s="15"/>
      <c r="N1119" s="15"/>
      <c r="O1119" s="15"/>
      <c r="P1119" s="15"/>
      <c r="Q1119" s="15"/>
      <c r="R1119" s="15"/>
    </row>
    <row r="1120">
      <c r="A1120" s="15"/>
      <c r="B1120" s="15"/>
      <c r="C1120" s="15"/>
      <c r="D1120" s="15"/>
      <c r="E1120" s="15"/>
      <c r="F1120" s="74"/>
      <c r="G1120" s="74"/>
      <c r="H1120" s="74"/>
      <c r="I1120" s="74"/>
      <c r="J1120" s="74"/>
      <c r="K1120" s="15"/>
      <c r="L1120" s="15"/>
      <c r="M1120" s="15"/>
      <c r="N1120" s="15"/>
      <c r="O1120" s="15"/>
      <c r="P1120" s="15"/>
      <c r="Q1120" s="15"/>
      <c r="R1120" s="15"/>
    </row>
    <row r="1121">
      <c r="A1121" s="15"/>
      <c r="B1121" s="15"/>
      <c r="C1121" s="15"/>
      <c r="D1121" s="15"/>
      <c r="E1121" s="15"/>
      <c r="F1121" s="74"/>
      <c r="G1121" s="74"/>
      <c r="H1121" s="74"/>
      <c r="I1121" s="74"/>
      <c r="J1121" s="74"/>
      <c r="K1121" s="15"/>
      <c r="L1121" s="15"/>
      <c r="M1121" s="15"/>
      <c r="N1121" s="15"/>
      <c r="O1121" s="15"/>
      <c r="P1121" s="15"/>
      <c r="Q1121" s="15"/>
      <c r="R1121" s="15"/>
    </row>
    <row r="1122">
      <c r="A1122" s="15"/>
      <c r="B1122" s="15"/>
      <c r="C1122" s="15"/>
      <c r="D1122" s="15"/>
      <c r="E1122" s="15"/>
      <c r="F1122" s="74"/>
      <c r="G1122" s="74"/>
      <c r="H1122" s="74"/>
      <c r="I1122" s="74"/>
      <c r="J1122" s="74"/>
      <c r="K1122" s="15"/>
      <c r="L1122" s="15"/>
      <c r="M1122" s="15"/>
      <c r="N1122" s="15"/>
      <c r="O1122" s="15"/>
      <c r="P1122" s="15"/>
      <c r="Q1122" s="15"/>
      <c r="R1122" s="15"/>
    </row>
    <row r="1123">
      <c r="A1123" s="15"/>
      <c r="B1123" s="15"/>
      <c r="C1123" s="15"/>
      <c r="D1123" s="15"/>
      <c r="E1123" s="15"/>
      <c r="F1123" s="74"/>
      <c r="G1123" s="74"/>
      <c r="H1123" s="74"/>
      <c r="I1123" s="74"/>
      <c r="J1123" s="74"/>
      <c r="K1123" s="15"/>
      <c r="L1123" s="15"/>
      <c r="M1123" s="15"/>
      <c r="N1123" s="15"/>
      <c r="O1123" s="15"/>
      <c r="P1123" s="15"/>
      <c r="Q1123" s="15"/>
      <c r="R1123" s="15"/>
    </row>
    <row r="1124">
      <c r="A1124" s="15"/>
      <c r="B1124" s="15"/>
      <c r="C1124" s="15"/>
      <c r="D1124" s="15"/>
      <c r="E1124" s="15"/>
      <c r="F1124" s="74"/>
      <c r="G1124" s="74"/>
      <c r="H1124" s="74"/>
      <c r="I1124" s="74"/>
      <c r="J1124" s="74"/>
      <c r="K1124" s="15"/>
      <c r="L1124" s="15"/>
      <c r="M1124" s="15"/>
      <c r="N1124" s="15"/>
      <c r="O1124" s="15"/>
      <c r="P1124" s="15"/>
      <c r="Q1124" s="15"/>
      <c r="R1124" s="15"/>
    </row>
    <row r="1125">
      <c r="A1125" s="15"/>
      <c r="B1125" s="15"/>
      <c r="C1125" s="15"/>
      <c r="D1125" s="15"/>
      <c r="E1125" s="15"/>
      <c r="F1125" s="74"/>
      <c r="G1125" s="74"/>
      <c r="H1125" s="74"/>
      <c r="I1125" s="74"/>
      <c r="J1125" s="74"/>
      <c r="K1125" s="15"/>
      <c r="L1125" s="15"/>
      <c r="M1125" s="15"/>
      <c r="N1125" s="15"/>
      <c r="O1125" s="15"/>
      <c r="P1125" s="15"/>
      <c r="Q1125" s="15"/>
      <c r="R1125" s="15"/>
    </row>
    <row r="1126">
      <c r="A1126" s="15"/>
      <c r="B1126" s="15"/>
      <c r="C1126" s="15"/>
      <c r="D1126" s="15"/>
      <c r="E1126" s="15"/>
      <c r="F1126" s="74"/>
      <c r="G1126" s="74"/>
      <c r="H1126" s="74"/>
      <c r="I1126" s="74"/>
      <c r="J1126" s="74"/>
      <c r="K1126" s="15"/>
      <c r="L1126" s="15"/>
      <c r="M1126" s="15"/>
      <c r="N1126" s="15"/>
      <c r="O1126" s="15"/>
      <c r="P1126" s="15"/>
      <c r="Q1126" s="15"/>
      <c r="R1126" s="15"/>
    </row>
    <row r="1127">
      <c r="A1127" s="15"/>
      <c r="B1127" s="15"/>
      <c r="C1127" s="15"/>
      <c r="D1127" s="15"/>
      <c r="E1127" s="15"/>
      <c r="F1127" s="74"/>
      <c r="G1127" s="74"/>
      <c r="H1127" s="74"/>
      <c r="I1127" s="74"/>
      <c r="J1127" s="74"/>
      <c r="K1127" s="15"/>
      <c r="L1127" s="15"/>
      <c r="M1127" s="15"/>
      <c r="N1127" s="15"/>
      <c r="O1127" s="15"/>
      <c r="P1127" s="15"/>
      <c r="Q1127" s="15"/>
      <c r="R1127" s="15"/>
    </row>
    <row r="1128">
      <c r="A1128" s="15"/>
      <c r="B1128" s="15"/>
      <c r="C1128" s="15"/>
      <c r="D1128" s="15"/>
      <c r="E1128" s="15"/>
      <c r="F1128" s="74"/>
      <c r="G1128" s="74"/>
      <c r="H1128" s="74"/>
      <c r="I1128" s="74"/>
      <c r="J1128" s="74"/>
      <c r="K1128" s="15"/>
      <c r="L1128" s="15"/>
      <c r="M1128" s="15"/>
      <c r="N1128" s="15"/>
      <c r="O1128" s="15"/>
      <c r="P1128" s="15"/>
      <c r="Q1128" s="15"/>
      <c r="R1128" s="15"/>
    </row>
    <row r="1129">
      <c r="A1129" s="15"/>
      <c r="B1129" s="15"/>
      <c r="C1129" s="15"/>
      <c r="D1129" s="15"/>
      <c r="E1129" s="15"/>
      <c r="F1129" s="74"/>
      <c r="G1129" s="74"/>
      <c r="H1129" s="74"/>
      <c r="I1129" s="74"/>
      <c r="J1129" s="74"/>
      <c r="K1129" s="15"/>
      <c r="L1129" s="15"/>
      <c r="M1129" s="15"/>
      <c r="N1129" s="15"/>
      <c r="O1129" s="15"/>
      <c r="P1129" s="15"/>
      <c r="Q1129" s="15"/>
      <c r="R1129" s="15"/>
    </row>
    <row r="1130">
      <c r="A1130" s="15"/>
      <c r="B1130" s="15"/>
      <c r="C1130" s="15"/>
      <c r="D1130" s="15"/>
      <c r="E1130" s="15"/>
      <c r="F1130" s="74"/>
      <c r="G1130" s="74"/>
      <c r="H1130" s="74"/>
      <c r="I1130" s="74"/>
      <c r="J1130" s="74"/>
      <c r="K1130" s="15"/>
      <c r="L1130" s="15"/>
      <c r="M1130" s="15"/>
      <c r="N1130" s="15"/>
      <c r="O1130" s="15"/>
      <c r="P1130" s="15"/>
      <c r="Q1130" s="15"/>
      <c r="R1130" s="15"/>
    </row>
    <row r="1131">
      <c r="A1131" s="15"/>
      <c r="B1131" s="15"/>
      <c r="C1131" s="15"/>
      <c r="D1131" s="15"/>
      <c r="E1131" s="15"/>
      <c r="F1131" s="74"/>
      <c r="G1131" s="74"/>
      <c r="H1131" s="74"/>
      <c r="I1131" s="74"/>
      <c r="J1131" s="74"/>
      <c r="K1131" s="15"/>
      <c r="L1131" s="15"/>
      <c r="M1131" s="15"/>
      <c r="N1131" s="15"/>
      <c r="O1131" s="15"/>
      <c r="P1131" s="15"/>
      <c r="Q1131" s="15"/>
      <c r="R1131" s="15"/>
    </row>
    <row r="1132">
      <c r="A1132" s="15"/>
      <c r="B1132" s="15"/>
      <c r="C1132" s="15"/>
      <c r="D1132" s="15"/>
      <c r="E1132" s="15"/>
      <c r="F1132" s="74"/>
      <c r="G1132" s="74"/>
      <c r="H1132" s="74"/>
      <c r="I1132" s="74"/>
      <c r="J1132" s="74"/>
      <c r="K1132" s="15"/>
      <c r="L1132" s="15"/>
      <c r="M1132" s="15"/>
      <c r="N1132" s="15"/>
      <c r="O1132" s="15"/>
      <c r="P1132" s="15"/>
      <c r="Q1132" s="15"/>
      <c r="R1132" s="15"/>
    </row>
    <row r="1133">
      <c r="A1133" s="15"/>
      <c r="B1133" s="15"/>
      <c r="C1133" s="15"/>
      <c r="D1133" s="15"/>
      <c r="E1133" s="15"/>
      <c r="F1133" s="74"/>
      <c r="G1133" s="74"/>
      <c r="H1133" s="74"/>
      <c r="I1133" s="74"/>
      <c r="J1133" s="74"/>
      <c r="K1133" s="15"/>
      <c r="L1133" s="15"/>
      <c r="M1133" s="15"/>
      <c r="N1133" s="15"/>
      <c r="O1133" s="15"/>
      <c r="P1133" s="15"/>
      <c r="Q1133" s="15"/>
      <c r="R1133" s="15"/>
    </row>
    <row r="1134">
      <c r="A1134" s="15"/>
      <c r="B1134" s="15"/>
      <c r="C1134" s="15"/>
      <c r="D1134" s="15"/>
      <c r="E1134" s="15"/>
      <c r="F1134" s="74"/>
      <c r="G1134" s="74"/>
      <c r="H1134" s="74"/>
      <c r="I1134" s="74"/>
      <c r="J1134" s="74"/>
      <c r="K1134" s="15"/>
      <c r="L1134" s="15"/>
      <c r="M1134" s="15"/>
      <c r="N1134" s="15"/>
      <c r="O1134" s="15"/>
      <c r="P1134" s="15"/>
      <c r="Q1134" s="15"/>
      <c r="R1134" s="15"/>
    </row>
    <row r="1135">
      <c r="A1135" s="15"/>
      <c r="B1135" s="15"/>
      <c r="C1135" s="15"/>
      <c r="D1135" s="15"/>
      <c r="E1135" s="15"/>
      <c r="F1135" s="74"/>
      <c r="G1135" s="74"/>
      <c r="H1135" s="74"/>
      <c r="I1135" s="74"/>
      <c r="J1135" s="74"/>
      <c r="K1135" s="15"/>
      <c r="L1135" s="15"/>
      <c r="M1135" s="15"/>
      <c r="N1135" s="15"/>
      <c r="O1135" s="15"/>
      <c r="P1135" s="15"/>
      <c r="Q1135" s="15"/>
      <c r="R1135" s="15"/>
    </row>
    <row r="1136">
      <c r="A1136" s="15"/>
      <c r="B1136" s="15"/>
      <c r="C1136" s="15"/>
      <c r="D1136" s="15"/>
      <c r="E1136" s="15"/>
      <c r="F1136" s="74"/>
      <c r="G1136" s="74"/>
      <c r="H1136" s="74"/>
      <c r="I1136" s="74"/>
      <c r="J1136" s="74"/>
      <c r="K1136" s="15"/>
      <c r="L1136" s="15"/>
      <c r="M1136" s="15"/>
      <c r="N1136" s="15"/>
      <c r="O1136" s="15"/>
      <c r="P1136" s="15"/>
      <c r="Q1136" s="15"/>
      <c r="R1136" s="15"/>
    </row>
    <row r="1137">
      <c r="A1137" s="15"/>
      <c r="B1137" s="15"/>
      <c r="C1137" s="15"/>
      <c r="D1137" s="15"/>
      <c r="E1137" s="15"/>
      <c r="F1137" s="74"/>
      <c r="G1137" s="74"/>
      <c r="H1137" s="74"/>
      <c r="I1137" s="74"/>
      <c r="J1137" s="74"/>
      <c r="K1137" s="15"/>
      <c r="L1137" s="15"/>
      <c r="M1137" s="15"/>
      <c r="N1137" s="15"/>
      <c r="O1137" s="15"/>
      <c r="P1137" s="15"/>
      <c r="Q1137" s="15"/>
      <c r="R1137" s="15"/>
    </row>
    <row r="1138">
      <c r="A1138" s="15"/>
      <c r="B1138" s="15"/>
      <c r="C1138" s="15"/>
      <c r="D1138" s="15"/>
      <c r="E1138" s="15"/>
      <c r="F1138" s="74"/>
      <c r="G1138" s="74"/>
      <c r="H1138" s="74"/>
      <c r="I1138" s="74"/>
      <c r="J1138" s="74"/>
      <c r="K1138" s="15"/>
      <c r="L1138" s="15"/>
      <c r="M1138" s="15"/>
      <c r="N1138" s="15"/>
      <c r="O1138" s="15"/>
      <c r="P1138" s="15"/>
      <c r="Q1138" s="15"/>
      <c r="R1138" s="15"/>
    </row>
    <row r="1139">
      <c r="A1139" s="15"/>
      <c r="B1139" s="15"/>
      <c r="C1139" s="15"/>
      <c r="D1139" s="15"/>
      <c r="E1139" s="15"/>
      <c r="F1139" s="74"/>
      <c r="G1139" s="74"/>
      <c r="H1139" s="74"/>
      <c r="I1139" s="74"/>
      <c r="J1139" s="74"/>
      <c r="K1139" s="15"/>
      <c r="L1139" s="15"/>
      <c r="M1139" s="15"/>
      <c r="N1139" s="15"/>
      <c r="O1139" s="15"/>
      <c r="P1139" s="15"/>
      <c r="Q1139" s="15"/>
      <c r="R1139" s="15"/>
    </row>
    <row r="1140">
      <c r="A1140" s="15"/>
      <c r="B1140" s="15"/>
      <c r="C1140" s="15"/>
      <c r="D1140" s="15"/>
      <c r="E1140" s="15"/>
      <c r="F1140" s="74"/>
      <c r="G1140" s="74"/>
      <c r="H1140" s="74"/>
      <c r="I1140" s="74"/>
      <c r="J1140" s="74"/>
      <c r="K1140" s="15"/>
      <c r="L1140" s="15"/>
      <c r="M1140" s="15"/>
      <c r="N1140" s="15"/>
      <c r="O1140" s="15"/>
      <c r="P1140" s="15"/>
      <c r="Q1140" s="15"/>
      <c r="R1140" s="15"/>
    </row>
    <row r="1141">
      <c r="A1141" s="15"/>
      <c r="B1141" s="15"/>
      <c r="C1141" s="15"/>
      <c r="D1141" s="15"/>
      <c r="E1141" s="15"/>
      <c r="F1141" s="74"/>
      <c r="G1141" s="74"/>
      <c r="H1141" s="74"/>
      <c r="I1141" s="74"/>
      <c r="J1141" s="74"/>
      <c r="K1141" s="15"/>
      <c r="L1141" s="15"/>
      <c r="M1141" s="15"/>
      <c r="N1141" s="15"/>
      <c r="O1141" s="15"/>
      <c r="P1141" s="15"/>
      <c r="Q1141" s="15"/>
      <c r="R1141" s="15"/>
    </row>
    <row r="1142">
      <c r="A1142" s="15"/>
      <c r="B1142" s="15"/>
      <c r="C1142" s="15"/>
      <c r="D1142" s="15"/>
      <c r="E1142" s="15"/>
      <c r="F1142" s="74"/>
      <c r="G1142" s="74"/>
      <c r="H1142" s="74"/>
      <c r="I1142" s="74"/>
      <c r="J1142" s="74"/>
      <c r="K1142" s="15"/>
      <c r="L1142" s="15"/>
      <c r="M1142" s="15"/>
      <c r="N1142" s="15"/>
      <c r="O1142" s="15"/>
      <c r="P1142" s="15"/>
      <c r="Q1142" s="15"/>
      <c r="R1142" s="15"/>
    </row>
    <row r="1143">
      <c r="A1143" s="15"/>
      <c r="B1143" s="15"/>
      <c r="C1143" s="15"/>
      <c r="D1143" s="15"/>
      <c r="E1143" s="15"/>
      <c r="F1143" s="74"/>
      <c r="G1143" s="74"/>
      <c r="H1143" s="74"/>
      <c r="I1143" s="74"/>
      <c r="J1143" s="74"/>
      <c r="K1143" s="15"/>
      <c r="L1143" s="15"/>
      <c r="M1143" s="15"/>
      <c r="N1143" s="15"/>
      <c r="O1143" s="15"/>
      <c r="P1143" s="15"/>
      <c r="Q1143" s="15"/>
      <c r="R1143" s="15"/>
    </row>
    <row r="1144">
      <c r="A1144" s="15"/>
      <c r="B1144" s="15"/>
      <c r="C1144" s="15"/>
      <c r="D1144" s="15"/>
      <c r="E1144" s="15"/>
      <c r="F1144" s="74"/>
      <c r="G1144" s="74"/>
      <c r="H1144" s="74"/>
      <c r="I1144" s="74"/>
      <c r="J1144" s="74"/>
      <c r="K1144" s="15"/>
      <c r="L1144" s="15"/>
      <c r="M1144" s="15"/>
      <c r="N1144" s="15"/>
      <c r="O1144" s="15"/>
      <c r="P1144" s="15"/>
      <c r="Q1144" s="15"/>
      <c r="R1144" s="15"/>
    </row>
    <row r="1145">
      <c r="A1145" s="15"/>
      <c r="B1145" s="15"/>
      <c r="C1145" s="15"/>
      <c r="D1145" s="15"/>
      <c r="E1145" s="15"/>
      <c r="F1145" s="74"/>
      <c r="G1145" s="74"/>
      <c r="H1145" s="74"/>
      <c r="I1145" s="74"/>
      <c r="J1145" s="74"/>
      <c r="K1145" s="15"/>
      <c r="L1145" s="15"/>
      <c r="M1145" s="15"/>
      <c r="N1145" s="15"/>
      <c r="O1145" s="15"/>
      <c r="P1145" s="15"/>
      <c r="Q1145" s="15"/>
      <c r="R1145" s="15"/>
    </row>
    <row r="1146">
      <c r="A1146" s="15"/>
      <c r="B1146" s="15"/>
      <c r="C1146" s="15"/>
      <c r="D1146" s="15"/>
      <c r="E1146" s="15"/>
      <c r="F1146" s="74"/>
      <c r="G1146" s="74"/>
      <c r="H1146" s="74"/>
      <c r="I1146" s="74"/>
      <c r="J1146" s="74"/>
      <c r="K1146" s="15"/>
      <c r="L1146" s="15"/>
      <c r="M1146" s="15"/>
      <c r="N1146" s="15"/>
      <c r="O1146" s="15"/>
      <c r="P1146" s="15"/>
      <c r="Q1146" s="15"/>
      <c r="R1146" s="15"/>
    </row>
    <row r="1147">
      <c r="A1147" s="15"/>
      <c r="B1147" s="15"/>
      <c r="C1147" s="15"/>
      <c r="D1147" s="15"/>
      <c r="E1147" s="15"/>
      <c r="F1147" s="74"/>
      <c r="G1147" s="74"/>
      <c r="H1147" s="74"/>
      <c r="I1147" s="74"/>
      <c r="J1147" s="74"/>
      <c r="K1147" s="15"/>
      <c r="L1147" s="15"/>
      <c r="M1147" s="15"/>
      <c r="N1147" s="15"/>
      <c r="O1147" s="15"/>
      <c r="P1147" s="15"/>
      <c r="Q1147" s="15"/>
      <c r="R1147" s="15"/>
    </row>
    <row r="1148">
      <c r="A1148" s="15"/>
      <c r="B1148" s="15"/>
      <c r="C1148" s="15"/>
      <c r="D1148" s="15"/>
      <c r="E1148" s="15"/>
      <c r="F1148" s="74"/>
      <c r="G1148" s="74"/>
      <c r="H1148" s="74"/>
      <c r="I1148" s="74"/>
      <c r="J1148" s="74"/>
      <c r="K1148" s="15"/>
      <c r="L1148" s="15"/>
      <c r="M1148" s="15"/>
      <c r="N1148" s="15"/>
      <c r="O1148" s="15"/>
      <c r="P1148" s="15"/>
      <c r="Q1148" s="15"/>
      <c r="R1148" s="15"/>
    </row>
    <row r="1149">
      <c r="A1149" s="15"/>
      <c r="B1149" s="15"/>
      <c r="C1149" s="15"/>
      <c r="D1149" s="15"/>
      <c r="E1149" s="15"/>
      <c r="F1149" s="74"/>
      <c r="G1149" s="74"/>
      <c r="H1149" s="74"/>
      <c r="I1149" s="74"/>
      <c r="J1149" s="74"/>
      <c r="K1149" s="15"/>
      <c r="L1149" s="15"/>
      <c r="M1149" s="15"/>
      <c r="N1149" s="15"/>
      <c r="O1149" s="15"/>
      <c r="P1149" s="15"/>
      <c r="Q1149" s="15"/>
      <c r="R1149" s="15"/>
    </row>
    <row r="1150">
      <c r="A1150" s="15"/>
      <c r="B1150" s="15"/>
      <c r="C1150" s="15"/>
      <c r="D1150" s="15"/>
      <c r="E1150" s="15"/>
      <c r="F1150" s="74"/>
      <c r="G1150" s="74"/>
      <c r="H1150" s="74"/>
      <c r="I1150" s="74"/>
      <c r="J1150" s="74"/>
      <c r="K1150" s="15"/>
      <c r="L1150" s="15"/>
      <c r="M1150" s="15"/>
      <c r="N1150" s="15"/>
      <c r="O1150" s="15"/>
      <c r="P1150" s="15"/>
      <c r="Q1150" s="15"/>
      <c r="R1150" s="15"/>
    </row>
    <row r="1151">
      <c r="A1151" s="15"/>
      <c r="B1151" s="15"/>
      <c r="C1151" s="15"/>
      <c r="D1151" s="15"/>
      <c r="E1151" s="15"/>
      <c r="F1151" s="74"/>
      <c r="G1151" s="74"/>
      <c r="H1151" s="74"/>
      <c r="I1151" s="74"/>
      <c r="J1151" s="74"/>
      <c r="K1151" s="15"/>
      <c r="L1151" s="15"/>
      <c r="M1151" s="15"/>
      <c r="N1151" s="15"/>
      <c r="O1151" s="15"/>
      <c r="P1151" s="15"/>
      <c r="Q1151" s="15"/>
      <c r="R1151" s="15"/>
    </row>
    <row r="1152">
      <c r="A1152" s="15"/>
      <c r="B1152" s="15"/>
      <c r="C1152" s="15"/>
      <c r="D1152" s="15"/>
      <c r="E1152" s="15"/>
      <c r="F1152" s="74"/>
      <c r="G1152" s="74"/>
      <c r="H1152" s="74"/>
      <c r="I1152" s="74"/>
      <c r="J1152" s="74"/>
      <c r="K1152" s="15"/>
      <c r="L1152" s="15"/>
      <c r="M1152" s="15"/>
      <c r="N1152" s="15"/>
      <c r="O1152" s="15"/>
      <c r="P1152" s="15"/>
      <c r="Q1152" s="15"/>
      <c r="R1152" s="15"/>
    </row>
    <row r="1153">
      <c r="A1153" s="15"/>
      <c r="B1153" s="15"/>
      <c r="C1153" s="15"/>
      <c r="D1153" s="15"/>
      <c r="E1153" s="15"/>
      <c r="F1153" s="74"/>
      <c r="G1153" s="74"/>
      <c r="H1153" s="74"/>
      <c r="I1153" s="74"/>
      <c r="J1153" s="74"/>
      <c r="K1153" s="15"/>
      <c r="L1153" s="15"/>
      <c r="M1153" s="15"/>
      <c r="N1153" s="15"/>
      <c r="O1153" s="15"/>
      <c r="P1153" s="15"/>
      <c r="Q1153" s="15"/>
      <c r="R1153" s="15"/>
    </row>
    <row r="1154">
      <c r="A1154" s="15"/>
      <c r="B1154" s="15"/>
      <c r="C1154" s="15"/>
      <c r="D1154" s="15"/>
      <c r="E1154" s="15"/>
      <c r="F1154" s="74"/>
      <c r="G1154" s="74"/>
      <c r="H1154" s="74"/>
      <c r="I1154" s="74"/>
      <c r="J1154" s="74"/>
      <c r="K1154" s="15"/>
      <c r="L1154" s="15"/>
      <c r="M1154" s="15"/>
      <c r="N1154" s="15"/>
      <c r="O1154" s="15"/>
      <c r="P1154" s="15"/>
      <c r="Q1154" s="15"/>
      <c r="R1154" s="15"/>
    </row>
    <row r="1155">
      <c r="A1155" s="15"/>
      <c r="B1155" s="15"/>
      <c r="C1155" s="15"/>
      <c r="D1155" s="15"/>
      <c r="E1155" s="15"/>
      <c r="F1155" s="74"/>
      <c r="G1155" s="74"/>
      <c r="H1155" s="74"/>
      <c r="I1155" s="74"/>
      <c r="J1155" s="74"/>
      <c r="K1155" s="15"/>
      <c r="L1155" s="15"/>
      <c r="M1155" s="15"/>
      <c r="N1155" s="15"/>
      <c r="O1155" s="15"/>
      <c r="P1155" s="15"/>
      <c r="Q1155" s="15"/>
      <c r="R1155" s="15"/>
    </row>
    <row r="1156">
      <c r="A1156" s="15"/>
      <c r="B1156" s="15"/>
      <c r="C1156" s="15"/>
      <c r="D1156" s="15"/>
      <c r="E1156" s="15"/>
      <c r="F1156" s="74"/>
      <c r="G1156" s="74"/>
      <c r="H1156" s="74"/>
      <c r="I1156" s="74"/>
      <c r="J1156" s="74"/>
      <c r="K1156" s="15"/>
      <c r="L1156" s="15"/>
      <c r="M1156" s="15"/>
      <c r="N1156" s="15"/>
      <c r="O1156" s="15"/>
      <c r="P1156" s="15"/>
      <c r="Q1156" s="15"/>
      <c r="R1156" s="15"/>
    </row>
    <row r="1157">
      <c r="A1157" s="15"/>
      <c r="B1157" s="15"/>
      <c r="C1157" s="15"/>
      <c r="D1157" s="15"/>
      <c r="E1157" s="15"/>
      <c r="F1157" s="74"/>
      <c r="G1157" s="74"/>
      <c r="H1157" s="74"/>
      <c r="I1157" s="74"/>
      <c r="J1157" s="74"/>
      <c r="K1157" s="15"/>
      <c r="L1157" s="15"/>
      <c r="M1157" s="15"/>
      <c r="N1157" s="15"/>
      <c r="O1157" s="15"/>
      <c r="P1157" s="15"/>
      <c r="Q1157" s="15"/>
      <c r="R1157" s="15"/>
    </row>
    <row r="1158">
      <c r="A1158" s="15"/>
      <c r="B1158" s="15"/>
      <c r="C1158" s="15"/>
      <c r="D1158" s="15"/>
      <c r="E1158" s="15"/>
      <c r="F1158" s="74"/>
      <c r="G1158" s="74"/>
      <c r="H1158" s="74"/>
      <c r="I1158" s="74"/>
      <c r="J1158" s="74"/>
      <c r="K1158" s="15"/>
      <c r="L1158" s="15"/>
      <c r="M1158" s="15"/>
      <c r="N1158" s="15"/>
      <c r="O1158" s="15"/>
      <c r="P1158" s="15"/>
      <c r="Q1158" s="15"/>
      <c r="R1158" s="15"/>
    </row>
    <row r="1159">
      <c r="A1159" s="15"/>
      <c r="B1159" s="15"/>
      <c r="C1159" s="15"/>
      <c r="D1159" s="15"/>
      <c r="E1159" s="15"/>
      <c r="F1159" s="74"/>
      <c r="G1159" s="74"/>
      <c r="H1159" s="74"/>
      <c r="I1159" s="74"/>
      <c r="J1159" s="74"/>
      <c r="K1159" s="15"/>
      <c r="L1159" s="15"/>
      <c r="M1159" s="15"/>
      <c r="N1159" s="15"/>
      <c r="O1159" s="15"/>
      <c r="P1159" s="15"/>
      <c r="Q1159" s="15"/>
      <c r="R1159" s="15"/>
    </row>
    <row r="1160">
      <c r="A1160" s="15"/>
      <c r="B1160" s="15"/>
      <c r="C1160" s="15"/>
      <c r="D1160" s="15"/>
      <c r="E1160" s="15"/>
      <c r="F1160" s="74"/>
      <c r="G1160" s="74"/>
      <c r="H1160" s="74"/>
      <c r="I1160" s="74"/>
      <c r="J1160" s="74"/>
      <c r="K1160" s="15"/>
      <c r="L1160" s="15"/>
      <c r="M1160" s="15"/>
      <c r="N1160" s="15"/>
      <c r="O1160" s="15"/>
      <c r="P1160" s="15"/>
      <c r="Q1160" s="15"/>
      <c r="R1160" s="15"/>
    </row>
    <row r="1161">
      <c r="A1161" s="15"/>
      <c r="B1161" s="15"/>
      <c r="C1161" s="15"/>
      <c r="D1161" s="15"/>
      <c r="E1161" s="15"/>
      <c r="F1161" s="74"/>
      <c r="G1161" s="74"/>
      <c r="H1161" s="74"/>
      <c r="I1161" s="74"/>
      <c r="J1161" s="74"/>
      <c r="K1161" s="15"/>
      <c r="L1161" s="15"/>
      <c r="M1161" s="15"/>
      <c r="N1161" s="15"/>
      <c r="O1161" s="15"/>
      <c r="P1161" s="15"/>
      <c r="Q1161" s="15"/>
      <c r="R1161" s="15"/>
    </row>
    <row r="1162">
      <c r="A1162" s="15"/>
      <c r="B1162" s="15"/>
      <c r="C1162" s="15"/>
      <c r="D1162" s="15"/>
      <c r="E1162" s="15"/>
      <c r="F1162" s="74"/>
      <c r="G1162" s="74"/>
      <c r="H1162" s="74"/>
      <c r="I1162" s="74"/>
      <c r="J1162" s="74"/>
      <c r="K1162" s="15"/>
      <c r="L1162" s="15"/>
      <c r="M1162" s="15"/>
      <c r="N1162" s="15"/>
      <c r="O1162" s="15"/>
      <c r="P1162" s="15"/>
      <c r="Q1162" s="15"/>
      <c r="R1162" s="15"/>
    </row>
    <row r="1163">
      <c r="A1163" s="15"/>
      <c r="B1163" s="15"/>
      <c r="C1163" s="15"/>
      <c r="D1163" s="15"/>
      <c r="E1163" s="15"/>
      <c r="F1163" s="74"/>
      <c r="G1163" s="74"/>
      <c r="H1163" s="74"/>
      <c r="I1163" s="74"/>
      <c r="J1163" s="74"/>
      <c r="K1163" s="15"/>
      <c r="L1163" s="15"/>
      <c r="M1163" s="15"/>
      <c r="N1163" s="15"/>
      <c r="O1163" s="15"/>
      <c r="P1163" s="15"/>
      <c r="Q1163" s="15"/>
      <c r="R1163" s="15"/>
    </row>
    <row r="1164">
      <c r="A1164" s="15"/>
      <c r="B1164" s="15"/>
      <c r="C1164" s="15"/>
      <c r="D1164" s="15"/>
      <c r="E1164" s="15"/>
      <c r="F1164" s="74"/>
      <c r="G1164" s="74"/>
      <c r="H1164" s="74"/>
      <c r="I1164" s="74"/>
      <c r="J1164" s="74"/>
      <c r="K1164" s="15"/>
      <c r="L1164" s="15"/>
      <c r="M1164" s="15"/>
      <c r="N1164" s="15"/>
      <c r="O1164" s="15"/>
      <c r="P1164" s="15"/>
      <c r="Q1164" s="15"/>
      <c r="R1164" s="15"/>
    </row>
    <row r="1165">
      <c r="A1165" s="15"/>
      <c r="B1165" s="15"/>
      <c r="C1165" s="15"/>
      <c r="D1165" s="15"/>
      <c r="E1165" s="15"/>
      <c r="F1165" s="74"/>
      <c r="G1165" s="74"/>
      <c r="H1165" s="74"/>
      <c r="I1165" s="74"/>
      <c r="J1165" s="74"/>
      <c r="K1165" s="15"/>
      <c r="L1165" s="15"/>
      <c r="M1165" s="15"/>
      <c r="N1165" s="15"/>
      <c r="O1165" s="15"/>
      <c r="P1165" s="15"/>
      <c r="Q1165" s="15"/>
      <c r="R1165" s="15"/>
    </row>
    <row r="1166">
      <c r="A1166" s="15"/>
      <c r="B1166" s="15"/>
      <c r="C1166" s="15"/>
      <c r="D1166" s="15"/>
      <c r="E1166" s="15"/>
      <c r="F1166" s="74"/>
      <c r="G1166" s="74"/>
      <c r="H1166" s="74"/>
      <c r="I1166" s="74"/>
      <c r="J1166" s="74"/>
      <c r="K1166" s="15"/>
      <c r="L1166" s="15"/>
      <c r="M1166" s="15"/>
      <c r="N1166" s="15"/>
      <c r="O1166" s="15"/>
      <c r="P1166" s="15"/>
      <c r="Q1166" s="15"/>
      <c r="R1166" s="15"/>
    </row>
    <row r="1167">
      <c r="A1167" s="15"/>
      <c r="B1167" s="15"/>
      <c r="C1167" s="15"/>
      <c r="D1167" s="15"/>
      <c r="E1167" s="15"/>
      <c r="F1167" s="74"/>
      <c r="G1167" s="74"/>
      <c r="H1167" s="74"/>
      <c r="I1167" s="74"/>
      <c r="J1167" s="74"/>
      <c r="K1167" s="15"/>
      <c r="L1167" s="15"/>
      <c r="M1167" s="15"/>
      <c r="N1167" s="15"/>
      <c r="O1167" s="15"/>
      <c r="P1167" s="15"/>
      <c r="Q1167" s="15"/>
      <c r="R1167" s="15"/>
    </row>
    <row r="1168">
      <c r="A1168" s="15"/>
      <c r="B1168" s="15"/>
      <c r="C1168" s="15"/>
      <c r="D1168" s="15"/>
      <c r="E1168" s="15"/>
      <c r="F1168" s="74"/>
      <c r="G1168" s="74"/>
      <c r="H1168" s="74"/>
      <c r="I1168" s="74"/>
      <c r="J1168" s="74"/>
      <c r="K1168" s="15"/>
      <c r="L1168" s="15"/>
      <c r="M1168" s="15"/>
      <c r="N1168" s="15"/>
      <c r="O1168" s="15"/>
      <c r="P1168" s="15"/>
      <c r="Q1168" s="15"/>
      <c r="R1168" s="15"/>
    </row>
    <row r="1169">
      <c r="A1169" s="15"/>
      <c r="B1169" s="15"/>
      <c r="C1169" s="15"/>
      <c r="D1169" s="15"/>
      <c r="E1169" s="15"/>
      <c r="F1169" s="74"/>
      <c r="G1169" s="74"/>
      <c r="H1169" s="74"/>
      <c r="I1169" s="74"/>
      <c r="J1169" s="74"/>
      <c r="K1169" s="15"/>
      <c r="L1169" s="15"/>
      <c r="M1169" s="15"/>
      <c r="N1169" s="15"/>
      <c r="O1169" s="15"/>
      <c r="P1169" s="15"/>
      <c r="Q1169" s="15"/>
      <c r="R1169" s="15"/>
    </row>
    <row r="1170">
      <c r="A1170" s="15"/>
      <c r="B1170" s="15"/>
      <c r="C1170" s="15"/>
      <c r="D1170" s="15"/>
      <c r="E1170" s="15"/>
      <c r="F1170" s="74"/>
      <c r="G1170" s="74"/>
      <c r="H1170" s="74"/>
      <c r="I1170" s="74"/>
      <c r="J1170" s="74"/>
      <c r="K1170" s="15"/>
      <c r="L1170" s="15"/>
      <c r="M1170" s="15"/>
      <c r="N1170" s="15"/>
      <c r="O1170" s="15"/>
      <c r="P1170" s="15"/>
      <c r="Q1170" s="15"/>
      <c r="R1170" s="15"/>
    </row>
    <row r="1171">
      <c r="A1171" s="15"/>
      <c r="B1171" s="15"/>
      <c r="C1171" s="15"/>
      <c r="D1171" s="15"/>
      <c r="E1171" s="15"/>
      <c r="F1171" s="74"/>
      <c r="G1171" s="74"/>
      <c r="H1171" s="74"/>
      <c r="I1171" s="74"/>
      <c r="J1171" s="74"/>
      <c r="K1171" s="15"/>
      <c r="L1171" s="15"/>
      <c r="M1171" s="15"/>
      <c r="N1171" s="15"/>
      <c r="O1171" s="15"/>
      <c r="P1171" s="15"/>
      <c r="Q1171" s="15"/>
      <c r="R1171" s="15"/>
    </row>
    <row r="1172">
      <c r="A1172" s="15"/>
      <c r="B1172" s="15"/>
      <c r="C1172" s="15"/>
      <c r="D1172" s="15"/>
      <c r="E1172" s="15"/>
      <c r="F1172" s="74"/>
      <c r="G1172" s="74"/>
      <c r="H1172" s="74"/>
      <c r="I1172" s="74"/>
      <c r="J1172" s="74"/>
      <c r="K1172" s="15"/>
      <c r="L1172" s="15"/>
      <c r="M1172" s="15"/>
      <c r="N1172" s="15"/>
      <c r="O1172" s="15"/>
      <c r="P1172" s="15"/>
      <c r="Q1172" s="15"/>
      <c r="R1172" s="15"/>
    </row>
    <row r="1173">
      <c r="A1173" s="15"/>
      <c r="B1173" s="15"/>
      <c r="C1173" s="15"/>
      <c r="D1173" s="15"/>
      <c r="E1173" s="15"/>
      <c r="F1173" s="74"/>
      <c r="G1173" s="74"/>
      <c r="H1173" s="74"/>
      <c r="I1173" s="74"/>
      <c r="J1173" s="74"/>
      <c r="K1173" s="15"/>
      <c r="L1173" s="15"/>
      <c r="M1173" s="15"/>
      <c r="N1173" s="15"/>
      <c r="O1173" s="15"/>
      <c r="P1173" s="15"/>
      <c r="Q1173" s="15"/>
      <c r="R1173" s="15"/>
    </row>
    <row r="1174">
      <c r="A1174" s="15"/>
      <c r="B1174" s="15"/>
      <c r="C1174" s="15"/>
      <c r="D1174" s="15"/>
      <c r="E1174" s="15"/>
      <c r="F1174" s="74"/>
      <c r="G1174" s="74"/>
      <c r="H1174" s="74"/>
      <c r="I1174" s="74"/>
      <c r="J1174" s="74"/>
      <c r="K1174" s="15"/>
      <c r="L1174" s="15"/>
      <c r="M1174" s="15"/>
      <c r="N1174" s="15"/>
      <c r="O1174" s="15"/>
      <c r="P1174" s="15"/>
      <c r="Q1174" s="15"/>
      <c r="R1174" s="15"/>
    </row>
    <row r="1175">
      <c r="A1175" s="15"/>
      <c r="B1175" s="15"/>
      <c r="C1175" s="15"/>
      <c r="D1175" s="15"/>
      <c r="E1175" s="15"/>
      <c r="F1175" s="74"/>
      <c r="G1175" s="74"/>
      <c r="H1175" s="74"/>
      <c r="I1175" s="74"/>
      <c r="J1175" s="74"/>
      <c r="K1175" s="15"/>
      <c r="L1175" s="15"/>
      <c r="M1175" s="15"/>
      <c r="N1175" s="15"/>
      <c r="O1175" s="15"/>
      <c r="P1175" s="15"/>
      <c r="Q1175" s="15"/>
      <c r="R1175" s="15"/>
    </row>
    <row r="1176">
      <c r="A1176" s="15"/>
      <c r="B1176" s="15"/>
      <c r="C1176" s="15"/>
      <c r="D1176" s="15"/>
      <c r="E1176" s="15"/>
      <c r="F1176" s="74"/>
      <c r="G1176" s="74"/>
      <c r="H1176" s="74"/>
      <c r="I1176" s="74"/>
      <c r="J1176" s="74"/>
      <c r="K1176" s="15"/>
      <c r="L1176" s="15"/>
      <c r="M1176" s="15"/>
      <c r="N1176" s="15"/>
      <c r="O1176" s="15"/>
      <c r="P1176" s="15"/>
      <c r="Q1176" s="15"/>
      <c r="R1176" s="15"/>
    </row>
    <row r="1177">
      <c r="A1177" s="15"/>
      <c r="B1177" s="15"/>
      <c r="C1177" s="15"/>
      <c r="D1177" s="15"/>
      <c r="E1177" s="15"/>
      <c r="F1177" s="74"/>
      <c r="G1177" s="74"/>
      <c r="H1177" s="74"/>
      <c r="I1177" s="74"/>
      <c r="J1177" s="74"/>
      <c r="K1177" s="15"/>
      <c r="L1177" s="15"/>
      <c r="M1177" s="15"/>
      <c r="N1177" s="15"/>
      <c r="O1177" s="15"/>
      <c r="P1177" s="15"/>
      <c r="Q1177" s="15"/>
      <c r="R1177" s="15"/>
    </row>
    <row r="1178">
      <c r="A1178" s="15"/>
      <c r="B1178" s="15"/>
      <c r="C1178" s="15"/>
      <c r="D1178" s="15"/>
      <c r="E1178" s="15"/>
      <c r="F1178" s="74"/>
      <c r="G1178" s="74"/>
      <c r="H1178" s="74"/>
      <c r="I1178" s="74"/>
      <c r="J1178" s="74"/>
      <c r="K1178" s="15"/>
      <c r="L1178" s="15"/>
      <c r="M1178" s="15"/>
      <c r="N1178" s="15"/>
      <c r="O1178" s="15"/>
      <c r="P1178" s="15"/>
      <c r="Q1178" s="15"/>
      <c r="R1178" s="15"/>
    </row>
    <row r="1179">
      <c r="A1179" s="15"/>
      <c r="B1179" s="15"/>
      <c r="C1179" s="15"/>
      <c r="D1179" s="15"/>
      <c r="E1179" s="15"/>
      <c r="F1179" s="74"/>
      <c r="G1179" s="74"/>
      <c r="H1179" s="74"/>
      <c r="I1179" s="74"/>
      <c r="J1179" s="74"/>
      <c r="K1179" s="15"/>
      <c r="L1179" s="15"/>
      <c r="M1179" s="15"/>
      <c r="N1179" s="15"/>
      <c r="O1179" s="15"/>
      <c r="P1179" s="15"/>
      <c r="Q1179" s="15"/>
      <c r="R1179" s="15"/>
    </row>
    <row r="1180">
      <c r="A1180" s="15"/>
      <c r="B1180" s="15"/>
      <c r="C1180" s="15"/>
      <c r="D1180" s="15"/>
      <c r="E1180" s="15"/>
      <c r="F1180" s="74"/>
      <c r="G1180" s="74"/>
      <c r="H1180" s="74"/>
      <c r="I1180" s="74"/>
      <c r="J1180" s="74"/>
      <c r="K1180" s="15"/>
      <c r="L1180" s="15"/>
      <c r="M1180" s="15"/>
      <c r="N1180" s="15"/>
      <c r="O1180" s="15"/>
      <c r="P1180" s="15"/>
      <c r="Q1180" s="15"/>
      <c r="R1180" s="15"/>
    </row>
    <row r="1181">
      <c r="A1181" s="15"/>
      <c r="B1181" s="15"/>
      <c r="C1181" s="15"/>
      <c r="D1181" s="15"/>
      <c r="E1181" s="15"/>
      <c r="F1181" s="74"/>
      <c r="G1181" s="74"/>
      <c r="H1181" s="74"/>
      <c r="I1181" s="74"/>
      <c r="J1181" s="74"/>
      <c r="K1181" s="15"/>
      <c r="L1181" s="15"/>
      <c r="M1181" s="15"/>
      <c r="N1181" s="15"/>
      <c r="O1181" s="15"/>
      <c r="P1181" s="15"/>
      <c r="Q1181" s="15"/>
      <c r="R1181" s="15"/>
    </row>
    <row r="1182">
      <c r="A1182" s="15"/>
      <c r="B1182" s="15"/>
      <c r="C1182" s="15"/>
      <c r="D1182" s="15"/>
      <c r="E1182" s="15"/>
      <c r="F1182" s="74"/>
      <c r="G1182" s="74"/>
      <c r="H1182" s="74"/>
      <c r="I1182" s="74"/>
      <c r="J1182" s="74"/>
      <c r="K1182" s="15"/>
      <c r="L1182" s="15"/>
      <c r="M1182" s="15"/>
      <c r="N1182" s="15"/>
      <c r="O1182" s="15"/>
      <c r="P1182" s="15"/>
      <c r="Q1182" s="15"/>
      <c r="R1182" s="15"/>
    </row>
    <row r="1183">
      <c r="A1183" s="15"/>
      <c r="B1183" s="15"/>
      <c r="C1183" s="15"/>
      <c r="D1183" s="15"/>
      <c r="E1183" s="15"/>
      <c r="F1183" s="74"/>
      <c r="G1183" s="74"/>
      <c r="H1183" s="74"/>
      <c r="I1183" s="74"/>
      <c r="J1183" s="74"/>
      <c r="K1183" s="15"/>
      <c r="L1183" s="15"/>
      <c r="M1183" s="15"/>
      <c r="N1183" s="15"/>
      <c r="O1183" s="15"/>
      <c r="P1183" s="15"/>
      <c r="Q1183" s="15"/>
      <c r="R1183" s="15"/>
    </row>
    <row r="1184">
      <c r="A1184" s="15"/>
      <c r="B1184" s="15"/>
      <c r="C1184" s="15"/>
      <c r="D1184" s="15"/>
      <c r="E1184" s="15"/>
      <c r="F1184" s="74"/>
      <c r="G1184" s="74"/>
      <c r="H1184" s="74"/>
      <c r="I1184" s="74"/>
      <c r="J1184" s="74"/>
      <c r="K1184" s="15"/>
      <c r="L1184" s="15"/>
      <c r="M1184" s="15"/>
      <c r="N1184" s="15"/>
      <c r="O1184" s="15"/>
      <c r="P1184" s="15"/>
      <c r="Q1184" s="15"/>
      <c r="R1184" s="15"/>
    </row>
    <row r="1185">
      <c r="A1185" s="15"/>
      <c r="B1185" s="15"/>
      <c r="C1185" s="15"/>
      <c r="D1185" s="15"/>
      <c r="E1185" s="15"/>
      <c r="F1185" s="74"/>
      <c r="G1185" s="74"/>
      <c r="H1185" s="74"/>
      <c r="I1185" s="74"/>
      <c r="J1185" s="74"/>
      <c r="K1185" s="15"/>
      <c r="L1185" s="15"/>
      <c r="M1185" s="15"/>
      <c r="N1185" s="15"/>
      <c r="O1185" s="15"/>
      <c r="P1185" s="15"/>
      <c r="Q1185" s="15"/>
      <c r="R1185" s="15"/>
    </row>
    <row r="1186">
      <c r="A1186" s="15"/>
      <c r="B1186" s="15"/>
      <c r="C1186" s="15"/>
      <c r="D1186" s="15"/>
      <c r="E1186" s="15"/>
      <c r="F1186" s="74"/>
      <c r="G1186" s="74"/>
      <c r="H1186" s="74"/>
      <c r="I1186" s="74"/>
      <c r="J1186" s="74"/>
      <c r="K1186" s="15"/>
      <c r="L1186" s="15"/>
      <c r="M1186" s="15"/>
      <c r="N1186" s="15"/>
      <c r="O1186" s="15"/>
      <c r="P1186" s="15"/>
      <c r="Q1186" s="15"/>
      <c r="R1186" s="15"/>
    </row>
    <row r="1187">
      <c r="A1187" s="15"/>
      <c r="B1187" s="15"/>
      <c r="C1187" s="15"/>
      <c r="D1187" s="15"/>
      <c r="E1187" s="15"/>
      <c r="F1187" s="74"/>
      <c r="G1187" s="74"/>
      <c r="H1187" s="74"/>
      <c r="I1187" s="74"/>
      <c r="J1187" s="74"/>
      <c r="K1187" s="15"/>
      <c r="L1187" s="15"/>
      <c r="M1187" s="15"/>
      <c r="N1187" s="15"/>
      <c r="O1187" s="15"/>
      <c r="P1187" s="15"/>
      <c r="Q1187" s="15"/>
      <c r="R1187" s="15"/>
    </row>
    <row r="1188">
      <c r="A1188" s="15"/>
      <c r="B1188" s="15"/>
      <c r="C1188" s="15"/>
      <c r="D1188" s="15"/>
      <c r="E1188" s="15"/>
      <c r="F1188" s="74"/>
      <c r="G1188" s="74"/>
      <c r="H1188" s="74"/>
      <c r="I1188" s="74"/>
      <c r="J1188" s="74"/>
      <c r="K1188" s="15"/>
      <c r="L1188" s="15"/>
      <c r="M1188" s="15"/>
      <c r="N1188" s="15"/>
      <c r="O1188" s="15"/>
      <c r="P1188" s="15"/>
      <c r="Q1188" s="15"/>
      <c r="R1188" s="15"/>
    </row>
    <row r="1189">
      <c r="A1189" s="15"/>
      <c r="B1189" s="15"/>
      <c r="C1189" s="15"/>
      <c r="D1189" s="15"/>
      <c r="E1189" s="15"/>
      <c r="F1189" s="74"/>
      <c r="G1189" s="74"/>
      <c r="H1189" s="74"/>
      <c r="I1189" s="74"/>
      <c r="J1189" s="74"/>
      <c r="K1189" s="15"/>
      <c r="L1189" s="15"/>
      <c r="M1189" s="15"/>
      <c r="N1189" s="15"/>
      <c r="O1189" s="15"/>
      <c r="P1189" s="15"/>
      <c r="Q1189" s="15"/>
      <c r="R1189" s="15"/>
    </row>
    <row r="1190">
      <c r="A1190" s="15"/>
      <c r="B1190" s="15"/>
      <c r="C1190" s="15"/>
      <c r="D1190" s="15"/>
      <c r="E1190" s="15"/>
      <c r="F1190" s="74"/>
      <c r="G1190" s="74"/>
      <c r="H1190" s="74"/>
      <c r="I1190" s="74"/>
      <c r="J1190" s="74"/>
      <c r="K1190" s="15"/>
      <c r="L1190" s="15"/>
      <c r="M1190" s="15"/>
      <c r="N1190" s="15"/>
      <c r="O1190" s="15"/>
      <c r="P1190" s="15"/>
      <c r="Q1190" s="15"/>
      <c r="R1190" s="15"/>
    </row>
    <row r="1191">
      <c r="A1191" s="15"/>
      <c r="B1191" s="15"/>
      <c r="C1191" s="15"/>
      <c r="D1191" s="15"/>
      <c r="E1191" s="15"/>
      <c r="F1191" s="74"/>
      <c r="G1191" s="74"/>
      <c r="H1191" s="74"/>
      <c r="I1191" s="74"/>
      <c r="J1191" s="74"/>
      <c r="K1191" s="15"/>
      <c r="L1191" s="15"/>
      <c r="M1191" s="15"/>
      <c r="N1191" s="15"/>
      <c r="O1191" s="15"/>
      <c r="P1191" s="15"/>
      <c r="Q1191" s="15"/>
      <c r="R1191" s="15"/>
    </row>
    <row r="1192">
      <c r="A1192" s="15"/>
      <c r="B1192" s="15"/>
      <c r="C1192" s="15"/>
      <c r="D1192" s="15"/>
      <c r="E1192" s="15"/>
      <c r="F1192" s="74"/>
      <c r="G1192" s="74"/>
      <c r="H1192" s="74"/>
      <c r="I1192" s="74"/>
      <c r="J1192" s="74"/>
      <c r="K1192" s="15"/>
      <c r="L1192" s="15"/>
      <c r="M1192" s="15"/>
      <c r="N1192" s="15"/>
      <c r="O1192" s="15"/>
      <c r="P1192" s="15"/>
      <c r="Q1192" s="15"/>
      <c r="R1192" s="15"/>
    </row>
    <row r="1193">
      <c r="A1193" s="15"/>
      <c r="B1193" s="15"/>
      <c r="C1193" s="15"/>
      <c r="D1193" s="15"/>
      <c r="E1193" s="15"/>
      <c r="F1193" s="74"/>
      <c r="G1193" s="74"/>
      <c r="H1193" s="74"/>
      <c r="I1193" s="74"/>
      <c r="J1193" s="74"/>
      <c r="K1193" s="15"/>
      <c r="L1193" s="15"/>
      <c r="M1193" s="15"/>
      <c r="N1193" s="15"/>
      <c r="O1193" s="15"/>
      <c r="P1193" s="15"/>
      <c r="Q1193" s="15"/>
      <c r="R1193" s="15"/>
    </row>
    <row r="1194">
      <c r="A1194" s="15"/>
      <c r="B1194" s="15"/>
      <c r="C1194" s="15"/>
      <c r="D1194" s="15"/>
      <c r="E1194" s="15"/>
      <c r="F1194" s="74"/>
      <c r="G1194" s="74"/>
      <c r="H1194" s="74"/>
      <c r="I1194" s="74"/>
      <c r="J1194" s="74"/>
      <c r="K1194" s="15"/>
      <c r="L1194" s="15"/>
      <c r="M1194" s="15"/>
      <c r="N1194" s="15"/>
      <c r="O1194" s="15"/>
      <c r="P1194" s="15"/>
      <c r="Q1194" s="15"/>
      <c r="R1194" s="15"/>
    </row>
    <row r="1195">
      <c r="A1195" s="15"/>
      <c r="B1195" s="15"/>
      <c r="C1195" s="15"/>
      <c r="D1195" s="15"/>
      <c r="E1195" s="15"/>
      <c r="F1195" s="74"/>
      <c r="G1195" s="74"/>
      <c r="H1195" s="74"/>
      <c r="I1195" s="74"/>
      <c r="J1195" s="74"/>
      <c r="K1195" s="15"/>
      <c r="L1195" s="15"/>
      <c r="M1195" s="15"/>
      <c r="N1195" s="15"/>
      <c r="O1195" s="15"/>
      <c r="P1195" s="15"/>
      <c r="Q1195" s="15"/>
      <c r="R1195" s="15"/>
    </row>
    <row r="1196">
      <c r="A1196" s="15"/>
      <c r="B1196" s="15"/>
      <c r="C1196" s="15"/>
      <c r="D1196" s="15"/>
      <c r="E1196" s="15"/>
      <c r="F1196" s="74"/>
      <c r="G1196" s="74"/>
      <c r="H1196" s="74"/>
      <c r="I1196" s="74"/>
      <c r="J1196" s="74"/>
      <c r="K1196" s="15"/>
      <c r="L1196" s="15"/>
      <c r="M1196" s="15"/>
      <c r="N1196" s="15"/>
      <c r="O1196" s="15"/>
      <c r="P1196" s="15"/>
      <c r="Q1196" s="15"/>
      <c r="R1196" s="15"/>
    </row>
    <row r="1197">
      <c r="A1197" s="15"/>
      <c r="B1197" s="15"/>
      <c r="C1197" s="15"/>
      <c r="D1197" s="15"/>
      <c r="E1197" s="15"/>
      <c r="F1197" s="74"/>
      <c r="G1197" s="74"/>
      <c r="H1197" s="74"/>
      <c r="I1197" s="74"/>
      <c r="J1197" s="74"/>
      <c r="K1197" s="15"/>
      <c r="L1197" s="15"/>
      <c r="M1197" s="15"/>
      <c r="N1197" s="15"/>
      <c r="O1197" s="15"/>
      <c r="P1197" s="15"/>
      <c r="Q1197" s="15"/>
      <c r="R1197" s="15"/>
    </row>
    <row r="1198">
      <c r="A1198" s="15"/>
      <c r="B1198" s="15"/>
      <c r="C1198" s="15"/>
      <c r="D1198" s="15"/>
      <c r="E1198" s="15"/>
      <c r="F1198" s="74"/>
      <c r="G1198" s="74"/>
      <c r="H1198" s="74"/>
      <c r="I1198" s="74"/>
      <c r="J1198" s="74"/>
      <c r="K1198" s="15"/>
      <c r="L1198" s="15"/>
      <c r="M1198" s="15"/>
      <c r="N1198" s="15"/>
      <c r="O1198" s="15"/>
      <c r="P1198" s="15"/>
      <c r="Q1198" s="15"/>
      <c r="R1198" s="15"/>
    </row>
    <row r="1199">
      <c r="A1199" s="15"/>
      <c r="B1199" s="15"/>
      <c r="C1199" s="15"/>
      <c r="D1199" s="15"/>
      <c r="E1199" s="15"/>
      <c r="F1199" s="74"/>
      <c r="G1199" s="74"/>
      <c r="H1199" s="74"/>
      <c r="I1199" s="74"/>
      <c r="J1199" s="74"/>
      <c r="K1199" s="15"/>
      <c r="L1199" s="15"/>
      <c r="M1199" s="15"/>
      <c r="N1199" s="15"/>
      <c r="O1199" s="15"/>
      <c r="P1199" s="15"/>
      <c r="Q1199" s="15"/>
      <c r="R1199" s="15"/>
    </row>
    <row r="1200">
      <c r="A1200" s="15"/>
      <c r="B1200" s="15"/>
      <c r="C1200" s="15"/>
      <c r="D1200" s="15"/>
      <c r="E1200" s="15"/>
      <c r="F1200" s="74"/>
      <c r="G1200" s="74"/>
      <c r="H1200" s="74"/>
      <c r="I1200" s="74"/>
      <c r="J1200" s="74"/>
      <c r="K1200" s="15"/>
      <c r="L1200" s="15"/>
      <c r="M1200" s="15"/>
      <c r="N1200" s="15"/>
      <c r="O1200" s="15"/>
      <c r="P1200" s="15"/>
      <c r="Q1200" s="15"/>
      <c r="R1200" s="15"/>
    </row>
    <row r="1201">
      <c r="A1201" s="15"/>
      <c r="B1201" s="15"/>
      <c r="C1201" s="15"/>
      <c r="D1201" s="15"/>
      <c r="E1201" s="15"/>
      <c r="F1201" s="74"/>
      <c r="G1201" s="74"/>
      <c r="H1201" s="74"/>
      <c r="I1201" s="74"/>
      <c r="J1201" s="74"/>
      <c r="K1201" s="15"/>
      <c r="L1201" s="15"/>
      <c r="M1201" s="15"/>
      <c r="N1201" s="15"/>
      <c r="O1201" s="15"/>
      <c r="P1201" s="15"/>
      <c r="Q1201" s="15"/>
      <c r="R1201" s="15"/>
    </row>
    <row r="1202">
      <c r="A1202" s="15"/>
      <c r="B1202" s="15"/>
      <c r="C1202" s="15"/>
      <c r="D1202" s="15"/>
      <c r="E1202" s="15"/>
      <c r="F1202" s="74"/>
      <c r="G1202" s="74"/>
      <c r="H1202" s="74"/>
      <c r="I1202" s="74"/>
      <c r="J1202" s="74"/>
      <c r="K1202" s="15"/>
      <c r="L1202" s="15"/>
      <c r="M1202" s="15"/>
      <c r="N1202" s="15"/>
      <c r="O1202" s="15"/>
      <c r="P1202" s="15"/>
      <c r="Q1202" s="15"/>
      <c r="R1202" s="15"/>
    </row>
    <row r="1203">
      <c r="A1203" s="15"/>
      <c r="B1203" s="15"/>
      <c r="C1203" s="15"/>
      <c r="D1203" s="15"/>
      <c r="E1203" s="15"/>
      <c r="F1203" s="74"/>
      <c r="G1203" s="74"/>
      <c r="H1203" s="74"/>
      <c r="I1203" s="74"/>
      <c r="J1203" s="74"/>
      <c r="K1203" s="15"/>
      <c r="L1203" s="15"/>
      <c r="M1203" s="15"/>
      <c r="N1203" s="15"/>
      <c r="O1203" s="15"/>
      <c r="P1203" s="15"/>
      <c r="Q1203" s="15"/>
      <c r="R1203" s="15"/>
    </row>
    <row r="1204">
      <c r="A1204" s="15"/>
      <c r="B1204" s="15"/>
      <c r="C1204" s="15"/>
      <c r="D1204" s="15"/>
      <c r="E1204" s="15"/>
      <c r="F1204" s="74"/>
      <c r="G1204" s="74"/>
      <c r="H1204" s="74"/>
      <c r="I1204" s="74"/>
      <c r="J1204" s="74"/>
      <c r="K1204" s="15"/>
      <c r="L1204" s="15"/>
      <c r="M1204" s="15"/>
      <c r="N1204" s="15"/>
      <c r="O1204" s="15"/>
      <c r="P1204" s="15"/>
      <c r="Q1204" s="15"/>
      <c r="R1204" s="15"/>
    </row>
    <row r="1205">
      <c r="A1205" s="15"/>
      <c r="B1205" s="15"/>
      <c r="C1205" s="15"/>
      <c r="D1205" s="15"/>
      <c r="E1205" s="15"/>
      <c r="F1205" s="74"/>
      <c r="G1205" s="74"/>
      <c r="H1205" s="74"/>
      <c r="I1205" s="74"/>
      <c r="J1205" s="74"/>
      <c r="K1205" s="15"/>
      <c r="L1205" s="15"/>
      <c r="M1205" s="15"/>
      <c r="N1205" s="15"/>
      <c r="O1205" s="15"/>
      <c r="P1205" s="15"/>
      <c r="Q1205" s="15"/>
      <c r="R1205" s="15"/>
    </row>
    <row r="1206">
      <c r="A1206" s="15"/>
      <c r="B1206" s="15"/>
      <c r="C1206" s="15"/>
      <c r="D1206" s="15"/>
      <c r="E1206" s="15"/>
      <c r="F1206" s="74"/>
      <c r="G1206" s="74"/>
      <c r="H1206" s="74"/>
      <c r="I1206" s="74"/>
      <c r="J1206" s="74"/>
      <c r="K1206" s="15"/>
      <c r="L1206" s="15"/>
      <c r="M1206" s="15"/>
      <c r="N1206" s="15"/>
      <c r="O1206" s="15"/>
      <c r="P1206" s="15"/>
      <c r="Q1206" s="15"/>
      <c r="R1206" s="15"/>
    </row>
    <row r="1207">
      <c r="A1207" s="15"/>
      <c r="B1207" s="15"/>
      <c r="C1207" s="15"/>
      <c r="D1207" s="15"/>
      <c r="E1207" s="15"/>
      <c r="F1207" s="74"/>
      <c r="G1207" s="74"/>
      <c r="H1207" s="74"/>
      <c r="I1207" s="74"/>
      <c r="J1207" s="74"/>
      <c r="K1207" s="15"/>
      <c r="L1207" s="15"/>
      <c r="M1207" s="15"/>
      <c r="N1207" s="15"/>
      <c r="O1207" s="15"/>
      <c r="P1207" s="15"/>
      <c r="Q1207" s="15"/>
      <c r="R1207" s="15"/>
    </row>
    <row r="1208">
      <c r="A1208" s="15"/>
      <c r="B1208" s="15"/>
      <c r="C1208" s="15"/>
      <c r="D1208" s="15"/>
      <c r="E1208" s="15"/>
      <c r="F1208" s="74"/>
      <c r="G1208" s="74"/>
      <c r="H1208" s="74"/>
      <c r="I1208" s="74"/>
      <c r="J1208" s="74"/>
      <c r="K1208" s="15"/>
      <c r="L1208" s="15"/>
      <c r="M1208" s="15"/>
      <c r="N1208" s="15"/>
      <c r="O1208" s="15"/>
      <c r="P1208" s="15"/>
      <c r="Q1208" s="15"/>
      <c r="R1208" s="15"/>
    </row>
    <row r="1209">
      <c r="A1209" s="15"/>
      <c r="B1209" s="15"/>
      <c r="C1209" s="15"/>
      <c r="D1209" s="15"/>
      <c r="E1209" s="15"/>
      <c r="F1209" s="74"/>
      <c r="G1209" s="74"/>
      <c r="H1209" s="74"/>
      <c r="I1209" s="74"/>
      <c r="J1209" s="74"/>
      <c r="K1209" s="15"/>
      <c r="L1209" s="15"/>
      <c r="M1209" s="15"/>
      <c r="N1209" s="15"/>
      <c r="O1209" s="15"/>
      <c r="P1209" s="15"/>
      <c r="Q1209" s="15"/>
      <c r="R1209" s="15"/>
    </row>
    <row r="1210">
      <c r="A1210" s="15"/>
      <c r="B1210" s="15"/>
      <c r="C1210" s="15"/>
      <c r="D1210" s="15"/>
      <c r="E1210" s="15"/>
      <c r="F1210" s="74"/>
      <c r="G1210" s="74"/>
      <c r="H1210" s="74"/>
      <c r="I1210" s="74"/>
      <c r="J1210" s="74"/>
      <c r="K1210" s="15"/>
      <c r="L1210" s="15"/>
      <c r="M1210" s="15"/>
      <c r="N1210" s="15"/>
      <c r="O1210" s="15"/>
      <c r="P1210" s="15"/>
      <c r="Q1210" s="15"/>
      <c r="R1210" s="15"/>
    </row>
    <row r="1211">
      <c r="A1211" s="15"/>
      <c r="B1211" s="15"/>
      <c r="C1211" s="15"/>
      <c r="D1211" s="15"/>
      <c r="E1211" s="15"/>
      <c r="F1211" s="74"/>
      <c r="G1211" s="74"/>
      <c r="H1211" s="74"/>
      <c r="I1211" s="74"/>
      <c r="J1211" s="74"/>
      <c r="K1211" s="15"/>
      <c r="L1211" s="15"/>
      <c r="M1211" s="15"/>
      <c r="N1211" s="15"/>
      <c r="O1211" s="15"/>
      <c r="P1211" s="15"/>
      <c r="Q1211" s="15"/>
      <c r="R1211" s="15"/>
    </row>
    <row r="1212">
      <c r="A1212" s="15"/>
      <c r="B1212" s="15"/>
      <c r="C1212" s="15"/>
      <c r="D1212" s="15"/>
      <c r="E1212" s="15"/>
      <c r="F1212" s="74"/>
      <c r="G1212" s="74"/>
      <c r="H1212" s="74"/>
      <c r="I1212" s="74"/>
      <c r="J1212" s="74"/>
      <c r="K1212" s="15"/>
      <c r="L1212" s="15"/>
      <c r="M1212" s="15"/>
      <c r="N1212" s="15"/>
      <c r="O1212" s="15"/>
      <c r="P1212" s="15"/>
      <c r="Q1212" s="15"/>
      <c r="R1212" s="15"/>
    </row>
    <row r="1213">
      <c r="A1213" s="15"/>
      <c r="B1213" s="15"/>
      <c r="C1213" s="15"/>
      <c r="D1213" s="15"/>
      <c r="E1213" s="15"/>
      <c r="F1213" s="74"/>
      <c r="G1213" s="74"/>
      <c r="H1213" s="74"/>
      <c r="I1213" s="74"/>
      <c r="J1213" s="74"/>
      <c r="K1213" s="15"/>
      <c r="L1213" s="15"/>
      <c r="M1213" s="15"/>
      <c r="N1213" s="15"/>
      <c r="O1213" s="15"/>
      <c r="P1213" s="15"/>
      <c r="Q1213" s="15"/>
      <c r="R1213" s="15"/>
    </row>
    <row r="1214">
      <c r="A1214" s="15"/>
      <c r="B1214" s="15"/>
      <c r="C1214" s="15"/>
      <c r="D1214" s="15"/>
      <c r="E1214" s="15"/>
      <c r="F1214" s="74"/>
      <c r="G1214" s="74"/>
      <c r="H1214" s="74"/>
      <c r="I1214" s="74"/>
      <c r="J1214" s="74"/>
      <c r="K1214" s="15"/>
      <c r="L1214" s="15"/>
      <c r="M1214" s="15"/>
      <c r="N1214" s="15"/>
      <c r="O1214" s="15"/>
      <c r="P1214" s="15"/>
      <c r="Q1214" s="15"/>
      <c r="R1214" s="15"/>
    </row>
    <row r="1215">
      <c r="A1215" s="15"/>
      <c r="B1215" s="15"/>
      <c r="C1215" s="15"/>
      <c r="D1215" s="15"/>
      <c r="E1215" s="15"/>
      <c r="F1215" s="74"/>
      <c r="G1215" s="74"/>
      <c r="H1215" s="74"/>
      <c r="I1215" s="74"/>
      <c r="J1215" s="74"/>
      <c r="K1215" s="15"/>
      <c r="L1215" s="15"/>
      <c r="M1215" s="15"/>
      <c r="N1215" s="15"/>
      <c r="O1215" s="15"/>
      <c r="P1215" s="15"/>
      <c r="Q1215" s="15"/>
      <c r="R1215" s="15"/>
    </row>
    <row r="1216">
      <c r="A1216" s="15"/>
      <c r="B1216" s="15"/>
      <c r="C1216" s="15"/>
      <c r="D1216" s="15"/>
      <c r="E1216" s="15"/>
      <c r="F1216" s="74"/>
      <c r="G1216" s="74"/>
      <c r="H1216" s="74"/>
      <c r="I1216" s="74"/>
      <c r="J1216" s="74"/>
      <c r="K1216" s="15"/>
      <c r="L1216" s="15"/>
      <c r="M1216" s="15"/>
      <c r="N1216" s="15"/>
      <c r="O1216" s="15"/>
      <c r="P1216" s="15"/>
      <c r="Q1216" s="15"/>
      <c r="R1216" s="15"/>
    </row>
    <row r="1217">
      <c r="A1217" s="15"/>
      <c r="B1217" s="15"/>
      <c r="C1217" s="15"/>
      <c r="D1217" s="15"/>
      <c r="E1217" s="15"/>
      <c r="F1217" s="74"/>
      <c r="G1217" s="74"/>
      <c r="H1217" s="74"/>
      <c r="I1217" s="74"/>
      <c r="J1217" s="74"/>
      <c r="K1217" s="15"/>
      <c r="L1217" s="15"/>
      <c r="M1217" s="15"/>
      <c r="N1217" s="15"/>
      <c r="O1217" s="15"/>
      <c r="P1217" s="15"/>
      <c r="Q1217" s="15"/>
      <c r="R1217" s="15"/>
    </row>
    <row r="1218">
      <c r="A1218" s="15"/>
      <c r="B1218" s="15"/>
      <c r="C1218" s="15"/>
      <c r="D1218" s="15"/>
      <c r="E1218" s="15"/>
      <c r="F1218" s="74"/>
      <c r="G1218" s="74"/>
      <c r="H1218" s="74"/>
      <c r="I1218" s="74"/>
      <c r="J1218" s="74"/>
      <c r="K1218" s="15"/>
      <c r="L1218" s="15"/>
      <c r="M1218" s="15"/>
      <c r="N1218" s="15"/>
      <c r="O1218" s="15"/>
      <c r="P1218" s="15"/>
      <c r="Q1218" s="15"/>
      <c r="R1218" s="15"/>
    </row>
    <row r="1219">
      <c r="A1219" s="15"/>
      <c r="B1219" s="15"/>
      <c r="C1219" s="15"/>
      <c r="D1219" s="15"/>
      <c r="E1219" s="15"/>
      <c r="F1219" s="74"/>
      <c r="G1219" s="74"/>
      <c r="H1219" s="74"/>
      <c r="I1219" s="74"/>
      <c r="J1219" s="74"/>
      <c r="K1219" s="15"/>
      <c r="L1219" s="15"/>
      <c r="M1219" s="15"/>
      <c r="N1219" s="15"/>
      <c r="O1219" s="15"/>
      <c r="P1219" s="15"/>
      <c r="Q1219" s="15"/>
      <c r="R1219" s="15"/>
    </row>
    <row r="1220">
      <c r="A1220" s="15"/>
      <c r="B1220" s="15"/>
      <c r="C1220" s="15"/>
      <c r="D1220" s="15"/>
      <c r="E1220" s="15"/>
      <c r="F1220" s="74"/>
      <c r="G1220" s="74"/>
      <c r="H1220" s="74"/>
      <c r="I1220" s="74"/>
      <c r="J1220" s="74"/>
      <c r="K1220" s="15"/>
      <c r="L1220" s="15"/>
      <c r="M1220" s="15"/>
      <c r="N1220" s="15"/>
      <c r="O1220" s="15"/>
      <c r="P1220" s="15"/>
      <c r="Q1220" s="15"/>
      <c r="R1220" s="15"/>
    </row>
    <row r="1221">
      <c r="A1221" s="15"/>
      <c r="B1221" s="15"/>
      <c r="C1221" s="15"/>
      <c r="D1221" s="15"/>
      <c r="E1221" s="15"/>
      <c r="F1221" s="74"/>
      <c r="G1221" s="74"/>
      <c r="H1221" s="74"/>
      <c r="I1221" s="74"/>
      <c r="J1221" s="74"/>
      <c r="K1221" s="15"/>
      <c r="L1221" s="15"/>
      <c r="M1221" s="15"/>
      <c r="N1221" s="15"/>
      <c r="O1221" s="15"/>
      <c r="P1221" s="15"/>
      <c r="Q1221" s="15"/>
      <c r="R1221" s="15"/>
    </row>
    <row r="1222">
      <c r="A1222" s="15"/>
      <c r="B1222" s="15"/>
      <c r="C1222" s="15"/>
      <c r="D1222" s="15"/>
      <c r="E1222" s="15"/>
      <c r="F1222" s="74"/>
      <c r="G1222" s="74"/>
      <c r="H1222" s="74"/>
      <c r="I1222" s="74"/>
      <c r="J1222" s="74"/>
      <c r="K1222" s="15"/>
      <c r="L1222" s="15"/>
      <c r="M1222" s="15"/>
      <c r="N1222" s="15"/>
      <c r="O1222" s="15"/>
      <c r="P1222" s="15"/>
      <c r="Q1222" s="15"/>
      <c r="R1222" s="15"/>
    </row>
    <row r="1223">
      <c r="A1223" s="15"/>
      <c r="B1223" s="15"/>
      <c r="C1223" s="15"/>
      <c r="D1223" s="15"/>
      <c r="E1223" s="15"/>
      <c r="F1223" s="74"/>
      <c r="G1223" s="74"/>
      <c r="H1223" s="74"/>
      <c r="I1223" s="74"/>
      <c r="J1223" s="74"/>
      <c r="K1223" s="15"/>
      <c r="L1223" s="15"/>
      <c r="M1223" s="15"/>
      <c r="N1223" s="15"/>
      <c r="O1223" s="15"/>
      <c r="P1223" s="15"/>
      <c r="Q1223" s="15"/>
      <c r="R1223" s="15"/>
    </row>
    <row r="1224">
      <c r="A1224" s="15"/>
      <c r="B1224" s="15"/>
      <c r="C1224" s="15"/>
      <c r="D1224" s="15"/>
      <c r="E1224" s="15"/>
      <c r="F1224" s="74"/>
      <c r="G1224" s="74"/>
      <c r="H1224" s="74"/>
      <c r="I1224" s="74"/>
      <c r="J1224" s="74"/>
      <c r="K1224" s="15"/>
      <c r="L1224" s="15"/>
      <c r="M1224" s="15"/>
      <c r="N1224" s="15"/>
      <c r="O1224" s="15"/>
      <c r="P1224" s="15"/>
      <c r="Q1224" s="15"/>
      <c r="R1224" s="15"/>
    </row>
    <row r="1225">
      <c r="A1225" s="15"/>
      <c r="B1225" s="15"/>
      <c r="C1225" s="15"/>
      <c r="D1225" s="15"/>
      <c r="E1225" s="15"/>
      <c r="F1225" s="74"/>
      <c r="G1225" s="74"/>
      <c r="H1225" s="74"/>
      <c r="I1225" s="74"/>
      <c r="J1225" s="74"/>
      <c r="K1225" s="15"/>
      <c r="L1225" s="15"/>
      <c r="M1225" s="15"/>
      <c r="N1225" s="15"/>
      <c r="O1225" s="15"/>
      <c r="P1225" s="15"/>
      <c r="Q1225" s="15"/>
      <c r="R1225" s="15"/>
    </row>
    <row r="1226">
      <c r="A1226" s="15"/>
      <c r="B1226" s="15"/>
      <c r="C1226" s="15"/>
      <c r="D1226" s="15"/>
      <c r="E1226" s="15"/>
      <c r="F1226" s="74"/>
      <c r="G1226" s="74"/>
      <c r="H1226" s="74"/>
      <c r="I1226" s="74"/>
      <c r="J1226" s="74"/>
      <c r="K1226" s="15"/>
      <c r="L1226" s="15"/>
      <c r="M1226" s="15"/>
      <c r="N1226" s="15"/>
      <c r="O1226" s="15"/>
      <c r="P1226" s="15"/>
      <c r="Q1226" s="15"/>
      <c r="R1226" s="15"/>
    </row>
    <row r="1227">
      <c r="A1227" s="15"/>
      <c r="B1227" s="15"/>
      <c r="C1227" s="15"/>
      <c r="D1227" s="15"/>
      <c r="E1227" s="15"/>
      <c r="F1227" s="74"/>
      <c r="G1227" s="74"/>
      <c r="H1227" s="74"/>
      <c r="I1227" s="74"/>
      <c r="J1227" s="74"/>
      <c r="K1227" s="15"/>
      <c r="L1227" s="15"/>
      <c r="M1227" s="15"/>
      <c r="N1227" s="15"/>
      <c r="O1227" s="15"/>
      <c r="P1227" s="15"/>
      <c r="Q1227" s="15"/>
      <c r="R1227" s="15"/>
    </row>
    <row r="1228">
      <c r="A1228" s="15"/>
      <c r="B1228" s="15"/>
      <c r="C1228" s="15"/>
      <c r="D1228" s="15"/>
      <c r="E1228" s="15"/>
      <c r="F1228" s="74"/>
      <c r="G1228" s="74"/>
      <c r="H1228" s="74"/>
      <c r="I1228" s="74"/>
      <c r="J1228" s="74"/>
      <c r="K1228" s="15"/>
      <c r="L1228" s="15"/>
      <c r="M1228" s="15"/>
      <c r="N1228" s="15"/>
      <c r="O1228" s="15"/>
      <c r="P1228" s="15"/>
      <c r="Q1228" s="15"/>
      <c r="R1228" s="15"/>
    </row>
    <row r="1229">
      <c r="A1229" s="15"/>
      <c r="B1229" s="15"/>
      <c r="C1229" s="15"/>
      <c r="D1229" s="15"/>
      <c r="E1229" s="15"/>
      <c r="F1229" s="74"/>
      <c r="G1229" s="74"/>
      <c r="H1229" s="74"/>
      <c r="I1229" s="74"/>
      <c r="J1229" s="74"/>
      <c r="K1229" s="15"/>
      <c r="L1229" s="15"/>
      <c r="M1229" s="15"/>
      <c r="N1229" s="15"/>
      <c r="O1229" s="15"/>
      <c r="P1229" s="15"/>
      <c r="Q1229" s="15"/>
      <c r="R1229" s="15"/>
    </row>
    <row r="1230">
      <c r="A1230" s="15"/>
      <c r="B1230" s="15"/>
      <c r="C1230" s="15"/>
      <c r="D1230" s="15"/>
      <c r="E1230" s="15"/>
      <c r="F1230" s="74"/>
      <c r="G1230" s="74"/>
      <c r="H1230" s="74"/>
      <c r="I1230" s="74"/>
      <c r="J1230" s="74"/>
      <c r="K1230" s="15"/>
      <c r="L1230" s="15"/>
      <c r="M1230" s="15"/>
      <c r="N1230" s="15"/>
      <c r="O1230" s="15"/>
      <c r="P1230" s="15"/>
      <c r="Q1230" s="15"/>
      <c r="R1230" s="15"/>
    </row>
    <row r="1231">
      <c r="A1231" s="15"/>
      <c r="B1231" s="15"/>
      <c r="C1231" s="15"/>
      <c r="D1231" s="15"/>
      <c r="E1231" s="15"/>
      <c r="F1231" s="74"/>
      <c r="G1231" s="74"/>
      <c r="H1231" s="74"/>
      <c r="I1231" s="74"/>
      <c r="J1231" s="74"/>
      <c r="K1231" s="15"/>
      <c r="L1231" s="15"/>
      <c r="M1231" s="15"/>
      <c r="N1231" s="15"/>
      <c r="O1231" s="15"/>
      <c r="P1231" s="15"/>
      <c r="Q1231" s="15"/>
      <c r="R1231" s="15"/>
    </row>
    <row r="1232">
      <c r="A1232" s="15"/>
      <c r="B1232" s="15"/>
      <c r="C1232" s="15"/>
      <c r="D1232" s="15"/>
      <c r="E1232" s="15"/>
      <c r="F1232" s="74"/>
      <c r="G1232" s="74"/>
      <c r="H1232" s="74"/>
      <c r="I1232" s="74"/>
      <c r="J1232" s="74"/>
      <c r="K1232" s="15"/>
      <c r="L1232" s="15"/>
      <c r="M1232" s="15"/>
      <c r="N1232" s="15"/>
      <c r="O1232" s="15"/>
      <c r="P1232" s="15"/>
      <c r="Q1232" s="15"/>
      <c r="R1232" s="15"/>
    </row>
    <row r="1233">
      <c r="A1233" s="15"/>
      <c r="B1233" s="15"/>
      <c r="C1233" s="15"/>
      <c r="D1233" s="15"/>
      <c r="E1233" s="15"/>
      <c r="F1233" s="74"/>
      <c r="G1233" s="74"/>
      <c r="H1233" s="74"/>
      <c r="I1233" s="74"/>
      <c r="J1233" s="74"/>
      <c r="K1233" s="15"/>
      <c r="L1233" s="15"/>
      <c r="M1233" s="15"/>
      <c r="N1233" s="15"/>
      <c r="O1233" s="15"/>
      <c r="P1233" s="15"/>
      <c r="Q1233" s="15"/>
      <c r="R1233" s="15"/>
    </row>
    <row r="1234">
      <c r="A1234" s="15"/>
      <c r="B1234" s="15"/>
      <c r="C1234" s="15"/>
      <c r="D1234" s="15"/>
      <c r="E1234" s="15"/>
      <c r="F1234" s="74"/>
      <c r="G1234" s="74"/>
      <c r="H1234" s="74"/>
      <c r="I1234" s="74"/>
      <c r="J1234" s="74"/>
      <c r="K1234" s="15"/>
      <c r="L1234" s="15"/>
      <c r="M1234" s="15"/>
      <c r="N1234" s="15"/>
      <c r="O1234" s="15"/>
      <c r="P1234" s="15"/>
      <c r="Q1234" s="15"/>
      <c r="R1234" s="15"/>
    </row>
    <row r="1235">
      <c r="A1235" s="15"/>
      <c r="B1235" s="15"/>
      <c r="C1235" s="15"/>
      <c r="D1235" s="15"/>
      <c r="E1235" s="15"/>
      <c r="F1235" s="74"/>
      <c r="G1235" s="74"/>
      <c r="H1235" s="74"/>
      <c r="I1235" s="74"/>
      <c r="J1235" s="74"/>
      <c r="K1235" s="15"/>
      <c r="L1235" s="15"/>
      <c r="M1235" s="15"/>
      <c r="N1235" s="15"/>
      <c r="O1235" s="15"/>
      <c r="P1235" s="15"/>
      <c r="Q1235" s="15"/>
      <c r="R1235" s="15"/>
    </row>
    <row r="1236">
      <c r="A1236" s="15"/>
      <c r="B1236" s="15"/>
      <c r="C1236" s="15"/>
      <c r="D1236" s="15"/>
      <c r="E1236" s="15"/>
      <c r="F1236" s="74"/>
      <c r="G1236" s="74"/>
      <c r="H1236" s="74"/>
      <c r="I1236" s="74"/>
      <c r="J1236" s="74"/>
      <c r="K1236" s="15"/>
      <c r="L1236" s="15"/>
      <c r="M1236" s="15"/>
      <c r="N1236" s="15"/>
      <c r="O1236" s="15"/>
      <c r="P1236" s="15"/>
      <c r="Q1236" s="15"/>
      <c r="R1236" s="15"/>
    </row>
    <row r="1237">
      <c r="A1237" s="15"/>
      <c r="B1237" s="15"/>
      <c r="C1237" s="15"/>
      <c r="D1237" s="15"/>
      <c r="E1237" s="15"/>
      <c r="F1237" s="74"/>
      <c r="G1237" s="74"/>
      <c r="H1237" s="74"/>
      <c r="I1237" s="74"/>
      <c r="J1237" s="74"/>
      <c r="K1237" s="15"/>
      <c r="L1237" s="15"/>
      <c r="M1237" s="15"/>
      <c r="N1237" s="15"/>
      <c r="O1237" s="15"/>
      <c r="P1237" s="15"/>
      <c r="Q1237" s="15"/>
      <c r="R1237" s="15"/>
    </row>
    <row r="1238">
      <c r="A1238" s="15"/>
      <c r="B1238" s="15"/>
      <c r="C1238" s="15"/>
      <c r="D1238" s="15"/>
      <c r="E1238" s="15"/>
      <c r="F1238" s="74"/>
      <c r="G1238" s="74"/>
      <c r="H1238" s="74"/>
      <c r="I1238" s="74"/>
      <c r="J1238" s="74"/>
      <c r="K1238" s="15"/>
      <c r="L1238" s="15"/>
      <c r="M1238" s="15"/>
      <c r="N1238" s="15"/>
      <c r="O1238" s="15"/>
      <c r="P1238" s="15"/>
      <c r="Q1238" s="15"/>
      <c r="R1238" s="15"/>
    </row>
    <row r="1239">
      <c r="A1239" s="15"/>
      <c r="B1239" s="15"/>
      <c r="C1239" s="15"/>
      <c r="D1239" s="15"/>
      <c r="E1239" s="15"/>
      <c r="F1239" s="74"/>
      <c r="G1239" s="74"/>
      <c r="H1239" s="74"/>
      <c r="I1239" s="74"/>
      <c r="J1239" s="74"/>
      <c r="K1239" s="15"/>
      <c r="L1239" s="15"/>
      <c r="M1239" s="15"/>
      <c r="N1239" s="15"/>
      <c r="O1239" s="15"/>
      <c r="P1239" s="15"/>
      <c r="Q1239" s="15"/>
      <c r="R1239" s="15"/>
    </row>
    <row r="1240">
      <c r="A1240" s="15"/>
      <c r="B1240" s="15"/>
      <c r="C1240" s="15"/>
      <c r="D1240" s="15"/>
      <c r="E1240" s="15"/>
      <c r="F1240" s="74"/>
      <c r="G1240" s="74"/>
      <c r="H1240" s="74"/>
      <c r="I1240" s="74"/>
      <c r="J1240" s="74"/>
      <c r="K1240" s="15"/>
      <c r="L1240" s="15"/>
      <c r="M1240" s="15"/>
      <c r="N1240" s="15"/>
      <c r="O1240" s="15"/>
      <c r="P1240" s="15"/>
      <c r="Q1240" s="15"/>
      <c r="R1240" s="15"/>
    </row>
    <row r="1241">
      <c r="A1241" s="15"/>
      <c r="B1241" s="15"/>
      <c r="C1241" s="15"/>
      <c r="D1241" s="15"/>
      <c r="E1241" s="15"/>
      <c r="F1241" s="74"/>
      <c r="G1241" s="74"/>
      <c r="H1241" s="74"/>
      <c r="I1241" s="74"/>
      <c r="J1241" s="74"/>
      <c r="K1241" s="15"/>
      <c r="L1241" s="15"/>
      <c r="M1241" s="15"/>
      <c r="N1241" s="15"/>
      <c r="O1241" s="15"/>
      <c r="P1241" s="15"/>
      <c r="Q1241" s="15"/>
      <c r="R1241" s="15"/>
    </row>
    <row r="1242">
      <c r="A1242" s="15"/>
      <c r="B1242" s="15"/>
      <c r="C1242" s="15"/>
      <c r="D1242" s="15"/>
      <c r="E1242" s="15"/>
      <c r="F1242" s="74"/>
      <c r="G1242" s="74"/>
      <c r="H1242" s="74"/>
      <c r="I1242" s="74"/>
      <c r="J1242" s="74"/>
      <c r="K1242" s="15"/>
      <c r="L1242" s="15"/>
      <c r="M1242" s="15"/>
      <c r="N1242" s="15"/>
      <c r="O1242" s="15"/>
      <c r="P1242" s="15"/>
      <c r="Q1242" s="15"/>
      <c r="R1242" s="15"/>
    </row>
    <row r="1243">
      <c r="A1243" s="15"/>
      <c r="B1243" s="15"/>
      <c r="C1243" s="15"/>
      <c r="D1243" s="15"/>
      <c r="E1243" s="15"/>
      <c r="F1243" s="74"/>
      <c r="G1243" s="74"/>
      <c r="H1243" s="74"/>
      <c r="I1243" s="74"/>
      <c r="J1243" s="74"/>
      <c r="K1243" s="15"/>
      <c r="L1243" s="15"/>
      <c r="M1243" s="15"/>
      <c r="N1243" s="15"/>
      <c r="O1243" s="15"/>
      <c r="P1243" s="15"/>
      <c r="Q1243" s="15"/>
      <c r="R1243" s="15"/>
    </row>
    <row r="1244">
      <c r="A1244" s="15"/>
      <c r="B1244" s="15"/>
      <c r="C1244" s="15"/>
      <c r="D1244" s="15"/>
      <c r="E1244" s="15"/>
      <c r="F1244" s="74"/>
      <c r="G1244" s="74"/>
      <c r="H1244" s="74"/>
      <c r="I1244" s="74"/>
      <c r="J1244" s="74"/>
      <c r="K1244" s="15"/>
      <c r="L1244" s="15"/>
      <c r="M1244" s="15"/>
      <c r="N1244" s="15"/>
      <c r="O1244" s="15"/>
      <c r="P1244" s="15"/>
      <c r="Q1244" s="15"/>
      <c r="R1244" s="15"/>
    </row>
    <row r="1245">
      <c r="A1245" s="15"/>
      <c r="B1245" s="15"/>
      <c r="C1245" s="15"/>
      <c r="D1245" s="15"/>
      <c r="E1245" s="15"/>
      <c r="F1245" s="74"/>
      <c r="G1245" s="74"/>
      <c r="H1245" s="74"/>
      <c r="I1245" s="74"/>
      <c r="J1245" s="74"/>
      <c r="K1245" s="15"/>
      <c r="L1245" s="15"/>
      <c r="M1245" s="15"/>
      <c r="N1245" s="15"/>
      <c r="O1245" s="15"/>
      <c r="P1245" s="15"/>
      <c r="Q1245" s="15"/>
      <c r="R1245" s="15"/>
    </row>
    <row r="1246">
      <c r="A1246" s="15"/>
      <c r="B1246" s="15"/>
      <c r="C1246" s="15"/>
      <c r="D1246" s="15"/>
      <c r="E1246" s="15"/>
      <c r="F1246" s="74"/>
      <c r="G1246" s="74"/>
      <c r="H1246" s="74"/>
      <c r="I1246" s="74"/>
      <c r="J1246" s="74"/>
      <c r="K1246" s="15"/>
      <c r="L1246" s="15"/>
      <c r="M1246" s="15"/>
      <c r="N1246" s="15"/>
      <c r="O1246" s="15"/>
      <c r="P1246" s="15"/>
      <c r="Q1246" s="15"/>
      <c r="R1246" s="15"/>
    </row>
    <row r="1247">
      <c r="A1247" s="15"/>
      <c r="B1247" s="15"/>
      <c r="C1247" s="15"/>
      <c r="D1247" s="15"/>
      <c r="E1247" s="15"/>
      <c r="F1247" s="74"/>
      <c r="G1247" s="74"/>
      <c r="H1247" s="74"/>
      <c r="I1247" s="74"/>
      <c r="J1247" s="74"/>
      <c r="K1247" s="15"/>
      <c r="L1247" s="15"/>
      <c r="M1247" s="15"/>
      <c r="N1247" s="15"/>
      <c r="O1247" s="15"/>
      <c r="P1247" s="15"/>
      <c r="Q1247" s="15"/>
      <c r="R1247" s="15"/>
    </row>
    <row r="1248">
      <c r="A1248" s="15"/>
      <c r="B1248" s="15"/>
      <c r="C1248" s="15"/>
      <c r="D1248" s="15"/>
      <c r="E1248" s="15"/>
      <c r="F1248" s="74"/>
      <c r="G1248" s="74"/>
      <c r="H1248" s="74"/>
      <c r="I1248" s="74"/>
      <c r="J1248" s="74"/>
      <c r="K1248" s="15"/>
      <c r="L1248" s="15"/>
      <c r="M1248" s="15"/>
      <c r="N1248" s="15"/>
      <c r="O1248" s="15"/>
      <c r="P1248" s="15"/>
      <c r="Q1248" s="15"/>
      <c r="R1248" s="15"/>
    </row>
    <row r="1249">
      <c r="A1249" s="15"/>
      <c r="B1249" s="15"/>
      <c r="C1249" s="15"/>
      <c r="D1249" s="15"/>
      <c r="E1249" s="15"/>
      <c r="F1249" s="74"/>
      <c r="G1249" s="74"/>
      <c r="H1249" s="74"/>
      <c r="I1249" s="74"/>
      <c r="J1249" s="74"/>
      <c r="K1249" s="15"/>
      <c r="L1249" s="15"/>
      <c r="M1249" s="15"/>
      <c r="N1249" s="15"/>
      <c r="O1249" s="15"/>
      <c r="P1249" s="15"/>
      <c r="Q1249" s="15"/>
      <c r="R1249" s="15"/>
    </row>
    <row r="1250">
      <c r="A1250" s="15"/>
      <c r="B1250" s="15"/>
      <c r="C1250" s="15"/>
      <c r="D1250" s="15"/>
      <c r="E1250" s="15"/>
      <c r="F1250" s="74"/>
      <c r="G1250" s="74"/>
      <c r="H1250" s="74"/>
      <c r="I1250" s="74"/>
      <c r="J1250" s="74"/>
      <c r="K1250" s="15"/>
      <c r="L1250" s="15"/>
      <c r="M1250" s="15"/>
      <c r="N1250" s="15"/>
      <c r="O1250" s="15"/>
      <c r="P1250" s="15"/>
      <c r="Q1250" s="15"/>
      <c r="R1250" s="15"/>
    </row>
    <row r="1251">
      <c r="A1251" s="15"/>
      <c r="B1251" s="15"/>
      <c r="C1251" s="15"/>
      <c r="D1251" s="15"/>
      <c r="E1251" s="15"/>
      <c r="F1251" s="74"/>
      <c r="G1251" s="74"/>
      <c r="H1251" s="74"/>
      <c r="I1251" s="74"/>
      <c r="J1251" s="74"/>
      <c r="K1251" s="15"/>
      <c r="L1251" s="15"/>
      <c r="M1251" s="15"/>
      <c r="N1251" s="15"/>
      <c r="O1251" s="15"/>
      <c r="P1251" s="15"/>
      <c r="Q1251" s="15"/>
      <c r="R1251" s="15"/>
    </row>
    <row r="1252">
      <c r="A1252" s="15"/>
      <c r="B1252" s="15"/>
      <c r="C1252" s="15"/>
      <c r="D1252" s="15"/>
      <c r="E1252" s="15"/>
      <c r="F1252" s="74"/>
      <c r="G1252" s="74"/>
      <c r="H1252" s="74"/>
      <c r="I1252" s="74"/>
      <c r="J1252" s="74"/>
      <c r="K1252" s="15"/>
      <c r="L1252" s="15"/>
      <c r="M1252" s="15"/>
      <c r="N1252" s="15"/>
      <c r="O1252" s="15"/>
      <c r="P1252" s="15"/>
      <c r="Q1252" s="15"/>
      <c r="R1252" s="15"/>
    </row>
    <row r="1253">
      <c r="A1253" s="15"/>
      <c r="B1253" s="15"/>
      <c r="C1253" s="15"/>
      <c r="D1253" s="15"/>
      <c r="E1253" s="15"/>
      <c r="F1253" s="74"/>
      <c r="G1253" s="74"/>
      <c r="H1253" s="74"/>
      <c r="I1253" s="74"/>
      <c r="J1253" s="74"/>
      <c r="K1253" s="15"/>
      <c r="L1253" s="15"/>
      <c r="M1253" s="15"/>
      <c r="N1253" s="15"/>
      <c r="O1253" s="15"/>
      <c r="P1253" s="15"/>
      <c r="Q1253" s="15"/>
      <c r="R1253" s="15"/>
    </row>
    <row r="1254">
      <c r="A1254" s="15"/>
      <c r="B1254" s="15"/>
      <c r="C1254" s="15"/>
      <c r="D1254" s="15"/>
      <c r="E1254" s="15"/>
      <c r="F1254" s="74"/>
      <c r="G1254" s="74"/>
      <c r="H1254" s="74"/>
      <c r="I1254" s="74"/>
      <c r="J1254" s="74"/>
      <c r="K1254" s="15"/>
      <c r="L1254" s="15"/>
      <c r="M1254" s="15"/>
      <c r="N1254" s="15"/>
      <c r="O1254" s="15"/>
      <c r="P1254" s="15"/>
      <c r="Q1254" s="15"/>
      <c r="R1254" s="15"/>
    </row>
    <row r="1255">
      <c r="A1255" s="15"/>
      <c r="B1255" s="15"/>
      <c r="C1255" s="15"/>
      <c r="D1255" s="15"/>
      <c r="E1255" s="15"/>
      <c r="F1255" s="74"/>
      <c r="G1255" s="74"/>
      <c r="H1255" s="74"/>
      <c r="I1255" s="74"/>
      <c r="J1255" s="74"/>
      <c r="K1255" s="15"/>
      <c r="L1255" s="15"/>
      <c r="M1255" s="15"/>
      <c r="N1255" s="15"/>
      <c r="O1255" s="15"/>
      <c r="P1255" s="15"/>
      <c r="Q1255" s="15"/>
      <c r="R1255" s="15"/>
    </row>
    <row r="1256">
      <c r="A1256" s="15"/>
      <c r="B1256" s="15"/>
      <c r="C1256" s="15"/>
      <c r="D1256" s="15"/>
      <c r="E1256" s="15"/>
      <c r="F1256" s="74"/>
      <c r="G1256" s="74"/>
      <c r="H1256" s="74"/>
      <c r="I1256" s="74"/>
      <c r="J1256" s="74"/>
      <c r="K1256" s="15"/>
      <c r="L1256" s="15"/>
      <c r="M1256" s="15"/>
      <c r="N1256" s="15"/>
      <c r="O1256" s="15"/>
      <c r="P1256" s="15"/>
      <c r="Q1256" s="15"/>
      <c r="R1256" s="15"/>
    </row>
    <row r="1257">
      <c r="A1257" s="15"/>
      <c r="B1257" s="15"/>
      <c r="C1257" s="15"/>
      <c r="D1257" s="15"/>
      <c r="E1257" s="15"/>
      <c r="F1257" s="74"/>
      <c r="G1257" s="74"/>
      <c r="H1257" s="74"/>
      <c r="I1257" s="74"/>
      <c r="J1257" s="74"/>
      <c r="K1257" s="15"/>
      <c r="L1257" s="15"/>
      <c r="M1257" s="15"/>
      <c r="N1257" s="15"/>
      <c r="O1257" s="15"/>
      <c r="P1257" s="15"/>
      <c r="Q1257" s="15"/>
      <c r="R1257" s="15"/>
    </row>
    <row r="1258">
      <c r="A1258" s="15"/>
      <c r="B1258" s="15"/>
      <c r="C1258" s="15"/>
      <c r="D1258" s="15"/>
      <c r="E1258" s="15"/>
      <c r="F1258" s="74"/>
      <c r="G1258" s="74"/>
      <c r="H1258" s="74"/>
      <c r="I1258" s="74"/>
      <c r="J1258" s="74"/>
      <c r="K1258" s="15"/>
      <c r="L1258" s="15"/>
      <c r="M1258" s="15"/>
      <c r="N1258" s="15"/>
      <c r="O1258" s="15"/>
      <c r="P1258" s="15"/>
      <c r="Q1258" s="15"/>
      <c r="R1258" s="15"/>
    </row>
    <row r="1259">
      <c r="A1259" s="15"/>
      <c r="B1259" s="15"/>
      <c r="C1259" s="15"/>
      <c r="D1259" s="15"/>
      <c r="E1259" s="15"/>
      <c r="F1259" s="74"/>
      <c r="G1259" s="74"/>
      <c r="H1259" s="74"/>
      <c r="I1259" s="74"/>
      <c r="J1259" s="74"/>
      <c r="K1259" s="15"/>
      <c r="L1259" s="15"/>
      <c r="M1259" s="15"/>
      <c r="N1259" s="15"/>
      <c r="O1259" s="15"/>
      <c r="P1259" s="15"/>
      <c r="Q1259" s="15"/>
      <c r="R1259" s="15"/>
    </row>
    <row r="1260">
      <c r="A1260" s="15"/>
      <c r="B1260" s="15"/>
      <c r="C1260" s="15"/>
      <c r="D1260" s="15"/>
      <c r="E1260" s="15"/>
      <c r="F1260" s="74"/>
      <c r="G1260" s="74"/>
      <c r="H1260" s="74"/>
      <c r="I1260" s="74"/>
      <c r="J1260" s="74"/>
      <c r="K1260" s="15"/>
      <c r="L1260" s="15"/>
      <c r="M1260" s="15"/>
      <c r="N1260" s="15"/>
      <c r="O1260" s="15"/>
      <c r="P1260" s="15"/>
      <c r="Q1260" s="15"/>
      <c r="R1260" s="15"/>
    </row>
    <row r="1261">
      <c r="A1261" s="15"/>
      <c r="B1261" s="15"/>
      <c r="C1261" s="15"/>
      <c r="D1261" s="15"/>
      <c r="E1261" s="15"/>
      <c r="F1261" s="74"/>
      <c r="G1261" s="74"/>
      <c r="H1261" s="74"/>
      <c r="I1261" s="74"/>
      <c r="J1261" s="74"/>
      <c r="K1261" s="15"/>
      <c r="L1261" s="15"/>
      <c r="M1261" s="15"/>
      <c r="N1261" s="15"/>
      <c r="O1261" s="15"/>
      <c r="P1261" s="15"/>
      <c r="Q1261" s="15"/>
      <c r="R1261" s="15"/>
    </row>
    <row r="1262">
      <c r="A1262" s="15"/>
      <c r="B1262" s="15"/>
      <c r="C1262" s="15"/>
      <c r="D1262" s="15"/>
      <c r="E1262" s="15"/>
      <c r="F1262" s="74"/>
      <c r="G1262" s="74"/>
      <c r="H1262" s="74"/>
      <c r="I1262" s="74"/>
      <c r="J1262" s="74"/>
      <c r="K1262" s="15"/>
      <c r="L1262" s="15"/>
      <c r="M1262" s="15"/>
      <c r="N1262" s="15"/>
      <c r="O1262" s="15"/>
      <c r="P1262" s="15"/>
      <c r="Q1262" s="15"/>
      <c r="R1262" s="15"/>
    </row>
    <row r="1263">
      <c r="A1263" s="15"/>
      <c r="B1263" s="15"/>
      <c r="C1263" s="15"/>
      <c r="D1263" s="15"/>
      <c r="E1263" s="15"/>
      <c r="F1263" s="74"/>
      <c r="G1263" s="74"/>
      <c r="H1263" s="74"/>
      <c r="I1263" s="74"/>
      <c r="J1263" s="74"/>
      <c r="K1263" s="15"/>
      <c r="L1263" s="15"/>
      <c r="M1263" s="15"/>
      <c r="N1263" s="15"/>
      <c r="O1263" s="15"/>
      <c r="P1263" s="15"/>
      <c r="Q1263" s="15"/>
      <c r="R1263" s="15"/>
    </row>
    <row r="1264">
      <c r="A1264" s="15"/>
      <c r="B1264" s="15"/>
      <c r="C1264" s="15"/>
      <c r="D1264" s="15"/>
      <c r="E1264" s="15"/>
      <c r="F1264" s="74"/>
      <c r="G1264" s="74"/>
      <c r="H1264" s="74"/>
      <c r="I1264" s="74"/>
      <c r="J1264" s="74"/>
      <c r="K1264" s="15"/>
      <c r="L1264" s="15"/>
      <c r="M1264" s="15"/>
      <c r="N1264" s="15"/>
      <c r="O1264" s="15"/>
      <c r="P1264" s="15"/>
      <c r="Q1264" s="15"/>
      <c r="R1264" s="15"/>
    </row>
    <row r="1265">
      <c r="A1265" s="15"/>
      <c r="B1265" s="15"/>
      <c r="C1265" s="15"/>
      <c r="D1265" s="15"/>
      <c r="E1265" s="15"/>
      <c r="F1265" s="74"/>
      <c r="G1265" s="74"/>
      <c r="H1265" s="74"/>
      <c r="I1265" s="74"/>
      <c r="J1265" s="74"/>
      <c r="K1265" s="15"/>
      <c r="L1265" s="15"/>
      <c r="M1265" s="15"/>
      <c r="N1265" s="15"/>
      <c r="O1265" s="15"/>
      <c r="P1265" s="15"/>
      <c r="Q1265" s="15"/>
      <c r="R1265" s="15"/>
    </row>
    <row r="1266">
      <c r="A1266" s="15"/>
      <c r="B1266" s="15"/>
      <c r="C1266" s="15"/>
      <c r="D1266" s="15"/>
      <c r="E1266" s="15"/>
      <c r="F1266" s="74"/>
      <c r="G1266" s="74"/>
      <c r="H1266" s="74"/>
      <c r="I1266" s="74"/>
      <c r="J1266" s="74"/>
      <c r="K1266" s="15"/>
      <c r="L1266" s="15"/>
      <c r="M1266" s="15"/>
      <c r="N1266" s="15"/>
      <c r="O1266" s="15"/>
      <c r="P1266" s="15"/>
      <c r="Q1266" s="15"/>
      <c r="R1266" s="15"/>
    </row>
    <row r="1267">
      <c r="A1267" s="15"/>
      <c r="B1267" s="15"/>
      <c r="C1267" s="15"/>
      <c r="D1267" s="15"/>
      <c r="E1267" s="15"/>
      <c r="F1267" s="74"/>
      <c r="G1267" s="74"/>
      <c r="H1267" s="74"/>
      <c r="I1267" s="74"/>
      <c r="J1267" s="74"/>
      <c r="K1267" s="15"/>
      <c r="L1267" s="15"/>
      <c r="M1267" s="15"/>
      <c r="N1267" s="15"/>
      <c r="O1267" s="15"/>
      <c r="P1267" s="15"/>
      <c r="Q1267" s="15"/>
      <c r="R1267" s="15"/>
    </row>
    <row r="1268">
      <c r="A1268" s="15"/>
      <c r="B1268" s="15"/>
      <c r="C1268" s="15"/>
      <c r="D1268" s="15"/>
      <c r="E1268" s="15"/>
      <c r="F1268" s="74"/>
      <c r="G1268" s="74"/>
      <c r="H1268" s="74"/>
      <c r="I1268" s="74"/>
      <c r="J1268" s="74"/>
      <c r="K1268" s="15"/>
      <c r="L1268" s="15"/>
      <c r="M1268" s="15"/>
      <c r="N1268" s="15"/>
      <c r="O1268" s="15"/>
      <c r="P1268" s="15"/>
      <c r="Q1268" s="15"/>
      <c r="R1268" s="15"/>
    </row>
    <row r="1269">
      <c r="A1269" s="15"/>
      <c r="B1269" s="15"/>
      <c r="C1269" s="15"/>
      <c r="D1269" s="15"/>
      <c r="E1269" s="15"/>
      <c r="F1269" s="74"/>
      <c r="G1269" s="74"/>
      <c r="H1269" s="74"/>
      <c r="I1269" s="74"/>
      <c r="J1269" s="74"/>
      <c r="K1269" s="15"/>
      <c r="L1269" s="15"/>
      <c r="M1269" s="15"/>
      <c r="N1269" s="15"/>
      <c r="O1269" s="15"/>
      <c r="P1269" s="15"/>
      <c r="Q1269" s="15"/>
      <c r="R1269" s="15"/>
    </row>
    <row r="1270">
      <c r="A1270" s="15"/>
      <c r="B1270" s="15"/>
      <c r="C1270" s="15"/>
      <c r="D1270" s="15"/>
      <c r="E1270" s="15"/>
      <c r="F1270" s="74"/>
      <c r="G1270" s="74"/>
      <c r="H1270" s="74"/>
      <c r="I1270" s="74"/>
      <c r="J1270" s="74"/>
      <c r="K1270" s="15"/>
      <c r="L1270" s="15"/>
      <c r="M1270" s="15"/>
      <c r="N1270" s="15"/>
      <c r="O1270" s="15"/>
      <c r="P1270" s="15"/>
      <c r="Q1270" s="15"/>
      <c r="R1270" s="15"/>
    </row>
    <row r="1271">
      <c r="A1271" s="15"/>
      <c r="B1271" s="15"/>
      <c r="C1271" s="15"/>
      <c r="D1271" s="15"/>
      <c r="E1271" s="15"/>
      <c r="F1271" s="74"/>
      <c r="G1271" s="74"/>
      <c r="H1271" s="74"/>
      <c r="I1271" s="74"/>
      <c r="J1271" s="74"/>
      <c r="K1271" s="15"/>
      <c r="L1271" s="15"/>
      <c r="M1271" s="15"/>
      <c r="N1271" s="15"/>
      <c r="O1271" s="15"/>
      <c r="P1271" s="15"/>
      <c r="Q1271" s="15"/>
      <c r="R1271" s="15"/>
    </row>
    <row r="1272">
      <c r="A1272" s="15"/>
      <c r="B1272" s="15"/>
      <c r="C1272" s="15"/>
      <c r="D1272" s="15"/>
      <c r="E1272" s="15"/>
      <c r="F1272" s="74"/>
      <c r="G1272" s="74"/>
      <c r="H1272" s="74"/>
      <c r="I1272" s="74"/>
      <c r="J1272" s="74"/>
      <c r="K1272" s="15"/>
      <c r="L1272" s="15"/>
      <c r="M1272" s="15"/>
      <c r="N1272" s="15"/>
      <c r="O1272" s="15"/>
      <c r="P1272" s="15"/>
      <c r="Q1272" s="15"/>
      <c r="R1272" s="15"/>
    </row>
    <row r="1273">
      <c r="A1273" s="15"/>
      <c r="B1273" s="15"/>
      <c r="C1273" s="15"/>
      <c r="D1273" s="15"/>
      <c r="E1273" s="15"/>
      <c r="F1273" s="74"/>
      <c r="G1273" s="74"/>
      <c r="H1273" s="74"/>
      <c r="I1273" s="74"/>
      <c r="J1273" s="74"/>
      <c r="K1273" s="15"/>
      <c r="L1273" s="15"/>
      <c r="M1273" s="15"/>
      <c r="N1273" s="15"/>
      <c r="O1273" s="15"/>
      <c r="P1273" s="15"/>
      <c r="Q1273" s="15"/>
      <c r="R1273" s="15"/>
    </row>
    <row r="1274">
      <c r="A1274" s="15"/>
      <c r="B1274" s="15"/>
      <c r="C1274" s="15"/>
      <c r="D1274" s="15"/>
      <c r="E1274" s="15"/>
      <c r="F1274" s="74"/>
      <c r="G1274" s="74"/>
      <c r="H1274" s="74"/>
      <c r="I1274" s="74"/>
      <c r="J1274" s="74"/>
      <c r="K1274" s="15"/>
      <c r="L1274" s="15"/>
      <c r="M1274" s="15"/>
      <c r="N1274" s="15"/>
      <c r="O1274" s="15"/>
      <c r="P1274" s="15"/>
      <c r="Q1274" s="15"/>
      <c r="R1274" s="15"/>
    </row>
    <row r="1275">
      <c r="A1275" s="15"/>
      <c r="B1275" s="15"/>
      <c r="C1275" s="15"/>
      <c r="D1275" s="15"/>
      <c r="E1275" s="15"/>
      <c r="F1275" s="74"/>
      <c r="G1275" s="74"/>
      <c r="H1275" s="74"/>
      <c r="I1275" s="74"/>
      <c r="J1275" s="74"/>
      <c r="K1275" s="15"/>
      <c r="L1275" s="15"/>
      <c r="M1275" s="15"/>
      <c r="N1275" s="15"/>
      <c r="O1275" s="15"/>
      <c r="P1275" s="15"/>
      <c r="Q1275" s="15"/>
      <c r="R1275" s="15"/>
    </row>
    <row r="1276">
      <c r="A1276" s="15"/>
      <c r="B1276" s="15"/>
      <c r="C1276" s="15"/>
      <c r="D1276" s="15"/>
      <c r="E1276" s="15"/>
      <c r="F1276" s="74"/>
      <c r="G1276" s="74"/>
      <c r="H1276" s="74"/>
      <c r="I1276" s="74"/>
      <c r="J1276" s="74"/>
      <c r="K1276" s="15"/>
      <c r="L1276" s="15"/>
      <c r="M1276" s="15"/>
      <c r="N1276" s="15"/>
      <c r="O1276" s="15"/>
      <c r="P1276" s="15"/>
      <c r="Q1276" s="15"/>
      <c r="R1276" s="15"/>
    </row>
    <row r="1277">
      <c r="A1277" s="15"/>
      <c r="B1277" s="15"/>
      <c r="C1277" s="15"/>
      <c r="D1277" s="15"/>
      <c r="E1277" s="15"/>
      <c r="F1277" s="74"/>
      <c r="G1277" s="74"/>
      <c r="H1277" s="74"/>
      <c r="I1277" s="74"/>
      <c r="J1277" s="74"/>
      <c r="K1277" s="15"/>
      <c r="L1277" s="15"/>
      <c r="M1277" s="15"/>
      <c r="N1277" s="15"/>
      <c r="O1277" s="15"/>
      <c r="P1277" s="15"/>
      <c r="Q1277" s="15"/>
      <c r="R1277" s="15"/>
    </row>
    <row r="1278">
      <c r="A1278" s="15"/>
      <c r="B1278" s="15"/>
      <c r="C1278" s="15"/>
      <c r="D1278" s="15"/>
      <c r="E1278" s="15"/>
      <c r="F1278" s="74"/>
      <c r="G1278" s="74"/>
      <c r="H1278" s="74"/>
      <c r="I1278" s="74"/>
      <c r="J1278" s="74"/>
      <c r="K1278" s="15"/>
      <c r="L1278" s="15"/>
      <c r="M1278" s="15"/>
      <c r="N1278" s="15"/>
      <c r="O1278" s="15"/>
      <c r="P1278" s="15"/>
      <c r="Q1278" s="15"/>
      <c r="R1278" s="15"/>
    </row>
    <row r="1279">
      <c r="A1279" s="15"/>
      <c r="B1279" s="15"/>
      <c r="C1279" s="15"/>
      <c r="D1279" s="15"/>
      <c r="E1279" s="15"/>
      <c r="F1279" s="74"/>
      <c r="G1279" s="74"/>
      <c r="H1279" s="74"/>
      <c r="I1279" s="74"/>
      <c r="J1279" s="74"/>
      <c r="K1279" s="15"/>
      <c r="L1279" s="15"/>
      <c r="M1279" s="15"/>
      <c r="N1279" s="15"/>
      <c r="O1279" s="15"/>
      <c r="P1279" s="15"/>
      <c r="Q1279" s="15"/>
      <c r="R1279" s="15"/>
    </row>
    <row r="1280">
      <c r="A1280" s="15"/>
      <c r="B1280" s="15"/>
      <c r="C1280" s="15"/>
      <c r="D1280" s="15"/>
      <c r="E1280" s="15"/>
      <c r="F1280" s="74"/>
      <c r="G1280" s="74"/>
      <c r="H1280" s="74"/>
      <c r="I1280" s="74"/>
      <c r="J1280" s="74"/>
      <c r="K1280" s="15"/>
      <c r="L1280" s="15"/>
      <c r="M1280" s="15"/>
      <c r="N1280" s="15"/>
      <c r="O1280" s="15"/>
      <c r="P1280" s="15"/>
      <c r="Q1280" s="15"/>
      <c r="R1280" s="15"/>
    </row>
    <row r="1281">
      <c r="A1281" s="15"/>
      <c r="B1281" s="15"/>
      <c r="C1281" s="15"/>
      <c r="D1281" s="15"/>
      <c r="E1281" s="15"/>
      <c r="F1281" s="74"/>
      <c r="G1281" s="74"/>
      <c r="H1281" s="74"/>
      <c r="I1281" s="74"/>
      <c r="J1281" s="74"/>
      <c r="K1281" s="15"/>
      <c r="L1281" s="15"/>
      <c r="M1281" s="15"/>
      <c r="N1281" s="15"/>
      <c r="O1281" s="15"/>
      <c r="P1281" s="15"/>
      <c r="Q1281" s="15"/>
      <c r="R1281" s="15"/>
    </row>
    <row r="1282">
      <c r="A1282" s="15"/>
      <c r="B1282" s="15"/>
      <c r="C1282" s="15"/>
      <c r="D1282" s="15"/>
      <c r="E1282" s="15"/>
      <c r="F1282" s="74"/>
      <c r="G1282" s="74"/>
      <c r="H1282" s="74"/>
      <c r="I1282" s="74"/>
      <c r="J1282" s="74"/>
      <c r="K1282" s="15"/>
      <c r="L1282" s="15"/>
      <c r="M1282" s="15"/>
      <c r="N1282" s="15"/>
      <c r="O1282" s="15"/>
      <c r="P1282" s="15"/>
      <c r="Q1282" s="15"/>
      <c r="R1282" s="15"/>
    </row>
    <row r="1283">
      <c r="A1283" s="15"/>
      <c r="B1283" s="15"/>
      <c r="C1283" s="15"/>
      <c r="D1283" s="15"/>
      <c r="E1283" s="15"/>
      <c r="F1283" s="74"/>
      <c r="G1283" s="74"/>
      <c r="H1283" s="74"/>
      <c r="I1283" s="74"/>
      <c r="J1283" s="74"/>
      <c r="K1283" s="15"/>
      <c r="L1283" s="15"/>
      <c r="M1283" s="15"/>
      <c r="N1283" s="15"/>
      <c r="O1283" s="15"/>
      <c r="P1283" s="15"/>
      <c r="Q1283" s="15"/>
      <c r="R1283" s="15"/>
    </row>
    <row r="1284">
      <c r="A1284" s="15"/>
      <c r="B1284" s="15"/>
      <c r="C1284" s="15"/>
      <c r="D1284" s="15"/>
      <c r="E1284" s="15"/>
      <c r="F1284" s="74"/>
      <c r="G1284" s="74"/>
      <c r="H1284" s="74"/>
      <c r="I1284" s="74"/>
      <c r="J1284" s="74"/>
      <c r="K1284" s="15"/>
      <c r="L1284" s="15"/>
      <c r="M1284" s="15"/>
      <c r="N1284" s="15"/>
      <c r="O1284" s="15"/>
      <c r="P1284" s="15"/>
      <c r="Q1284" s="15"/>
      <c r="R1284" s="15"/>
    </row>
    <row r="1285">
      <c r="A1285" s="15"/>
      <c r="B1285" s="15"/>
      <c r="C1285" s="15"/>
      <c r="D1285" s="15"/>
      <c r="E1285" s="15"/>
      <c r="F1285" s="74"/>
      <c r="G1285" s="74"/>
      <c r="H1285" s="74"/>
      <c r="I1285" s="74"/>
      <c r="J1285" s="74"/>
      <c r="K1285" s="15"/>
      <c r="L1285" s="15"/>
      <c r="M1285" s="15"/>
      <c r="N1285" s="15"/>
      <c r="O1285" s="15"/>
      <c r="P1285" s="15"/>
      <c r="Q1285" s="15"/>
      <c r="R1285" s="15"/>
    </row>
    <row r="1286">
      <c r="A1286" s="15"/>
      <c r="B1286" s="15"/>
      <c r="C1286" s="15"/>
      <c r="D1286" s="15"/>
      <c r="E1286" s="15"/>
      <c r="F1286" s="74"/>
      <c r="G1286" s="74"/>
      <c r="H1286" s="74"/>
      <c r="I1286" s="74"/>
      <c r="J1286" s="74"/>
      <c r="K1286" s="15"/>
      <c r="L1286" s="15"/>
      <c r="M1286" s="15"/>
      <c r="N1286" s="15"/>
      <c r="O1286" s="15"/>
      <c r="P1286" s="15"/>
      <c r="Q1286" s="15"/>
      <c r="R1286" s="15"/>
    </row>
    <row r="1287">
      <c r="A1287" s="15"/>
      <c r="B1287" s="15"/>
      <c r="C1287" s="15"/>
      <c r="D1287" s="15"/>
      <c r="E1287" s="15"/>
      <c r="F1287" s="74"/>
      <c r="G1287" s="74"/>
      <c r="H1287" s="74"/>
      <c r="I1287" s="74"/>
      <c r="J1287" s="74"/>
      <c r="K1287" s="15"/>
      <c r="L1287" s="15"/>
      <c r="M1287" s="15"/>
      <c r="N1287" s="15"/>
      <c r="O1287" s="15"/>
      <c r="P1287" s="15"/>
      <c r="Q1287" s="15"/>
      <c r="R1287" s="15"/>
    </row>
    <row r="1288">
      <c r="A1288" s="15"/>
      <c r="B1288" s="15"/>
      <c r="C1288" s="15"/>
      <c r="D1288" s="15"/>
      <c r="E1288" s="15"/>
      <c r="F1288" s="74"/>
      <c r="G1288" s="74"/>
      <c r="H1288" s="74"/>
      <c r="I1288" s="74"/>
      <c r="J1288" s="74"/>
      <c r="K1288" s="15"/>
      <c r="L1288" s="15"/>
      <c r="M1288" s="15"/>
      <c r="N1288" s="15"/>
      <c r="O1288" s="15"/>
      <c r="P1288" s="15"/>
      <c r="Q1288" s="15"/>
      <c r="R1288" s="15"/>
    </row>
    <row r="1289">
      <c r="A1289" s="15"/>
      <c r="B1289" s="15"/>
      <c r="C1289" s="15"/>
      <c r="D1289" s="15"/>
      <c r="E1289" s="15"/>
      <c r="F1289" s="74"/>
      <c r="G1289" s="74"/>
      <c r="H1289" s="74"/>
      <c r="I1289" s="74"/>
      <c r="J1289" s="74"/>
      <c r="K1289" s="15"/>
      <c r="L1289" s="15"/>
      <c r="M1289" s="15"/>
      <c r="N1289" s="15"/>
      <c r="O1289" s="15"/>
      <c r="P1289" s="15"/>
      <c r="Q1289" s="15"/>
      <c r="R1289" s="15"/>
    </row>
    <row r="1290">
      <c r="A1290" s="15"/>
      <c r="B1290" s="15"/>
      <c r="C1290" s="15"/>
      <c r="D1290" s="15"/>
      <c r="E1290" s="15"/>
      <c r="F1290" s="74"/>
      <c r="G1290" s="74"/>
      <c r="H1290" s="74"/>
      <c r="I1290" s="74"/>
      <c r="J1290" s="74"/>
      <c r="K1290" s="15"/>
      <c r="L1290" s="15"/>
      <c r="M1290" s="15"/>
      <c r="N1290" s="15"/>
      <c r="O1290" s="15"/>
      <c r="P1290" s="15"/>
      <c r="Q1290" s="15"/>
      <c r="R1290" s="15"/>
    </row>
    <row r="1291">
      <c r="A1291" s="15"/>
      <c r="B1291" s="15"/>
      <c r="C1291" s="15"/>
      <c r="D1291" s="15"/>
      <c r="E1291" s="15"/>
      <c r="F1291" s="74"/>
      <c r="G1291" s="74"/>
      <c r="H1291" s="74"/>
      <c r="I1291" s="74"/>
      <c r="J1291" s="74"/>
      <c r="K1291" s="15"/>
      <c r="L1291" s="15"/>
      <c r="M1291" s="15"/>
      <c r="N1291" s="15"/>
      <c r="O1291" s="15"/>
      <c r="P1291" s="15"/>
      <c r="Q1291" s="15"/>
      <c r="R1291" s="15"/>
    </row>
    <row r="1292">
      <c r="A1292" s="15"/>
      <c r="B1292" s="15"/>
      <c r="C1292" s="15"/>
      <c r="D1292" s="15"/>
      <c r="E1292" s="15"/>
      <c r="F1292" s="74"/>
      <c r="G1292" s="74"/>
      <c r="H1292" s="74"/>
      <c r="I1292" s="74"/>
      <c r="J1292" s="74"/>
      <c r="K1292" s="15"/>
      <c r="L1292" s="15"/>
      <c r="M1292" s="15"/>
      <c r="N1292" s="15"/>
      <c r="O1292" s="15"/>
      <c r="P1292" s="15"/>
      <c r="Q1292" s="15"/>
      <c r="R1292" s="15"/>
    </row>
    <row r="1293">
      <c r="A1293" s="15"/>
      <c r="B1293" s="15"/>
      <c r="C1293" s="15"/>
      <c r="D1293" s="15"/>
      <c r="E1293" s="15"/>
      <c r="F1293" s="74"/>
      <c r="G1293" s="74"/>
      <c r="H1293" s="74"/>
      <c r="I1293" s="74"/>
      <c r="J1293" s="74"/>
      <c r="K1293" s="15"/>
      <c r="L1293" s="15"/>
      <c r="M1293" s="15"/>
      <c r="N1293" s="15"/>
      <c r="O1293" s="15"/>
      <c r="P1293" s="15"/>
      <c r="Q1293" s="15"/>
      <c r="R1293" s="15"/>
    </row>
    <row r="1294">
      <c r="A1294" s="15"/>
      <c r="B1294" s="15"/>
      <c r="C1294" s="15"/>
      <c r="D1294" s="15"/>
      <c r="E1294" s="15"/>
      <c r="F1294" s="74"/>
      <c r="G1294" s="74"/>
      <c r="H1294" s="74"/>
      <c r="I1294" s="74"/>
      <c r="J1294" s="74"/>
      <c r="K1294" s="15"/>
      <c r="L1294" s="15"/>
      <c r="M1294" s="15"/>
      <c r="N1294" s="15"/>
      <c r="O1294" s="15"/>
      <c r="P1294" s="15"/>
      <c r="Q1294" s="15"/>
      <c r="R1294" s="15"/>
    </row>
    <row r="1295">
      <c r="A1295" s="15"/>
      <c r="B1295" s="15"/>
      <c r="C1295" s="15"/>
      <c r="D1295" s="15"/>
      <c r="E1295" s="15"/>
      <c r="F1295" s="74"/>
      <c r="G1295" s="74"/>
      <c r="H1295" s="74"/>
      <c r="I1295" s="74"/>
      <c r="J1295" s="74"/>
      <c r="K1295" s="15"/>
      <c r="L1295" s="15"/>
      <c r="M1295" s="15"/>
      <c r="N1295" s="15"/>
      <c r="O1295" s="15"/>
      <c r="P1295" s="15"/>
      <c r="Q1295" s="15"/>
      <c r="R1295" s="15"/>
    </row>
    <row r="1296">
      <c r="A1296" s="15"/>
      <c r="B1296" s="15"/>
      <c r="C1296" s="15"/>
      <c r="D1296" s="15"/>
      <c r="E1296" s="15"/>
      <c r="F1296" s="74"/>
      <c r="G1296" s="74"/>
      <c r="H1296" s="74"/>
      <c r="I1296" s="74"/>
      <c r="J1296" s="74"/>
      <c r="K1296" s="15"/>
      <c r="L1296" s="15"/>
      <c r="M1296" s="15"/>
      <c r="N1296" s="15"/>
      <c r="O1296" s="15"/>
      <c r="P1296" s="15"/>
      <c r="Q1296" s="15"/>
      <c r="R1296" s="15"/>
    </row>
    <row r="1297">
      <c r="A1297" s="15"/>
      <c r="B1297" s="15"/>
      <c r="C1297" s="15"/>
      <c r="D1297" s="15"/>
      <c r="E1297" s="15"/>
      <c r="F1297" s="74"/>
      <c r="G1297" s="74"/>
      <c r="H1297" s="74"/>
      <c r="I1297" s="74"/>
      <c r="J1297" s="74"/>
      <c r="K1297" s="15"/>
      <c r="L1297" s="15"/>
      <c r="M1297" s="15"/>
      <c r="N1297" s="15"/>
      <c r="O1297" s="15"/>
      <c r="P1297" s="15"/>
      <c r="Q1297" s="15"/>
      <c r="R1297" s="15"/>
    </row>
    <row r="1298">
      <c r="A1298" s="15"/>
      <c r="B1298" s="15"/>
      <c r="C1298" s="15"/>
      <c r="D1298" s="15"/>
      <c r="E1298" s="15"/>
      <c r="F1298" s="74"/>
      <c r="G1298" s="74"/>
      <c r="H1298" s="74"/>
      <c r="I1298" s="74"/>
      <c r="J1298" s="74"/>
      <c r="K1298" s="15"/>
      <c r="L1298" s="15"/>
      <c r="M1298" s="15"/>
      <c r="N1298" s="15"/>
      <c r="O1298" s="15"/>
      <c r="P1298" s="15"/>
      <c r="Q1298" s="15"/>
      <c r="R1298" s="15"/>
    </row>
    <row r="1299">
      <c r="A1299" s="15"/>
      <c r="B1299" s="15"/>
      <c r="C1299" s="15"/>
      <c r="D1299" s="15"/>
      <c r="E1299" s="15"/>
      <c r="F1299" s="74"/>
      <c r="G1299" s="74"/>
      <c r="H1299" s="74"/>
      <c r="I1299" s="74"/>
      <c r="J1299" s="74"/>
      <c r="K1299" s="15"/>
      <c r="L1299" s="15"/>
      <c r="M1299" s="15"/>
      <c r="N1299" s="15"/>
      <c r="O1299" s="15"/>
      <c r="P1299" s="15"/>
      <c r="Q1299" s="15"/>
      <c r="R1299" s="15"/>
    </row>
    <row r="1300">
      <c r="A1300" s="15"/>
      <c r="B1300" s="15"/>
      <c r="C1300" s="15"/>
      <c r="D1300" s="15"/>
      <c r="E1300" s="15"/>
      <c r="F1300" s="74"/>
      <c r="G1300" s="74"/>
      <c r="H1300" s="74"/>
      <c r="I1300" s="74"/>
      <c r="J1300" s="74"/>
      <c r="K1300" s="15"/>
      <c r="L1300" s="15"/>
      <c r="M1300" s="15"/>
      <c r="N1300" s="15"/>
      <c r="O1300" s="15"/>
      <c r="P1300" s="15"/>
      <c r="Q1300" s="15"/>
      <c r="R1300" s="15"/>
    </row>
    <row r="1301">
      <c r="A1301" s="15"/>
      <c r="B1301" s="15"/>
      <c r="C1301" s="15"/>
      <c r="D1301" s="15"/>
      <c r="E1301" s="15"/>
      <c r="F1301" s="74"/>
      <c r="G1301" s="74"/>
      <c r="H1301" s="74"/>
      <c r="I1301" s="74"/>
      <c r="J1301" s="74"/>
      <c r="K1301" s="15"/>
      <c r="L1301" s="15"/>
      <c r="M1301" s="15"/>
      <c r="N1301" s="15"/>
      <c r="O1301" s="15"/>
      <c r="P1301" s="15"/>
      <c r="Q1301" s="15"/>
      <c r="R1301" s="15"/>
    </row>
    <row r="1302">
      <c r="A1302" s="15"/>
      <c r="B1302" s="15"/>
      <c r="C1302" s="15"/>
      <c r="D1302" s="15"/>
      <c r="E1302" s="15"/>
      <c r="F1302" s="74"/>
      <c r="G1302" s="74"/>
      <c r="H1302" s="74"/>
      <c r="I1302" s="74"/>
      <c r="J1302" s="74"/>
      <c r="K1302" s="15"/>
      <c r="L1302" s="15"/>
      <c r="M1302" s="15"/>
      <c r="N1302" s="15"/>
      <c r="O1302" s="15"/>
      <c r="P1302" s="15"/>
      <c r="Q1302" s="15"/>
      <c r="R1302" s="15"/>
    </row>
    <row r="1303">
      <c r="A1303" s="15"/>
      <c r="B1303" s="15"/>
      <c r="C1303" s="15"/>
      <c r="D1303" s="15"/>
      <c r="E1303" s="15"/>
      <c r="F1303" s="74"/>
      <c r="G1303" s="74"/>
      <c r="H1303" s="74"/>
      <c r="I1303" s="74"/>
      <c r="J1303" s="74"/>
      <c r="K1303" s="15"/>
      <c r="L1303" s="15"/>
      <c r="M1303" s="15"/>
      <c r="N1303" s="15"/>
      <c r="O1303" s="15"/>
      <c r="P1303" s="15"/>
      <c r="Q1303" s="15"/>
      <c r="R1303" s="15"/>
    </row>
    <row r="1304">
      <c r="A1304" s="15"/>
      <c r="B1304" s="15"/>
      <c r="C1304" s="15"/>
      <c r="D1304" s="15"/>
      <c r="E1304" s="15"/>
      <c r="F1304" s="74"/>
      <c r="G1304" s="74"/>
      <c r="H1304" s="74"/>
      <c r="I1304" s="74"/>
      <c r="J1304" s="74"/>
      <c r="K1304" s="15"/>
      <c r="L1304" s="15"/>
      <c r="M1304" s="15"/>
      <c r="N1304" s="15"/>
      <c r="O1304" s="15"/>
      <c r="P1304" s="15"/>
      <c r="Q1304" s="15"/>
      <c r="R1304" s="15"/>
    </row>
    <row r="1305">
      <c r="A1305" s="15"/>
      <c r="B1305" s="15"/>
      <c r="C1305" s="15"/>
      <c r="D1305" s="15"/>
      <c r="E1305" s="15"/>
      <c r="F1305" s="74"/>
      <c r="G1305" s="74"/>
      <c r="H1305" s="74"/>
      <c r="I1305" s="74"/>
      <c r="J1305" s="74"/>
      <c r="K1305" s="15"/>
      <c r="L1305" s="15"/>
      <c r="M1305" s="15"/>
      <c r="N1305" s="15"/>
      <c r="O1305" s="15"/>
      <c r="P1305" s="15"/>
      <c r="Q1305" s="15"/>
      <c r="R1305" s="15"/>
    </row>
    <row r="1306">
      <c r="A1306" s="15"/>
      <c r="B1306" s="15"/>
      <c r="C1306" s="15"/>
      <c r="D1306" s="15"/>
      <c r="E1306" s="15"/>
      <c r="F1306" s="74"/>
      <c r="G1306" s="74"/>
      <c r="H1306" s="74"/>
      <c r="I1306" s="74"/>
      <c r="J1306" s="74"/>
      <c r="K1306" s="15"/>
      <c r="L1306" s="15"/>
      <c r="M1306" s="15"/>
      <c r="N1306" s="15"/>
      <c r="O1306" s="15"/>
      <c r="P1306" s="15"/>
      <c r="Q1306" s="15"/>
      <c r="R1306" s="15"/>
    </row>
    <row r="1307">
      <c r="A1307" s="15"/>
      <c r="B1307" s="15"/>
      <c r="C1307" s="15"/>
      <c r="D1307" s="15"/>
      <c r="E1307" s="15"/>
      <c r="F1307" s="74"/>
      <c r="G1307" s="74"/>
      <c r="H1307" s="74"/>
      <c r="I1307" s="74"/>
      <c r="J1307" s="74"/>
      <c r="K1307" s="15"/>
      <c r="L1307" s="15"/>
      <c r="M1307" s="15"/>
      <c r="N1307" s="15"/>
      <c r="O1307" s="15"/>
      <c r="P1307" s="15"/>
      <c r="Q1307" s="15"/>
      <c r="R1307" s="15"/>
    </row>
    <row r="1308">
      <c r="A1308" s="15"/>
      <c r="B1308" s="15"/>
      <c r="C1308" s="15"/>
      <c r="D1308" s="15"/>
      <c r="E1308" s="15"/>
      <c r="F1308" s="74"/>
      <c r="G1308" s="74"/>
      <c r="H1308" s="74"/>
      <c r="I1308" s="74"/>
      <c r="J1308" s="74"/>
      <c r="K1308" s="15"/>
      <c r="L1308" s="15"/>
      <c r="M1308" s="15"/>
      <c r="N1308" s="15"/>
      <c r="O1308" s="15"/>
      <c r="P1308" s="15"/>
      <c r="Q1308" s="15"/>
      <c r="R1308" s="15"/>
    </row>
  </sheetData>
  <autoFilter ref="$A$1:$K$1308"/>
  <mergeCells count="18">
    <mergeCell ref="A36:B36"/>
    <mergeCell ref="A81:B81"/>
    <mergeCell ref="A119:B119"/>
    <mergeCell ref="A157:B157"/>
    <mergeCell ref="A181:B181"/>
    <mergeCell ref="A204:B204"/>
    <mergeCell ref="A215:B215"/>
    <mergeCell ref="A360:B360"/>
    <mergeCell ref="A380:B380"/>
    <mergeCell ref="A390:B390"/>
    <mergeCell ref="A394:B394"/>
    <mergeCell ref="A232:B232"/>
    <mergeCell ref="A243:B243"/>
    <mergeCell ref="A262:B262"/>
    <mergeCell ref="A287:B287"/>
    <mergeCell ref="A297:B297"/>
    <mergeCell ref="A316:B316"/>
    <mergeCell ref="A343:B343"/>
  </mergeCells>
  <hyperlinks>
    <hyperlink r:id="rId1" ref="A104"/>
    <hyperlink r:id="rId2" ref="A147"/>
    <hyperlink r:id="rId3" ref="A171"/>
    <hyperlink r:id="rId4" ref="A330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9.75"/>
    <col customWidth="1" min="2" max="2" width="18.25"/>
    <col customWidth="1" min="11" max="11" width="14.13"/>
  </cols>
  <sheetData>
    <row r="1">
      <c r="A1" s="232" t="s">
        <v>0</v>
      </c>
      <c r="B1" s="5" t="s">
        <v>1</v>
      </c>
      <c r="C1" s="233" t="s">
        <v>2</v>
      </c>
      <c r="D1" s="233" t="s">
        <v>3</v>
      </c>
      <c r="E1" s="234" t="s">
        <v>5</v>
      </c>
      <c r="F1" s="8" t="s">
        <v>9</v>
      </c>
      <c r="G1" s="235" t="s">
        <v>13</v>
      </c>
      <c r="H1" s="8" t="s">
        <v>20</v>
      </c>
      <c r="I1" s="12" t="s">
        <v>21</v>
      </c>
      <c r="J1" s="236"/>
      <c r="K1" s="237"/>
    </row>
    <row r="2">
      <c r="A2" s="54" t="s">
        <v>35</v>
      </c>
      <c r="B2" s="238" t="s">
        <v>24</v>
      </c>
      <c r="C2" s="21">
        <v>1706540.0</v>
      </c>
      <c r="D2" s="21">
        <v>825.0</v>
      </c>
      <c r="E2" s="38">
        <f t="shared" ref="E2:E124" si="1">F2/1.22</f>
        <v>356619.6721</v>
      </c>
      <c r="F2" s="38">
        <v>435076.0</v>
      </c>
      <c r="G2" s="239">
        <f t="shared" ref="G2:G10" si="2">F2*1.005</f>
        <v>437251.38</v>
      </c>
      <c r="H2" s="38">
        <f t="shared" ref="H2:H10" si="3">E2/C2*1000</f>
        <v>208.9723488</v>
      </c>
      <c r="I2" s="49">
        <f t="shared" ref="I2:I99" si="4">E2/D2</f>
        <v>432.2662692</v>
      </c>
      <c r="J2" s="240"/>
      <c r="K2" s="240"/>
    </row>
    <row r="3">
      <c r="A3" s="54" t="s">
        <v>39</v>
      </c>
      <c r="B3" s="238" t="s">
        <v>24</v>
      </c>
      <c r="C3" s="21">
        <v>2500005.0</v>
      </c>
      <c r="D3" s="21">
        <v>25191.0</v>
      </c>
      <c r="E3" s="38">
        <f t="shared" si="1"/>
        <v>400000.8033</v>
      </c>
      <c r="F3" s="38">
        <v>488000.98</v>
      </c>
      <c r="G3" s="239">
        <f t="shared" si="2"/>
        <v>490440.9849</v>
      </c>
      <c r="H3" s="38">
        <f t="shared" si="3"/>
        <v>160.0000013</v>
      </c>
      <c r="I3" s="49">
        <f t="shared" si="4"/>
        <v>15.87871872</v>
      </c>
      <c r="J3" s="241">
        <f t="shared" ref="J3:J6" si="5">H3*1.22</f>
        <v>195.2000016</v>
      </c>
      <c r="K3" s="240"/>
    </row>
    <row r="4">
      <c r="A4" s="54" t="s">
        <v>41</v>
      </c>
      <c r="B4" s="238" t="s">
        <v>24</v>
      </c>
      <c r="C4" s="21">
        <v>1413399.0</v>
      </c>
      <c r="D4" s="21">
        <v>12740.0</v>
      </c>
      <c r="E4" s="38">
        <f t="shared" si="1"/>
        <v>377326.0492</v>
      </c>
      <c r="F4" s="38">
        <v>460337.78</v>
      </c>
      <c r="G4" s="239">
        <f t="shared" si="2"/>
        <v>462639.4689</v>
      </c>
      <c r="H4" s="38">
        <f t="shared" si="3"/>
        <v>266.9635745</v>
      </c>
      <c r="I4" s="49">
        <f t="shared" si="4"/>
        <v>29.61742929</v>
      </c>
      <c r="J4" s="241">
        <f t="shared" si="5"/>
        <v>325.6955608</v>
      </c>
      <c r="K4" s="240"/>
    </row>
    <row r="5">
      <c r="A5" s="54" t="s">
        <v>40</v>
      </c>
      <c r="B5" s="238" t="s">
        <v>24</v>
      </c>
      <c r="C5" s="21">
        <v>2442268.0</v>
      </c>
      <c r="D5" s="21">
        <v>5824.0</v>
      </c>
      <c r="E5" s="38">
        <f t="shared" si="1"/>
        <v>193411.8279</v>
      </c>
      <c r="F5" s="38">
        <v>235962.43</v>
      </c>
      <c r="G5" s="239">
        <f t="shared" si="2"/>
        <v>237142.2422</v>
      </c>
      <c r="H5" s="38">
        <f t="shared" si="3"/>
        <v>79.19353153</v>
      </c>
      <c r="I5" s="49">
        <f t="shared" si="4"/>
        <v>33.20944847</v>
      </c>
      <c r="J5" s="241">
        <f t="shared" si="5"/>
        <v>96.61610847</v>
      </c>
      <c r="K5" s="240"/>
    </row>
    <row r="6">
      <c r="A6" s="242" t="s">
        <v>42</v>
      </c>
      <c r="B6" s="243" t="s">
        <v>24</v>
      </c>
      <c r="C6" s="244">
        <v>868568.0</v>
      </c>
      <c r="D6" s="244">
        <v>5443.0</v>
      </c>
      <c r="E6" s="245">
        <f t="shared" si="1"/>
        <v>168418.0328</v>
      </c>
      <c r="F6" s="245">
        <v>205470.0</v>
      </c>
      <c r="G6" s="117">
        <f t="shared" si="2"/>
        <v>206497.35</v>
      </c>
      <c r="H6" s="245">
        <f t="shared" si="3"/>
        <v>193.9031058</v>
      </c>
      <c r="I6" s="246">
        <f t="shared" si="4"/>
        <v>30.94213353</v>
      </c>
      <c r="J6" s="247">
        <f t="shared" si="5"/>
        <v>236.5617891</v>
      </c>
      <c r="K6" s="248"/>
    </row>
    <row r="7">
      <c r="A7" s="250" t="s">
        <v>45</v>
      </c>
      <c r="B7" s="238" t="s">
        <v>24</v>
      </c>
      <c r="C7" s="21">
        <v>2203872.0</v>
      </c>
      <c r="D7" s="21">
        <v>19330.0</v>
      </c>
      <c r="E7" s="38">
        <f t="shared" si="1"/>
        <v>368972.7951</v>
      </c>
      <c r="F7" s="38">
        <v>450146.81</v>
      </c>
      <c r="G7" s="239">
        <f t="shared" si="2"/>
        <v>452397.5441</v>
      </c>
      <c r="H7" s="38">
        <f t="shared" si="3"/>
        <v>167.4202472</v>
      </c>
      <c r="I7" s="49">
        <f t="shared" si="4"/>
        <v>19.0880908</v>
      </c>
      <c r="J7" s="241"/>
      <c r="K7" s="240"/>
    </row>
    <row r="8">
      <c r="A8" s="54" t="s">
        <v>76</v>
      </c>
      <c r="B8" s="238" t="s">
        <v>24</v>
      </c>
      <c r="C8" s="21">
        <v>3211934.0</v>
      </c>
      <c r="D8" s="21">
        <v>43317.0</v>
      </c>
      <c r="E8" s="38">
        <f t="shared" si="1"/>
        <v>396800</v>
      </c>
      <c r="F8" s="38">
        <v>484096.0</v>
      </c>
      <c r="G8" s="239">
        <f t="shared" si="2"/>
        <v>486516.48</v>
      </c>
      <c r="H8" s="38">
        <f t="shared" si="3"/>
        <v>123.5392757</v>
      </c>
      <c r="I8" s="49">
        <f t="shared" si="4"/>
        <v>9.160375834</v>
      </c>
      <c r="J8" s="241"/>
      <c r="K8" s="240"/>
    </row>
    <row r="9">
      <c r="A9" s="54" t="s">
        <v>54</v>
      </c>
      <c r="B9" s="238" t="s">
        <v>24</v>
      </c>
      <c r="C9" s="21">
        <v>523185.0</v>
      </c>
      <c r="D9" s="21">
        <v>1244.0</v>
      </c>
      <c r="E9" s="38">
        <f t="shared" si="1"/>
        <v>199350</v>
      </c>
      <c r="F9" s="38">
        <v>243207.0</v>
      </c>
      <c r="G9" s="239">
        <f t="shared" si="2"/>
        <v>244423.035</v>
      </c>
      <c r="H9" s="38">
        <f t="shared" si="3"/>
        <v>381.0315663</v>
      </c>
      <c r="I9" s="49">
        <f t="shared" si="4"/>
        <v>160.2491961</v>
      </c>
      <c r="J9" s="241"/>
      <c r="K9" s="240"/>
    </row>
    <row r="10">
      <c r="A10" s="54" t="s">
        <v>51</v>
      </c>
      <c r="B10" s="238" t="s">
        <v>24</v>
      </c>
      <c r="C10" s="21">
        <v>1286910.0</v>
      </c>
      <c r="D10" s="21">
        <v>2696.0</v>
      </c>
      <c r="E10" s="38">
        <f t="shared" si="1"/>
        <v>362706.7377</v>
      </c>
      <c r="F10" s="38">
        <v>442502.22</v>
      </c>
      <c r="G10" s="239">
        <f t="shared" si="2"/>
        <v>444714.7311</v>
      </c>
      <c r="H10" s="38">
        <f t="shared" si="3"/>
        <v>281.8431263</v>
      </c>
      <c r="I10" s="49">
        <f t="shared" si="4"/>
        <v>134.5351401</v>
      </c>
      <c r="J10" s="241"/>
      <c r="K10" s="240"/>
    </row>
    <row r="11">
      <c r="A11" s="251" t="s">
        <v>46</v>
      </c>
      <c r="B11" s="78"/>
      <c r="C11" s="80">
        <f t="shared" ref="C11:D11" si="6">SUM(C2:C10)</f>
        <v>16156681</v>
      </c>
      <c r="D11" s="80">
        <f t="shared" si="6"/>
        <v>116610</v>
      </c>
      <c r="E11" s="81">
        <f t="shared" si="1"/>
        <v>2823605.918</v>
      </c>
      <c r="F11" s="81">
        <f t="shared" ref="F11:G11" si="7">SUM(F2:F10)</f>
        <v>3444799.22</v>
      </c>
      <c r="G11" s="252">
        <f t="shared" si="7"/>
        <v>3462023.216</v>
      </c>
      <c r="H11" s="81">
        <f>E11/(C11/1000)</f>
        <v>174.7639827</v>
      </c>
      <c r="I11" s="84">
        <f t="shared" si="4"/>
        <v>24.21409757</v>
      </c>
      <c r="J11" s="253"/>
      <c r="K11" s="240"/>
    </row>
    <row r="12">
      <c r="A12" s="54" t="s">
        <v>55</v>
      </c>
      <c r="B12" s="238" t="s">
        <v>53</v>
      </c>
      <c r="C12" s="21">
        <v>41750.0</v>
      </c>
      <c r="D12" s="21">
        <v>47.0</v>
      </c>
      <c r="E12" s="38">
        <f t="shared" si="1"/>
        <v>88485.7541</v>
      </c>
      <c r="F12" s="38">
        <v>107952.62</v>
      </c>
      <c r="G12" s="239">
        <f t="shared" ref="G12:G20" si="8">F12*1.005</f>
        <v>108492.3831</v>
      </c>
      <c r="H12" s="38">
        <f t="shared" ref="H12:H20" si="9">E12/C12*1000</f>
        <v>2119.41926</v>
      </c>
      <c r="I12" s="49">
        <f t="shared" si="4"/>
        <v>1882.675619</v>
      </c>
      <c r="J12" s="241"/>
      <c r="K12" s="240"/>
    </row>
    <row r="13">
      <c r="A13" s="54" t="s">
        <v>56</v>
      </c>
      <c r="B13" s="238" t="s">
        <v>53</v>
      </c>
      <c r="C13" s="21">
        <v>125210.0</v>
      </c>
      <c r="D13" s="21">
        <v>788.0</v>
      </c>
      <c r="E13" s="38">
        <f t="shared" si="1"/>
        <v>40800</v>
      </c>
      <c r="F13" s="38">
        <v>49776.0</v>
      </c>
      <c r="G13" s="239">
        <f t="shared" si="8"/>
        <v>50024.88</v>
      </c>
      <c r="H13" s="38">
        <f t="shared" si="9"/>
        <v>325.8525677</v>
      </c>
      <c r="I13" s="49">
        <f t="shared" si="4"/>
        <v>51.77664975</v>
      </c>
      <c r="J13" s="240"/>
      <c r="K13" s="240"/>
    </row>
    <row r="14">
      <c r="A14" s="54" t="s">
        <v>57</v>
      </c>
      <c r="B14" s="238" t="s">
        <v>53</v>
      </c>
      <c r="C14" s="118">
        <v>1200031.0</v>
      </c>
      <c r="D14" s="21">
        <v>20999.0</v>
      </c>
      <c r="E14" s="38">
        <f t="shared" si="1"/>
        <v>300000</v>
      </c>
      <c r="F14" s="38">
        <v>366000.0</v>
      </c>
      <c r="G14" s="239">
        <f t="shared" si="8"/>
        <v>367830</v>
      </c>
      <c r="H14" s="38">
        <f t="shared" si="9"/>
        <v>249.9935418</v>
      </c>
      <c r="I14" s="49">
        <f t="shared" si="4"/>
        <v>14.28639459</v>
      </c>
      <c r="J14" s="241"/>
      <c r="K14" s="240"/>
    </row>
    <row r="15">
      <c r="A15" s="54" t="s">
        <v>41</v>
      </c>
      <c r="B15" s="238" t="s">
        <v>53</v>
      </c>
      <c r="C15" s="118">
        <v>1073030.0</v>
      </c>
      <c r="D15" s="118">
        <v>5228.0</v>
      </c>
      <c r="E15" s="38">
        <f t="shared" si="1"/>
        <v>234089.0574</v>
      </c>
      <c r="F15" s="38">
        <v>285588.65</v>
      </c>
      <c r="G15" s="239">
        <f t="shared" si="8"/>
        <v>287016.5933</v>
      </c>
      <c r="H15" s="38">
        <f t="shared" si="9"/>
        <v>218.1570482</v>
      </c>
      <c r="I15" s="49">
        <f t="shared" si="4"/>
        <v>44.77602475</v>
      </c>
      <c r="J15" s="241">
        <f>H15*1.22</f>
        <v>266.1515987</v>
      </c>
      <c r="K15" s="240"/>
    </row>
    <row r="16">
      <c r="A16" s="54" t="s">
        <v>58</v>
      </c>
      <c r="B16" s="238" t="s">
        <v>53</v>
      </c>
      <c r="C16" s="118">
        <v>2512000.0</v>
      </c>
      <c r="D16" s="21">
        <v>40883.0</v>
      </c>
      <c r="E16" s="38">
        <f t="shared" si="1"/>
        <v>740250</v>
      </c>
      <c r="F16" s="38">
        <v>903105.0</v>
      </c>
      <c r="G16" s="239">
        <f t="shared" si="8"/>
        <v>907620.525</v>
      </c>
      <c r="H16" s="38">
        <f t="shared" si="9"/>
        <v>294.6855096</v>
      </c>
      <c r="I16" s="49">
        <f t="shared" si="4"/>
        <v>18.10654795</v>
      </c>
      <c r="J16" s="241"/>
      <c r="K16" s="240"/>
    </row>
    <row r="17" ht="16.5" customHeight="1">
      <c r="A17" s="54" t="s">
        <v>59</v>
      </c>
      <c r="B17" s="238" t="s">
        <v>53</v>
      </c>
      <c r="C17" s="21">
        <v>2245053.0</v>
      </c>
      <c r="D17" s="21">
        <v>32396.0</v>
      </c>
      <c r="E17" s="38">
        <f t="shared" si="1"/>
        <v>248068.9754</v>
      </c>
      <c r="F17" s="38">
        <v>302644.15</v>
      </c>
      <c r="G17" s="239">
        <f t="shared" si="8"/>
        <v>304157.3708</v>
      </c>
      <c r="H17" s="38">
        <f t="shared" si="9"/>
        <v>110.4958214</v>
      </c>
      <c r="I17" s="49">
        <f t="shared" si="4"/>
        <v>7.657395216</v>
      </c>
      <c r="J17" s="241"/>
      <c r="K17" s="240"/>
    </row>
    <row r="18">
      <c r="A18" s="54" t="s">
        <v>60</v>
      </c>
      <c r="B18" s="238" t="s">
        <v>53</v>
      </c>
      <c r="C18" s="21">
        <v>1276160.0</v>
      </c>
      <c r="D18" s="21">
        <v>4376.0</v>
      </c>
      <c r="E18" s="38">
        <f t="shared" si="1"/>
        <v>107972.5164</v>
      </c>
      <c r="F18" s="38">
        <v>131726.47</v>
      </c>
      <c r="G18" s="239">
        <f t="shared" si="8"/>
        <v>132385.1024</v>
      </c>
      <c r="H18" s="38">
        <f t="shared" si="9"/>
        <v>84.60735048</v>
      </c>
      <c r="I18" s="49">
        <f t="shared" si="4"/>
        <v>24.67379259</v>
      </c>
      <c r="J18" s="241"/>
      <c r="K18" s="240"/>
    </row>
    <row r="19">
      <c r="A19" s="250" t="s">
        <v>45</v>
      </c>
      <c r="B19" s="238" t="s">
        <v>53</v>
      </c>
      <c r="C19" s="21">
        <v>8878603.0</v>
      </c>
      <c r="D19" s="21">
        <v>111990.0</v>
      </c>
      <c r="E19" s="38">
        <f t="shared" si="1"/>
        <v>1953761.689</v>
      </c>
      <c r="F19" s="38">
        <v>2383589.26</v>
      </c>
      <c r="G19" s="239">
        <f t="shared" si="8"/>
        <v>2395507.206</v>
      </c>
      <c r="H19" s="38">
        <f t="shared" si="9"/>
        <v>220.0528268</v>
      </c>
      <c r="I19" s="49">
        <f t="shared" si="4"/>
        <v>17.44585846</v>
      </c>
      <c r="J19" s="241"/>
      <c r="K19" s="240"/>
    </row>
    <row r="20">
      <c r="A20" s="54" t="s">
        <v>40</v>
      </c>
      <c r="B20" s="238" t="s">
        <v>53</v>
      </c>
      <c r="C20" s="21">
        <v>1909913.0</v>
      </c>
      <c r="D20" s="21">
        <v>5798.0</v>
      </c>
      <c r="E20" s="38">
        <f t="shared" si="1"/>
        <v>159854.7869</v>
      </c>
      <c r="F20" s="38">
        <v>195022.84</v>
      </c>
      <c r="G20" s="239">
        <f t="shared" si="8"/>
        <v>195997.9542</v>
      </c>
      <c r="H20" s="38">
        <f t="shared" si="9"/>
        <v>83.69741809</v>
      </c>
      <c r="I20" s="49">
        <f t="shared" si="4"/>
        <v>27.57067728</v>
      </c>
      <c r="J20" s="241">
        <f>H20*1.22</f>
        <v>102.1108501</v>
      </c>
      <c r="K20" s="240"/>
    </row>
    <row r="21">
      <c r="A21" s="251" t="s">
        <v>46</v>
      </c>
      <c r="B21" s="78"/>
      <c r="C21" s="80">
        <f t="shared" ref="C21:D21" si="10">SUM(C12:C20)</f>
        <v>19261750</v>
      </c>
      <c r="D21" s="80">
        <f t="shared" si="10"/>
        <v>222505</v>
      </c>
      <c r="E21" s="81">
        <f t="shared" si="1"/>
        <v>3873282.779</v>
      </c>
      <c r="F21" s="81">
        <f t="shared" ref="F21:G21" si="11">SUM(F12:F20)</f>
        <v>4725404.99</v>
      </c>
      <c r="G21" s="252">
        <f t="shared" si="11"/>
        <v>4749032.015</v>
      </c>
      <c r="H21" s="81">
        <f>E21/(C21/1000)</f>
        <v>201.0867537</v>
      </c>
      <c r="I21" s="84">
        <f t="shared" si="4"/>
        <v>17.40762131</v>
      </c>
      <c r="J21" s="253"/>
      <c r="K21" s="240"/>
    </row>
    <row r="22">
      <c r="A22" s="54" t="s">
        <v>23</v>
      </c>
      <c r="B22" s="238" t="s">
        <v>62</v>
      </c>
      <c r="C22" s="21">
        <v>940492.0</v>
      </c>
      <c r="D22" s="21">
        <v>2237.0</v>
      </c>
      <c r="E22" s="38">
        <f t="shared" si="1"/>
        <v>299250</v>
      </c>
      <c r="F22" s="38">
        <v>365085.0</v>
      </c>
      <c r="G22" s="239">
        <f t="shared" ref="G22:G30" si="12">F22*1.005</f>
        <v>366910.425</v>
      </c>
      <c r="H22" s="38">
        <f t="shared" ref="H22:H30" si="13">E22/C22*1000</f>
        <v>318.1845247</v>
      </c>
      <c r="I22" s="49">
        <f t="shared" si="4"/>
        <v>133.7729101</v>
      </c>
      <c r="J22" s="240"/>
      <c r="K22" s="240"/>
    </row>
    <row r="23">
      <c r="A23" s="54" t="s">
        <v>35</v>
      </c>
      <c r="B23" s="238" t="s">
        <v>62</v>
      </c>
      <c r="C23" s="21">
        <v>1379126.0</v>
      </c>
      <c r="D23" s="21">
        <v>1532.0</v>
      </c>
      <c r="E23" s="38">
        <f t="shared" si="1"/>
        <v>304000</v>
      </c>
      <c r="F23" s="38">
        <v>370880.0</v>
      </c>
      <c r="G23" s="239">
        <f t="shared" si="12"/>
        <v>372734.4</v>
      </c>
      <c r="H23" s="38">
        <f t="shared" si="13"/>
        <v>220.4294604</v>
      </c>
      <c r="I23" s="49">
        <f t="shared" si="4"/>
        <v>198.4334204</v>
      </c>
      <c r="J23" s="240"/>
      <c r="K23" s="240"/>
    </row>
    <row r="24">
      <c r="A24" s="54" t="s">
        <v>39</v>
      </c>
      <c r="B24" s="238" t="s">
        <v>62</v>
      </c>
      <c r="C24" s="21">
        <v>2570023.0</v>
      </c>
      <c r="D24" s="21">
        <v>43839.0</v>
      </c>
      <c r="E24" s="38">
        <f t="shared" si="1"/>
        <v>411203.6803</v>
      </c>
      <c r="F24" s="38">
        <v>501668.49</v>
      </c>
      <c r="G24" s="239">
        <f t="shared" si="12"/>
        <v>504176.8325</v>
      </c>
      <c r="H24" s="38">
        <f t="shared" si="13"/>
        <v>160.0000001</v>
      </c>
      <c r="I24" s="49">
        <f t="shared" si="4"/>
        <v>9.37985995</v>
      </c>
      <c r="J24" s="241"/>
      <c r="K24" s="240"/>
    </row>
    <row r="25">
      <c r="A25" s="54" t="s">
        <v>40</v>
      </c>
      <c r="B25" s="238" t="s">
        <v>62</v>
      </c>
      <c r="C25" s="21">
        <v>2138109.0</v>
      </c>
      <c r="D25" s="21">
        <v>4988.0</v>
      </c>
      <c r="E25" s="38">
        <f t="shared" si="1"/>
        <v>192463.1639</v>
      </c>
      <c r="F25" s="38">
        <v>234805.06</v>
      </c>
      <c r="G25" s="239">
        <f t="shared" si="12"/>
        <v>235979.0853</v>
      </c>
      <c r="H25" s="38">
        <f t="shared" si="13"/>
        <v>90.01559974</v>
      </c>
      <c r="I25" s="49">
        <f t="shared" si="4"/>
        <v>38.58523736</v>
      </c>
      <c r="J25" s="241">
        <f t="shared" ref="J25:J26" si="14">H25*1.22</f>
        <v>109.8190317</v>
      </c>
      <c r="K25" s="240"/>
    </row>
    <row r="26">
      <c r="A26" s="258" t="s">
        <v>41</v>
      </c>
      <c r="B26" s="238" t="s">
        <v>62</v>
      </c>
      <c r="C26" s="21">
        <v>930601.0</v>
      </c>
      <c r="D26" s="21">
        <v>7902.0</v>
      </c>
      <c r="E26" s="38">
        <f t="shared" si="1"/>
        <v>233735.7377</v>
      </c>
      <c r="F26" s="38">
        <v>285157.6</v>
      </c>
      <c r="G26" s="239">
        <f t="shared" si="12"/>
        <v>286583.388</v>
      </c>
      <c r="H26" s="38">
        <f t="shared" si="13"/>
        <v>251.1664373</v>
      </c>
      <c r="I26" s="49">
        <f t="shared" si="4"/>
        <v>29.57931381</v>
      </c>
      <c r="J26" s="241">
        <f t="shared" si="14"/>
        <v>306.4230535</v>
      </c>
      <c r="K26" s="240"/>
    </row>
    <row r="27">
      <c r="A27" s="250" t="s">
        <v>45</v>
      </c>
      <c r="B27" s="238" t="s">
        <v>62</v>
      </c>
      <c r="C27" s="21">
        <v>3497523.0</v>
      </c>
      <c r="D27" s="21">
        <v>38176.0</v>
      </c>
      <c r="E27" s="38">
        <f t="shared" si="1"/>
        <v>653363.418</v>
      </c>
      <c r="F27" s="38">
        <v>797103.37</v>
      </c>
      <c r="G27" s="239">
        <f t="shared" si="12"/>
        <v>801088.8869</v>
      </c>
      <c r="H27" s="38">
        <f t="shared" si="13"/>
        <v>186.8074686</v>
      </c>
      <c r="I27" s="49">
        <f t="shared" si="4"/>
        <v>17.11450697</v>
      </c>
      <c r="J27" s="241"/>
      <c r="K27" s="240"/>
    </row>
    <row r="28">
      <c r="A28" s="54" t="s">
        <v>57</v>
      </c>
      <c r="B28" s="238" t="s">
        <v>62</v>
      </c>
      <c r="C28" s="21">
        <v>1641096.0</v>
      </c>
      <c r="D28" s="21">
        <v>21245.0</v>
      </c>
      <c r="E28" s="38">
        <f t="shared" si="1"/>
        <v>410000</v>
      </c>
      <c r="F28" s="38">
        <v>500200.0</v>
      </c>
      <c r="G28" s="239">
        <f t="shared" si="12"/>
        <v>502701</v>
      </c>
      <c r="H28" s="38">
        <f t="shared" si="13"/>
        <v>249.8330384</v>
      </c>
      <c r="I28" s="49">
        <f t="shared" si="4"/>
        <v>19.29865851</v>
      </c>
      <c r="J28" s="241"/>
      <c r="K28" s="240"/>
    </row>
    <row r="29">
      <c r="A29" s="54" t="s">
        <v>78</v>
      </c>
      <c r="B29" s="238" t="s">
        <v>62</v>
      </c>
      <c r="C29" s="21">
        <v>7562356.0</v>
      </c>
      <c r="D29" s="21">
        <v>26253.0</v>
      </c>
      <c r="E29" s="38">
        <f t="shared" si="1"/>
        <v>409427.9262</v>
      </c>
      <c r="F29" s="38">
        <v>499502.07</v>
      </c>
      <c r="G29" s="239">
        <f t="shared" si="12"/>
        <v>501999.5804</v>
      </c>
      <c r="H29" s="38">
        <f t="shared" si="13"/>
        <v>54.14026082</v>
      </c>
      <c r="I29" s="49">
        <f t="shared" si="4"/>
        <v>15.59547199</v>
      </c>
      <c r="J29" s="241"/>
      <c r="K29" s="240"/>
    </row>
    <row r="30">
      <c r="A30" s="54" t="s">
        <v>120</v>
      </c>
      <c r="B30" s="238" t="s">
        <v>62</v>
      </c>
      <c r="C30" s="21">
        <v>8338268.0</v>
      </c>
      <c r="D30" s="21">
        <v>10275.0</v>
      </c>
      <c r="E30" s="38">
        <f t="shared" si="1"/>
        <v>300000</v>
      </c>
      <c r="F30" s="38">
        <v>366000.0</v>
      </c>
      <c r="G30" s="239">
        <f t="shared" si="12"/>
        <v>367830</v>
      </c>
      <c r="H30" s="38">
        <f t="shared" si="13"/>
        <v>35.97869486</v>
      </c>
      <c r="I30" s="49">
        <f t="shared" si="4"/>
        <v>29.19708029</v>
      </c>
      <c r="J30" s="241"/>
      <c r="K30" s="240"/>
    </row>
    <row r="31">
      <c r="A31" s="251" t="s">
        <v>46</v>
      </c>
      <c r="B31" s="78"/>
      <c r="C31" s="80">
        <f t="shared" ref="C31:D31" si="15">SUM(C22:C30)</f>
        <v>28997594</v>
      </c>
      <c r="D31" s="80">
        <f t="shared" si="15"/>
        <v>156447</v>
      </c>
      <c r="E31" s="81">
        <f t="shared" si="1"/>
        <v>3213443.926</v>
      </c>
      <c r="F31" s="81">
        <f t="shared" ref="F31:G31" si="16">SUM(F22:F30)</f>
        <v>3920401.59</v>
      </c>
      <c r="G31" s="252">
        <f t="shared" si="16"/>
        <v>3940003.598</v>
      </c>
      <c r="H31" s="81">
        <f>E31/(C31/1000)</f>
        <v>110.8176053</v>
      </c>
      <c r="I31" s="84">
        <f t="shared" si="4"/>
        <v>20.54014411</v>
      </c>
      <c r="J31" s="253"/>
      <c r="K31" s="240"/>
    </row>
    <row r="32">
      <c r="A32" s="54" t="s">
        <v>54</v>
      </c>
      <c r="B32" s="238" t="s">
        <v>65</v>
      </c>
      <c r="C32" s="21">
        <v>2504845.0</v>
      </c>
      <c r="D32" s="21">
        <v>5356.0</v>
      </c>
      <c r="E32" s="38">
        <f t="shared" si="1"/>
        <v>791700</v>
      </c>
      <c r="F32" s="38">
        <v>965874.0</v>
      </c>
      <c r="G32" s="239">
        <f t="shared" ref="G32:G37" si="17">F32*1.005</f>
        <v>970703.37</v>
      </c>
      <c r="H32" s="38">
        <f t="shared" ref="H32:H37" si="18">E32/C32*1000</f>
        <v>316.0674613</v>
      </c>
      <c r="I32" s="49">
        <f t="shared" si="4"/>
        <v>147.815534</v>
      </c>
      <c r="J32" s="240"/>
      <c r="K32" s="240"/>
    </row>
    <row r="33">
      <c r="A33" s="54" t="s">
        <v>35</v>
      </c>
      <c r="B33" s="238" t="s">
        <v>65</v>
      </c>
      <c r="C33" s="21">
        <v>2667296.0</v>
      </c>
      <c r="D33" s="21">
        <v>3118.0</v>
      </c>
      <c r="E33" s="38">
        <f t="shared" si="1"/>
        <v>846879.5082</v>
      </c>
      <c r="F33" s="38">
        <v>1033193.0</v>
      </c>
      <c r="G33" s="239">
        <f t="shared" si="17"/>
        <v>1038358.965</v>
      </c>
      <c r="H33" s="38">
        <f t="shared" si="18"/>
        <v>317.5048844</v>
      </c>
      <c r="I33" s="49">
        <f t="shared" si="4"/>
        <v>271.6098487</v>
      </c>
      <c r="J33" s="240"/>
      <c r="K33" s="240"/>
    </row>
    <row r="34">
      <c r="A34" s="258" t="s">
        <v>41</v>
      </c>
      <c r="B34" s="238" t="s">
        <v>65</v>
      </c>
      <c r="C34" s="118">
        <v>1677880.0</v>
      </c>
      <c r="D34" s="21">
        <v>10669.0</v>
      </c>
      <c r="E34" s="38">
        <f t="shared" si="1"/>
        <v>454586.8361</v>
      </c>
      <c r="F34" s="38">
        <v>554595.94</v>
      </c>
      <c r="G34" s="239">
        <f t="shared" si="17"/>
        <v>557368.9197</v>
      </c>
      <c r="H34" s="38">
        <f t="shared" si="18"/>
        <v>270.9292894</v>
      </c>
      <c r="I34" s="49">
        <f t="shared" si="4"/>
        <v>42.60819534</v>
      </c>
      <c r="J34" s="241">
        <f t="shared" ref="J34:J35" si="19">H34*1.22</f>
        <v>330.533733</v>
      </c>
      <c r="K34" s="240"/>
    </row>
    <row r="35">
      <c r="A35" s="54" t="s">
        <v>40</v>
      </c>
      <c r="B35" s="238" t="s">
        <v>65</v>
      </c>
      <c r="C35" s="118">
        <v>3878242.0</v>
      </c>
      <c r="D35" s="263">
        <v>9259.0</v>
      </c>
      <c r="E35" s="38">
        <f t="shared" si="1"/>
        <v>348841.0164</v>
      </c>
      <c r="F35" s="38">
        <v>425586.04</v>
      </c>
      <c r="G35" s="239">
        <f t="shared" si="17"/>
        <v>427713.9702</v>
      </c>
      <c r="H35" s="38">
        <f t="shared" si="18"/>
        <v>89.94823335</v>
      </c>
      <c r="I35" s="49">
        <f t="shared" si="4"/>
        <v>37.6758847</v>
      </c>
      <c r="J35" s="241">
        <f t="shared" si="19"/>
        <v>109.7368447</v>
      </c>
      <c r="K35" s="240"/>
    </row>
    <row r="36">
      <c r="A36" s="54" t="s">
        <v>39</v>
      </c>
      <c r="B36" s="238" t="s">
        <v>65</v>
      </c>
      <c r="C36" s="118">
        <v>1874995.0</v>
      </c>
      <c r="D36" s="21">
        <v>17809.0</v>
      </c>
      <c r="E36" s="38">
        <f t="shared" si="1"/>
        <v>299999.1967</v>
      </c>
      <c r="F36" s="38">
        <v>365999.02</v>
      </c>
      <c r="G36" s="239">
        <f t="shared" si="17"/>
        <v>367829.0151</v>
      </c>
      <c r="H36" s="38">
        <f t="shared" si="18"/>
        <v>159.9999983</v>
      </c>
      <c r="I36" s="49">
        <f t="shared" si="4"/>
        <v>16.84537013</v>
      </c>
      <c r="J36" s="241"/>
      <c r="K36" s="240"/>
    </row>
    <row r="37">
      <c r="A37" s="54" t="s">
        <v>58</v>
      </c>
      <c r="B37" s="238" t="s">
        <v>65</v>
      </c>
      <c r="C37" s="21">
        <v>1167742.0</v>
      </c>
      <c r="D37" s="21">
        <v>2092.0</v>
      </c>
      <c r="E37" s="38">
        <f t="shared" si="1"/>
        <v>165000</v>
      </c>
      <c r="F37" s="38">
        <v>201300.0</v>
      </c>
      <c r="G37" s="239">
        <f t="shared" si="17"/>
        <v>202306.5</v>
      </c>
      <c r="H37" s="38">
        <f t="shared" si="18"/>
        <v>141.2983347</v>
      </c>
      <c r="I37" s="49">
        <f t="shared" si="4"/>
        <v>78.87189293</v>
      </c>
      <c r="J37" s="241"/>
      <c r="K37" s="240"/>
    </row>
    <row r="38">
      <c r="A38" s="251" t="s">
        <v>46</v>
      </c>
      <c r="B38" s="78"/>
      <c r="C38" s="80">
        <f t="shared" ref="C38:D38" si="20">SUM(C32:C37)</f>
        <v>13771000</v>
      </c>
      <c r="D38" s="80">
        <f t="shared" si="20"/>
        <v>48303</v>
      </c>
      <c r="E38" s="81">
        <f t="shared" si="1"/>
        <v>2907006.557</v>
      </c>
      <c r="F38" s="81">
        <f t="shared" ref="F38:G38" si="21">SUM(F32:F37)</f>
        <v>3546548</v>
      </c>
      <c r="G38" s="252">
        <f t="shared" si="21"/>
        <v>3564280.74</v>
      </c>
      <c r="H38" s="81">
        <f>E38/(C38/1000)</f>
        <v>211.0962572</v>
      </c>
      <c r="I38" s="84">
        <f t="shared" si="4"/>
        <v>60.18273311</v>
      </c>
      <c r="J38" s="253"/>
      <c r="K38" s="240"/>
    </row>
    <row r="39">
      <c r="A39" s="54" t="s">
        <v>51</v>
      </c>
      <c r="B39" s="45" t="s">
        <v>75</v>
      </c>
      <c r="C39" s="21">
        <v>1303405.0</v>
      </c>
      <c r="D39" s="21">
        <v>2297.0</v>
      </c>
      <c r="E39" s="38">
        <f t="shared" si="1"/>
        <v>365918.7131</v>
      </c>
      <c r="F39" s="38">
        <v>446420.83</v>
      </c>
      <c r="G39" s="239">
        <f t="shared" ref="G39:G42" si="22">F39*1.005</f>
        <v>448652.9342</v>
      </c>
      <c r="H39" s="38">
        <f t="shared" ref="H39:H42" si="23">E39/C39*1000</f>
        <v>280.7406087</v>
      </c>
      <c r="I39" s="49">
        <f t="shared" si="4"/>
        <v>159.302879</v>
      </c>
      <c r="J39" s="240"/>
      <c r="K39" s="240"/>
    </row>
    <row r="40">
      <c r="A40" s="54" t="s">
        <v>40</v>
      </c>
      <c r="B40" s="45" t="s">
        <v>75</v>
      </c>
      <c r="C40" s="118">
        <v>2301681.0</v>
      </c>
      <c r="D40" s="263">
        <v>3795.0</v>
      </c>
      <c r="E40" s="38">
        <f t="shared" si="1"/>
        <v>199766.4098</v>
      </c>
      <c r="F40" s="38">
        <v>243715.02</v>
      </c>
      <c r="G40" s="239">
        <f t="shared" si="22"/>
        <v>244933.5951</v>
      </c>
      <c r="H40" s="38">
        <f t="shared" si="23"/>
        <v>86.79152751</v>
      </c>
      <c r="I40" s="49">
        <f t="shared" si="4"/>
        <v>52.63937018</v>
      </c>
      <c r="J40" s="241">
        <f t="shared" ref="J40:J41" si="24">H40*1.22</f>
        <v>105.8856636</v>
      </c>
      <c r="K40" s="240"/>
    </row>
    <row r="41">
      <c r="A41" s="54" t="s">
        <v>41</v>
      </c>
      <c r="B41" s="238" t="s">
        <v>75</v>
      </c>
      <c r="C41" s="21">
        <v>1653917.0</v>
      </c>
      <c r="D41" s="21">
        <v>3329.0</v>
      </c>
      <c r="E41" s="38">
        <f t="shared" si="1"/>
        <v>373538.9098</v>
      </c>
      <c r="F41" s="38">
        <v>455717.47</v>
      </c>
      <c r="G41" s="239">
        <f t="shared" si="22"/>
        <v>457996.0574</v>
      </c>
      <c r="H41" s="38">
        <f t="shared" si="23"/>
        <v>225.8510614</v>
      </c>
      <c r="I41" s="49">
        <f t="shared" si="4"/>
        <v>112.2075428</v>
      </c>
      <c r="J41" s="241">
        <f t="shared" si="24"/>
        <v>275.5382948</v>
      </c>
      <c r="K41" s="240"/>
    </row>
    <row r="42">
      <c r="A42" s="54" t="s">
        <v>23</v>
      </c>
      <c r="B42" s="238" t="s">
        <v>75</v>
      </c>
      <c r="C42" s="21">
        <v>1429945.0</v>
      </c>
      <c r="D42" s="21">
        <v>3455.0</v>
      </c>
      <c r="E42" s="38">
        <f t="shared" si="1"/>
        <v>367031.9672</v>
      </c>
      <c r="F42" s="38">
        <v>447779.0</v>
      </c>
      <c r="G42" s="239">
        <f t="shared" si="22"/>
        <v>450017.895</v>
      </c>
      <c r="H42" s="38">
        <f t="shared" si="23"/>
        <v>256.6755835</v>
      </c>
      <c r="I42" s="49">
        <f t="shared" si="4"/>
        <v>106.2321179</v>
      </c>
      <c r="J42" s="240"/>
      <c r="K42" s="240"/>
    </row>
    <row r="43">
      <c r="A43" s="251" t="s">
        <v>46</v>
      </c>
      <c r="B43" s="78"/>
      <c r="C43" s="80">
        <f t="shared" ref="C43:D43" si="25">SUM(C39:C42)</f>
        <v>6688948</v>
      </c>
      <c r="D43" s="80">
        <f t="shared" si="25"/>
        <v>12876</v>
      </c>
      <c r="E43" s="81">
        <f t="shared" si="1"/>
        <v>1306256</v>
      </c>
      <c r="F43" s="81">
        <f t="shared" ref="F43:G43" si="26">SUM(F39:F42)</f>
        <v>1593632.32</v>
      </c>
      <c r="G43" s="252">
        <f t="shared" si="26"/>
        <v>1601600.482</v>
      </c>
      <c r="H43" s="81">
        <f>E43/(C43/1000)</f>
        <v>195.2857161</v>
      </c>
      <c r="I43" s="84">
        <f t="shared" si="4"/>
        <v>101.4488972</v>
      </c>
      <c r="J43" s="253"/>
      <c r="K43" s="240"/>
    </row>
    <row r="44">
      <c r="A44" s="264" t="s">
        <v>78</v>
      </c>
      <c r="B44" s="122" t="s">
        <v>77</v>
      </c>
      <c r="C44" s="265">
        <v>6823646.0</v>
      </c>
      <c r="D44" s="124">
        <v>18391.0</v>
      </c>
      <c r="E44" s="38">
        <f t="shared" si="1"/>
        <v>274763.5164</v>
      </c>
      <c r="F44" s="38">
        <v>335211.49</v>
      </c>
      <c r="G44" s="239">
        <f t="shared" ref="G44:G48" si="27">F44*1.005</f>
        <v>336887.5475</v>
      </c>
      <c r="H44" s="38">
        <f t="shared" ref="H44:H48" si="28">E44/C44*1000</f>
        <v>40.26637906</v>
      </c>
      <c r="I44" s="49">
        <f t="shared" si="4"/>
        <v>14.94010747</v>
      </c>
      <c r="J44" s="241"/>
      <c r="K44" s="240"/>
    </row>
    <row r="45">
      <c r="A45" s="258" t="s">
        <v>41</v>
      </c>
      <c r="B45" s="122" t="s">
        <v>77</v>
      </c>
      <c r="C45" s="265">
        <v>1802085.0</v>
      </c>
      <c r="D45" s="124">
        <v>4407.0</v>
      </c>
      <c r="E45" s="38">
        <f t="shared" si="1"/>
        <v>540031.0492</v>
      </c>
      <c r="F45" s="38">
        <v>658837.88</v>
      </c>
      <c r="G45" s="239">
        <f t="shared" si="27"/>
        <v>662132.0694</v>
      </c>
      <c r="H45" s="38">
        <f t="shared" si="28"/>
        <v>299.6701316</v>
      </c>
      <c r="I45" s="49">
        <f t="shared" si="4"/>
        <v>122.5393803</v>
      </c>
      <c r="J45" s="241">
        <f t="shared" ref="J45:J46" si="29">H45*1.22</f>
        <v>365.5975606</v>
      </c>
      <c r="K45" s="240"/>
    </row>
    <row r="46">
      <c r="A46" s="54" t="s">
        <v>40</v>
      </c>
      <c r="B46" s="122" t="s">
        <v>77</v>
      </c>
      <c r="C46" s="265">
        <v>2190284.0</v>
      </c>
      <c r="D46" s="266">
        <v>3279.0</v>
      </c>
      <c r="E46" s="38">
        <f t="shared" si="1"/>
        <v>149938.5246</v>
      </c>
      <c r="F46" s="38">
        <v>182925.0</v>
      </c>
      <c r="G46" s="239">
        <f t="shared" si="27"/>
        <v>183839.625</v>
      </c>
      <c r="H46" s="38">
        <f t="shared" si="28"/>
        <v>68.4562023</v>
      </c>
      <c r="I46" s="49">
        <f t="shared" si="4"/>
        <v>45.72690594</v>
      </c>
      <c r="J46" s="241">
        <f t="shared" si="29"/>
        <v>83.5165668</v>
      </c>
      <c r="K46" s="240"/>
    </row>
    <row r="47">
      <c r="A47" s="54" t="s">
        <v>91</v>
      </c>
      <c r="B47" s="238" t="s">
        <v>77</v>
      </c>
      <c r="C47" s="21">
        <v>1759692.0</v>
      </c>
      <c r="D47" s="21">
        <v>5200.0</v>
      </c>
      <c r="E47" s="38">
        <f t="shared" si="1"/>
        <v>400400</v>
      </c>
      <c r="F47" s="38">
        <v>488488.0</v>
      </c>
      <c r="G47" s="239">
        <f t="shared" si="27"/>
        <v>490930.44</v>
      </c>
      <c r="H47" s="38">
        <f t="shared" si="28"/>
        <v>227.5398195</v>
      </c>
      <c r="I47" s="49">
        <f t="shared" si="4"/>
        <v>77</v>
      </c>
      <c r="J47" s="241"/>
      <c r="K47" s="240"/>
    </row>
    <row r="48">
      <c r="A48" s="54" t="s">
        <v>35</v>
      </c>
      <c r="B48" s="238" t="s">
        <v>77</v>
      </c>
      <c r="C48" s="21">
        <v>3331275.0</v>
      </c>
      <c r="D48" s="21">
        <v>1965.0</v>
      </c>
      <c r="E48" s="38">
        <f t="shared" si="1"/>
        <v>696675.6639</v>
      </c>
      <c r="F48" s="38">
        <v>849944.31</v>
      </c>
      <c r="G48" s="239">
        <f t="shared" si="27"/>
        <v>854194.0316</v>
      </c>
      <c r="H48" s="38">
        <f t="shared" si="28"/>
        <v>209.1318381</v>
      </c>
      <c r="I48" s="49">
        <f t="shared" si="4"/>
        <v>354.5423226</v>
      </c>
      <c r="J48" s="240"/>
      <c r="K48" s="240"/>
    </row>
    <row r="49">
      <c r="A49" s="267" t="s">
        <v>46</v>
      </c>
      <c r="B49" s="78"/>
      <c r="C49" s="137">
        <f t="shared" ref="C49:D49" si="30">SUM(C44:C48)</f>
        <v>15906982</v>
      </c>
      <c r="D49" s="137">
        <f t="shared" si="30"/>
        <v>33242</v>
      </c>
      <c r="E49" s="138">
        <f t="shared" si="1"/>
        <v>2061808.754</v>
      </c>
      <c r="F49" s="138">
        <f t="shared" ref="F49:G49" si="31">SUM(F44:F48)</f>
        <v>2515406.68</v>
      </c>
      <c r="G49" s="268">
        <f t="shared" si="31"/>
        <v>2527983.713</v>
      </c>
      <c r="H49" s="81">
        <f>E49/(C49/1000)</f>
        <v>129.6165894</v>
      </c>
      <c r="I49" s="84">
        <f t="shared" si="4"/>
        <v>62.02420896</v>
      </c>
      <c r="J49" s="253"/>
      <c r="K49" s="240"/>
    </row>
    <row r="50">
      <c r="A50" s="54" t="s">
        <v>41</v>
      </c>
      <c r="B50" s="238" t="s">
        <v>80</v>
      </c>
      <c r="C50" s="21">
        <v>434094.0</v>
      </c>
      <c r="D50" s="21">
        <v>4114.0</v>
      </c>
      <c r="E50" s="38">
        <f t="shared" si="1"/>
        <v>106266.7131</v>
      </c>
      <c r="F50" s="38">
        <v>129645.39</v>
      </c>
      <c r="G50" s="239">
        <f t="shared" ref="G50:G52" si="32">F50*1.005</f>
        <v>130293.617</v>
      </c>
      <c r="H50" s="38">
        <f t="shared" ref="H50:H52" si="33">E50/C50*1000</f>
        <v>244.8011562</v>
      </c>
      <c r="I50" s="49">
        <f t="shared" si="4"/>
        <v>25.83050878</v>
      </c>
      <c r="J50" s="241">
        <f>H50*1.22</f>
        <v>298.6574106</v>
      </c>
      <c r="K50" s="240"/>
    </row>
    <row r="51">
      <c r="A51" s="54" t="s">
        <v>39</v>
      </c>
      <c r="B51" s="238" t="s">
        <v>80</v>
      </c>
      <c r="C51" s="21">
        <v>1401429.0</v>
      </c>
      <c r="D51" s="21">
        <v>16266.0</v>
      </c>
      <c r="E51" s="38">
        <f t="shared" si="1"/>
        <v>224228.6393</v>
      </c>
      <c r="F51" s="38">
        <v>273558.94</v>
      </c>
      <c r="G51" s="239">
        <f t="shared" si="32"/>
        <v>274926.7347</v>
      </c>
      <c r="H51" s="38">
        <f t="shared" si="33"/>
        <v>159.9999995</v>
      </c>
      <c r="I51" s="49">
        <f t="shared" si="4"/>
        <v>13.78511246</v>
      </c>
      <c r="J51" s="241"/>
      <c r="K51" s="240"/>
    </row>
    <row r="52">
      <c r="A52" s="54" t="s">
        <v>78</v>
      </c>
      <c r="B52" s="238" t="s">
        <v>80</v>
      </c>
      <c r="C52" s="21">
        <v>3646100.0</v>
      </c>
      <c r="D52" s="21">
        <v>11168.0</v>
      </c>
      <c r="E52" s="38">
        <f t="shared" si="1"/>
        <v>169985.6967</v>
      </c>
      <c r="F52" s="38">
        <v>207382.55</v>
      </c>
      <c r="G52" s="239">
        <f t="shared" si="32"/>
        <v>208419.4628</v>
      </c>
      <c r="H52" s="38">
        <f t="shared" si="33"/>
        <v>46.62123823</v>
      </c>
      <c r="I52" s="49">
        <f t="shared" si="4"/>
        <v>15.2207823</v>
      </c>
      <c r="J52" s="241"/>
      <c r="K52" s="240"/>
    </row>
    <row r="53">
      <c r="A53" s="251" t="s">
        <v>46</v>
      </c>
      <c r="B53" s="78"/>
      <c r="C53" s="80">
        <f t="shared" ref="C53:D53" si="34">SUM(C50:C52)</f>
        <v>5481623</v>
      </c>
      <c r="D53" s="80">
        <f t="shared" si="34"/>
        <v>31548</v>
      </c>
      <c r="E53" s="81">
        <f t="shared" si="1"/>
        <v>500481.0492</v>
      </c>
      <c r="F53" s="138">
        <f t="shared" ref="F53:G53" si="35">SUM(F50:F52)</f>
        <v>610586.88</v>
      </c>
      <c r="G53" s="268">
        <f t="shared" si="35"/>
        <v>613639.8144</v>
      </c>
      <c r="H53" s="81">
        <f>E53/(C53/1000)</f>
        <v>91.301618</v>
      </c>
      <c r="I53" s="84">
        <f t="shared" si="4"/>
        <v>15.86411339</v>
      </c>
      <c r="J53" s="253"/>
      <c r="K53" s="240"/>
    </row>
    <row r="54">
      <c r="A54" s="54" t="s">
        <v>39</v>
      </c>
      <c r="B54" s="238" t="s">
        <v>81</v>
      </c>
      <c r="C54" s="21">
        <v>2155841.0</v>
      </c>
      <c r="D54" s="21">
        <v>16910.0</v>
      </c>
      <c r="E54" s="38">
        <f t="shared" si="1"/>
        <v>344934.5574</v>
      </c>
      <c r="F54" s="38">
        <v>420820.16</v>
      </c>
      <c r="G54" s="239">
        <f t="shared" ref="G54:G58" si="36">F54*1.005</f>
        <v>422924.2608</v>
      </c>
      <c r="H54" s="38">
        <f t="shared" ref="H54:H58" si="37">E54/C54*1000</f>
        <v>159.9999988</v>
      </c>
      <c r="I54" s="49">
        <f t="shared" si="4"/>
        <v>20.39825886</v>
      </c>
      <c r="J54" s="241"/>
      <c r="K54" s="240"/>
    </row>
    <row r="55">
      <c r="A55" s="54" t="s">
        <v>35</v>
      </c>
      <c r="B55" s="238" t="s">
        <v>81</v>
      </c>
      <c r="C55" s="21">
        <v>963358.0</v>
      </c>
      <c r="D55" s="21">
        <v>531.0</v>
      </c>
      <c r="E55" s="38">
        <f t="shared" si="1"/>
        <v>201300</v>
      </c>
      <c r="F55" s="38">
        <v>245586.0</v>
      </c>
      <c r="G55" s="239">
        <f t="shared" si="36"/>
        <v>246813.93</v>
      </c>
      <c r="H55" s="38">
        <f t="shared" si="37"/>
        <v>208.9565873</v>
      </c>
      <c r="I55" s="49">
        <f t="shared" si="4"/>
        <v>379.0960452</v>
      </c>
      <c r="J55" s="240"/>
      <c r="K55" s="240"/>
    </row>
    <row r="56">
      <c r="A56" s="54" t="s">
        <v>131</v>
      </c>
      <c r="B56" s="238" t="s">
        <v>81</v>
      </c>
      <c r="C56" s="21">
        <v>1004012.0</v>
      </c>
      <c r="D56" s="21">
        <v>11942.0</v>
      </c>
      <c r="E56" s="38">
        <f t="shared" si="1"/>
        <v>148000</v>
      </c>
      <c r="F56" s="38">
        <v>180560.0</v>
      </c>
      <c r="G56" s="239">
        <f t="shared" si="36"/>
        <v>181462.8</v>
      </c>
      <c r="H56" s="38">
        <f t="shared" si="37"/>
        <v>147.4085967</v>
      </c>
      <c r="I56" s="49">
        <f t="shared" si="4"/>
        <v>12.39323396</v>
      </c>
      <c r="J56" s="241"/>
      <c r="K56" s="240"/>
    </row>
    <row r="57">
      <c r="A57" s="54" t="s">
        <v>134</v>
      </c>
      <c r="B57" s="238" t="s">
        <v>81</v>
      </c>
      <c r="C57" s="21">
        <v>3001440.0</v>
      </c>
      <c r="D57" s="21">
        <v>7923.0</v>
      </c>
      <c r="E57" s="38">
        <f t="shared" si="1"/>
        <v>113050.0328</v>
      </c>
      <c r="F57" s="38">
        <v>137921.04</v>
      </c>
      <c r="G57" s="239">
        <f t="shared" si="36"/>
        <v>138610.6452</v>
      </c>
      <c r="H57" s="38">
        <f t="shared" si="37"/>
        <v>37.66526494</v>
      </c>
      <c r="I57" s="49">
        <f t="shared" si="4"/>
        <v>14.26858927</v>
      </c>
      <c r="J57" s="241"/>
      <c r="K57" s="240"/>
    </row>
    <row r="58">
      <c r="A58" s="54" t="s">
        <v>54</v>
      </c>
      <c r="B58" s="238" t="s">
        <v>81</v>
      </c>
      <c r="C58" s="21">
        <v>1616263.0</v>
      </c>
      <c r="D58" s="21">
        <v>3297.0</v>
      </c>
      <c r="E58" s="38">
        <f t="shared" si="1"/>
        <v>526350</v>
      </c>
      <c r="F58" s="38">
        <v>642147.0</v>
      </c>
      <c r="G58" s="239">
        <f t="shared" si="36"/>
        <v>645357.735</v>
      </c>
      <c r="H58" s="38">
        <f t="shared" si="37"/>
        <v>325.6586335</v>
      </c>
      <c r="I58" s="49">
        <f t="shared" si="4"/>
        <v>159.6451319</v>
      </c>
      <c r="J58" s="241"/>
      <c r="K58" s="240"/>
    </row>
    <row r="59">
      <c r="A59" s="251" t="s">
        <v>46</v>
      </c>
      <c r="B59" s="78"/>
      <c r="C59" s="80">
        <f t="shared" ref="C59:D59" si="38">SUM(C54:C58)</f>
        <v>8740914</v>
      </c>
      <c r="D59" s="80">
        <f t="shared" si="38"/>
        <v>40603</v>
      </c>
      <c r="E59" s="81">
        <f t="shared" si="1"/>
        <v>1333634.59</v>
      </c>
      <c r="F59" s="81">
        <f t="shared" ref="F59:G59" si="39">SUM(F54:F58)</f>
        <v>1627034.2</v>
      </c>
      <c r="G59" s="252">
        <f t="shared" si="39"/>
        <v>1635169.371</v>
      </c>
      <c r="H59" s="81">
        <f>E59/(C59/1000)</f>
        <v>152.5738144</v>
      </c>
      <c r="I59" s="84">
        <f t="shared" si="4"/>
        <v>32.84571559</v>
      </c>
      <c r="J59" s="253"/>
      <c r="K59" s="240"/>
    </row>
    <row r="60">
      <c r="A60" s="54" t="s">
        <v>41</v>
      </c>
      <c r="B60" s="238" t="s">
        <v>84</v>
      </c>
      <c r="C60" s="21">
        <v>994878.0</v>
      </c>
      <c r="D60" s="21">
        <v>8127.0</v>
      </c>
      <c r="E60" s="38">
        <f t="shared" si="1"/>
        <v>265070.2377</v>
      </c>
      <c r="F60" s="38">
        <v>323385.69</v>
      </c>
      <c r="G60" s="239">
        <f t="shared" ref="G60:G64" si="40">F60*1.005</f>
        <v>325002.6185</v>
      </c>
      <c r="H60" s="38">
        <f t="shared" ref="H60:H64" si="41">E60/C60*1000</f>
        <v>266.4349174</v>
      </c>
      <c r="I60" s="49">
        <f t="shared" si="4"/>
        <v>32.6160007</v>
      </c>
      <c r="J60" s="241">
        <f>H60*1.22</f>
        <v>325.0505992</v>
      </c>
      <c r="K60" s="240"/>
    </row>
    <row r="61">
      <c r="A61" s="54" t="s">
        <v>39</v>
      </c>
      <c r="B61" s="238" t="s">
        <v>84</v>
      </c>
      <c r="C61" s="21">
        <v>1391996.0</v>
      </c>
      <c r="D61" s="21">
        <v>14267.0</v>
      </c>
      <c r="E61" s="38">
        <f t="shared" si="1"/>
        <v>222719.3607</v>
      </c>
      <c r="F61" s="38">
        <v>271717.62</v>
      </c>
      <c r="G61" s="239">
        <f t="shared" si="40"/>
        <v>273076.2081</v>
      </c>
      <c r="H61" s="38">
        <f t="shared" si="41"/>
        <v>160.0000005</v>
      </c>
      <c r="I61" s="49">
        <f t="shared" si="4"/>
        <v>15.6108054</v>
      </c>
      <c r="J61" s="240"/>
      <c r="K61" s="240"/>
    </row>
    <row r="62">
      <c r="A62" s="54" t="s">
        <v>40</v>
      </c>
      <c r="B62" s="238" t="s">
        <v>84</v>
      </c>
      <c r="C62" s="21">
        <v>1880859.0</v>
      </c>
      <c r="D62" s="21">
        <v>5438.0</v>
      </c>
      <c r="E62" s="38">
        <f t="shared" si="1"/>
        <v>157434.0246</v>
      </c>
      <c r="F62" s="38">
        <v>192069.51</v>
      </c>
      <c r="G62" s="239">
        <f t="shared" si="40"/>
        <v>193029.8576</v>
      </c>
      <c r="H62" s="38">
        <f t="shared" si="41"/>
        <v>83.70325718</v>
      </c>
      <c r="I62" s="49">
        <f t="shared" si="4"/>
        <v>28.9507217</v>
      </c>
      <c r="J62" s="241">
        <f>H62*1.22</f>
        <v>102.1179738</v>
      </c>
      <c r="K62" s="240"/>
    </row>
    <row r="63">
      <c r="A63" s="54" t="s">
        <v>35</v>
      </c>
      <c r="B63" s="238" t="s">
        <v>84</v>
      </c>
      <c r="C63" s="21">
        <v>737949.0</v>
      </c>
      <c r="D63" s="21">
        <v>356.0</v>
      </c>
      <c r="E63" s="38">
        <f t="shared" si="1"/>
        <v>154000</v>
      </c>
      <c r="F63" s="38">
        <v>187880.0</v>
      </c>
      <c r="G63" s="239">
        <f t="shared" si="40"/>
        <v>188819.4</v>
      </c>
      <c r="H63" s="38">
        <f t="shared" si="41"/>
        <v>208.6865081</v>
      </c>
      <c r="I63" s="49">
        <f t="shared" si="4"/>
        <v>432.5842697</v>
      </c>
      <c r="J63" s="240"/>
      <c r="K63" s="240"/>
    </row>
    <row r="64">
      <c r="A64" s="54" t="s">
        <v>121</v>
      </c>
      <c r="B64" s="238" t="s">
        <v>84</v>
      </c>
      <c r="C64" s="21">
        <v>1476838.0</v>
      </c>
      <c r="D64" s="21">
        <v>1769.0</v>
      </c>
      <c r="E64" s="38">
        <f t="shared" si="1"/>
        <v>515375</v>
      </c>
      <c r="F64" s="38">
        <v>628757.5</v>
      </c>
      <c r="G64" s="239">
        <f t="shared" si="40"/>
        <v>631901.2875</v>
      </c>
      <c r="H64" s="38">
        <f t="shared" si="41"/>
        <v>348.9719252</v>
      </c>
      <c r="I64" s="49">
        <f t="shared" si="4"/>
        <v>291.3369135</v>
      </c>
      <c r="J64" s="241"/>
      <c r="K64" s="240"/>
    </row>
    <row r="65">
      <c r="A65" s="251" t="s">
        <v>46</v>
      </c>
      <c r="B65" s="78"/>
      <c r="C65" s="80">
        <f t="shared" ref="C65:D65" si="42">SUM(C60:C64)</f>
        <v>6482520</v>
      </c>
      <c r="D65" s="80">
        <f t="shared" si="42"/>
        <v>29957</v>
      </c>
      <c r="E65" s="81">
        <f t="shared" si="1"/>
        <v>1314598.623</v>
      </c>
      <c r="F65" s="81">
        <f t="shared" ref="F65:G65" si="43">SUM(F60:F64)</f>
        <v>1603810.32</v>
      </c>
      <c r="G65" s="252">
        <f t="shared" si="43"/>
        <v>1611829.372</v>
      </c>
      <c r="H65" s="81">
        <f>E65/(C65/1000)</f>
        <v>202.7912946</v>
      </c>
      <c r="I65" s="84">
        <f t="shared" si="4"/>
        <v>43.88285285</v>
      </c>
      <c r="J65" s="253"/>
      <c r="K65" s="240"/>
    </row>
    <row r="66">
      <c r="A66" s="54" t="s">
        <v>51</v>
      </c>
      <c r="B66" s="144" t="s">
        <v>87</v>
      </c>
      <c r="C66" s="21">
        <v>596345.0</v>
      </c>
      <c r="D66" s="21">
        <v>1583.0</v>
      </c>
      <c r="E66" s="38">
        <f t="shared" si="1"/>
        <v>169209.1475</v>
      </c>
      <c r="F66" s="38">
        <v>206435.16</v>
      </c>
      <c r="G66" s="239">
        <f t="shared" ref="G66:G71" si="44">F66*1.005</f>
        <v>207467.3358</v>
      </c>
      <c r="H66" s="38">
        <f t="shared" ref="H66:H71" si="45">E66/C66*1000</f>
        <v>283.7437181</v>
      </c>
      <c r="I66" s="49">
        <f t="shared" si="4"/>
        <v>106.8914387</v>
      </c>
      <c r="J66" s="241"/>
      <c r="K66" s="240"/>
    </row>
    <row r="67">
      <c r="A67" s="54" t="s">
        <v>23</v>
      </c>
      <c r="B67" s="144" t="s">
        <v>87</v>
      </c>
      <c r="C67" s="21">
        <v>756912.0</v>
      </c>
      <c r="D67" s="21">
        <v>1617.0</v>
      </c>
      <c r="E67" s="38">
        <f t="shared" si="1"/>
        <v>199800</v>
      </c>
      <c r="F67" s="38">
        <v>243756.0</v>
      </c>
      <c r="G67" s="239">
        <f t="shared" si="44"/>
        <v>244974.78</v>
      </c>
      <c r="H67" s="38">
        <f t="shared" si="45"/>
        <v>263.9672776</v>
      </c>
      <c r="I67" s="49">
        <f t="shared" si="4"/>
        <v>123.5621521</v>
      </c>
      <c r="J67" s="240"/>
      <c r="K67" s="240"/>
    </row>
    <row r="68">
      <c r="A68" s="54" t="s">
        <v>39</v>
      </c>
      <c r="B68" s="144" t="s">
        <v>87</v>
      </c>
      <c r="C68" s="118">
        <v>1244264.0</v>
      </c>
      <c r="D68" s="21">
        <v>16602.0</v>
      </c>
      <c r="E68" s="38">
        <f t="shared" si="1"/>
        <v>199081.1803</v>
      </c>
      <c r="F68" s="38">
        <v>242879.04</v>
      </c>
      <c r="G68" s="239">
        <f t="shared" si="44"/>
        <v>244093.4352</v>
      </c>
      <c r="H68" s="38">
        <f t="shared" si="45"/>
        <v>159.9991484</v>
      </c>
      <c r="I68" s="49">
        <f t="shared" si="4"/>
        <v>11.99139744</v>
      </c>
      <c r="J68" s="241"/>
      <c r="K68" s="240"/>
    </row>
    <row r="69">
      <c r="A69" s="54" t="s">
        <v>57</v>
      </c>
      <c r="B69" s="144" t="s">
        <v>87</v>
      </c>
      <c r="C69" s="118">
        <v>819680.0</v>
      </c>
      <c r="D69" s="21">
        <v>12457.0</v>
      </c>
      <c r="E69" s="38">
        <f t="shared" si="1"/>
        <v>204918</v>
      </c>
      <c r="F69" s="38">
        <v>249999.96</v>
      </c>
      <c r="G69" s="239">
        <f t="shared" si="44"/>
        <v>251249.9598</v>
      </c>
      <c r="H69" s="38">
        <f t="shared" si="45"/>
        <v>249.99756</v>
      </c>
      <c r="I69" s="49">
        <f t="shared" si="4"/>
        <v>16.4500281</v>
      </c>
      <c r="J69" s="241"/>
      <c r="K69" s="240"/>
    </row>
    <row r="70">
      <c r="A70" s="54" t="s">
        <v>41</v>
      </c>
      <c r="B70" s="238" t="s">
        <v>87</v>
      </c>
      <c r="C70" s="21">
        <v>485930.0</v>
      </c>
      <c r="D70" s="21">
        <v>2721.0</v>
      </c>
      <c r="E70" s="38">
        <f t="shared" si="1"/>
        <v>123012.1393</v>
      </c>
      <c r="F70" s="38">
        <v>150074.81</v>
      </c>
      <c r="G70" s="239">
        <f t="shared" si="44"/>
        <v>150825.1841</v>
      </c>
      <c r="H70" s="38">
        <f t="shared" si="45"/>
        <v>253.1478595</v>
      </c>
      <c r="I70" s="49">
        <f t="shared" si="4"/>
        <v>45.20843048</v>
      </c>
      <c r="J70" s="241">
        <f>H70*1.22</f>
        <v>308.8403885</v>
      </c>
      <c r="K70" s="240"/>
    </row>
    <row r="71">
      <c r="A71" s="54" t="s">
        <v>35</v>
      </c>
      <c r="B71" s="238" t="s">
        <v>87</v>
      </c>
      <c r="C71" s="21">
        <v>435876.0</v>
      </c>
      <c r="D71" s="21">
        <v>828.0</v>
      </c>
      <c r="E71" s="38">
        <f t="shared" si="1"/>
        <v>131672.1311</v>
      </c>
      <c r="F71" s="38">
        <v>160640.0</v>
      </c>
      <c r="G71" s="239">
        <f t="shared" si="44"/>
        <v>161443.2</v>
      </c>
      <c r="H71" s="38">
        <f t="shared" si="45"/>
        <v>302.0862152</v>
      </c>
      <c r="I71" s="49">
        <f t="shared" si="4"/>
        <v>159.024313</v>
      </c>
      <c r="J71" s="241"/>
      <c r="K71" s="240"/>
    </row>
    <row r="72">
      <c r="A72" s="251" t="s">
        <v>46</v>
      </c>
      <c r="B72" s="78"/>
      <c r="C72" s="80">
        <f t="shared" ref="C72:D72" si="46">SUM(C66:C71)</f>
        <v>4339007</v>
      </c>
      <c r="D72" s="80">
        <f t="shared" si="46"/>
        <v>35808</v>
      </c>
      <c r="E72" s="81">
        <f t="shared" si="1"/>
        <v>1027692.598</v>
      </c>
      <c r="F72" s="81">
        <f t="shared" ref="F72:G72" si="47">SUM(F66:F71)</f>
        <v>1253784.97</v>
      </c>
      <c r="G72" s="252">
        <f t="shared" si="47"/>
        <v>1260053.895</v>
      </c>
      <c r="H72" s="81">
        <f>E72/(C72/1000)</f>
        <v>236.8497212</v>
      </c>
      <c r="I72" s="84">
        <f t="shared" si="4"/>
        <v>28.70008373</v>
      </c>
      <c r="J72" s="253"/>
      <c r="K72" s="240"/>
    </row>
    <row r="73">
      <c r="A73" s="54" t="s">
        <v>23</v>
      </c>
      <c r="B73" s="238" t="s">
        <v>89</v>
      </c>
      <c r="C73" s="21">
        <v>894261.0</v>
      </c>
      <c r="D73" s="21">
        <v>1654.0</v>
      </c>
      <c r="E73" s="38">
        <f t="shared" si="1"/>
        <v>208124.5902</v>
      </c>
      <c r="F73" s="38">
        <v>253912.0</v>
      </c>
      <c r="G73" s="239">
        <f t="shared" ref="G73:G80" si="48">F73*1.005</f>
        <v>255181.56</v>
      </c>
      <c r="H73" s="38">
        <f t="shared" ref="H73:H80" si="49">E73/C73*1000</f>
        <v>232.7336093</v>
      </c>
      <c r="I73" s="49">
        <f t="shared" si="4"/>
        <v>125.8310702</v>
      </c>
      <c r="J73" s="241"/>
      <c r="K73" s="240"/>
    </row>
    <row r="74">
      <c r="A74" s="54" t="s">
        <v>40</v>
      </c>
      <c r="B74" s="238" t="s">
        <v>89</v>
      </c>
      <c r="C74" s="21">
        <v>2043657.0</v>
      </c>
      <c r="D74" s="21">
        <v>4220.0</v>
      </c>
      <c r="E74" s="38">
        <f t="shared" si="1"/>
        <v>222435.8361</v>
      </c>
      <c r="F74" s="38">
        <v>271371.72</v>
      </c>
      <c r="G74" s="239">
        <f t="shared" si="48"/>
        <v>272728.5786</v>
      </c>
      <c r="H74" s="38">
        <f t="shared" si="49"/>
        <v>108.8420591</v>
      </c>
      <c r="I74" s="49">
        <f t="shared" si="4"/>
        <v>52.70991376</v>
      </c>
      <c r="J74" s="241">
        <f t="shared" ref="J74:J75" si="50">H74*1.22</f>
        <v>132.7873122</v>
      </c>
      <c r="K74" s="240"/>
    </row>
    <row r="75">
      <c r="A75" s="54" t="s">
        <v>41</v>
      </c>
      <c r="B75" s="238" t="s">
        <v>89</v>
      </c>
      <c r="C75" s="21">
        <v>1202515.0</v>
      </c>
      <c r="D75" s="21">
        <v>2295.0</v>
      </c>
      <c r="E75" s="38">
        <f t="shared" si="1"/>
        <v>361333.6721</v>
      </c>
      <c r="F75" s="38">
        <v>440827.08</v>
      </c>
      <c r="G75" s="239">
        <f t="shared" si="48"/>
        <v>443031.2154</v>
      </c>
      <c r="H75" s="38">
        <f t="shared" si="49"/>
        <v>300.481634</v>
      </c>
      <c r="I75" s="49">
        <f t="shared" si="4"/>
        <v>157.4438659</v>
      </c>
      <c r="J75" s="241">
        <f t="shared" si="50"/>
        <v>366.5875935</v>
      </c>
      <c r="K75" s="240"/>
    </row>
    <row r="76">
      <c r="A76" s="54" t="s">
        <v>91</v>
      </c>
      <c r="B76" s="238" t="s">
        <v>89</v>
      </c>
      <c r="C76" s="21">
        <v>1220823.0</v>
      </c>
      <c r="D76" s="21">
        <v>4343.0</v>
      </c>
      <c r="E76" s="38">
        <f t="shared" si="1"/>
        <v>318600</v>
      </c>
      <c r="F76" s="38">
        <v>388692.0</v>
      </c>
      <c r="G76" s="239">
        <f t="shared" si="48"/>
        <v>390635.46</v>
      </c>
      <c r="H76" s="38">
        <f t="shared" si="49"/>
        <v>260.9714922</v>
      </c>
      <c r="I76" s="49">
        <f t="shared" si="4"/>
        <v>73.35942897</v>
      </c>
      <c r="J76" s="241"/>
      <c r="K76" s="240"/>
    </row>
    <row r="77">
      <c r="A77" s="54" t="s">
        <v>39</v>
      </c>
      <c r="B77" s="238" t="s">
        <v>89</v>
      </c>
      <c r="C77" s="21">
        <v>2689012.0</v>
      </c>
      <c r="D77" s="21">
        <v>21871.0</v>
      </c>
      <c r="E77" s="38">
        <f t="shared" si="1"/>
        <v>430241.918</v>
      </c>
      <c r="F77" s="38">
        <v>524895.14</v>
      </c>
      <c r="G77" s="239">
        <f t="shared" si="48"/>
        <v>527519.6157</v>
      </c>
      <c r="H77" s="38">
        <f t="shared" si="49"/>
        <v>159.9999993</v>
      </c>
      <c r="I77" s="49">
        <f t="shared" si="4"/>
        <v>19.6717991</v>
      </c>
      <c r="J77" s="241"/>
      <c r="K77" s="240"/>
    </row>
    <row r="78">
      <c r="A78" s="54" t="s">
        <v>88</v>
      </c>
      <c r="B78" s="238" t="s">
        <v>89</v>
      </c>
      <c r="C78" s="21">
        <v>1643746.0</v>
      </c>
      <c r="D78" s="21">
        <v>3751.0</v>
      </c>
      <c r="E78" s="38">
        <f t="shared" si="1"/>
        <v>486323.2049</v>
      </c>
      <c r="F78" s="38">
        <v>593314.31</v>
      </c>
      <c r="G78" s="239">
        <f t="shared" si="48"/>
        <v>596280.8816</v>
      </c>
      <c r="H78" s="38">
        <f t="shared" si="49"/>
        <v>295.8627458</v>
      </c>
      <c r="I78" s="49">
        <f t="shared" si="4"/>
        <v>129.6516142</v>
      </c>
      <c r="J78" s="241"/>
      <c r="K78" s="240"/>
    </row>
    <row r="79">
      <c r="A79" s="54" t="s">
        <v>55</v>
      </c>
      <c r="B79" s="238" t="s">
        <v>89</v>
      </c>
      <c r="C79" s="21">
        <v>300042.0</v>
      </c>
      <c r="D79" s="21">
        <v>375.0</v>
      </c>
      <c r="E79" s="38">
        <f t="shared" si="1"/>
        <v>600300</v>
      </c>
      <c r="F79" s="38">
        <v>732366.0</v>
      </c>
      <c r="G79" s="239">
        <f t="shared" si="48"/>
        <v>736027.83</v>
      </c>
      <c r="H79" s="38">
        <f t="shared" si="49"/>
        <v>2000.719899</v>
      </c>
      <c r="I79" s="49">
        <f t="shared" si="4"/>
        <v>1600.8</v>
      </c>
      <c r="J79" s="241"/>
      <c r="K79" s="240"/>
    </row>
    <row r="80">
      <c r="A80" s="54" t="s">
        <v>123</v>
      </c>
      <c r="B80" s="238" t="s">
        <v>89</v>
      </c>
      <c r="C80" s="21">
        <v>921246.0</v>
      </c>
      <c r="D80" s="21">
        <v>2320.0</v>
      </c>
      <c r="E80" s="38">
        <f t="shared" si="1"/>
        <v>403083.7541</v>
      </c>
      <c r="F80" s="44">
        <v>491762.18</v>
      </c>
      <c r="G80" s="239">
        <f t="shared" si="48"/>
        <v>494220.9909</v>
      </c>
      <c r="H80" s="38">
        <f t="shared" si="49"/>
        <v>437.5419314</v>
      </c>
      <c r="I80" s="49">
        <f t="shared" si="4"/>
        <v>173.7429975</v>
      </c>
      <c r="J80" s="241"/>
      <c r="K80" s="240"/>
    </row>
    <row r="81">
      <c r="A81" s="251" t="s">
        <v>46</v>
      </c>
      <c r="B81" s="78"/>
      <c r="C81" s="80">
        <f t="shared" ref="C81:D81" si="51">SUM(C73:C80)</f>
        <v>10915302</v>
      </c>
      <c r="D81" s="80">
        <f t="shared" si="51"/>
        <v>40829</v>
      </c>
      <c r="E81" s="81">
        <f t="shared" si="1"/>
        <v>3030442.975</v>
      </c>
      <c r="F81" s="81">
        <f t="shared" ref="F81:G81" si="52">SUM(F73:F80)</f>
        <v>3697140.43</v>
      </c>
      <c r="G81" s="252">
        <f t="shared" si="52"/>
        <v>3715626.132</v>
      </c>
      <c r="H81" s="81">
        <f>E81/(C81/1000)</f>
        <v>277.632536</v>
      </c>
      <c r="I81" s="84">
        <f t="shared" si="4"/>
        <v>74.22280672</v>
      </c>
      <c r="J81" s="253"/>
      <c r="K81" s="240"/>
    </row>
    <row r="82">
      <c r="A82" s="54" t="s">
        <v>78</v>
      </c>
      <c r="B82" s="238" t="s">
        <v>90</v>
      </c>
      <c r="C82" s="21">
        <v>2606317.0</v>
      </c>
      <c r="D82" s="21">
        <v>13797.0</v>
      </c>
      <c r="E82" s="38">
        <f t="shared" si="1"/>
        <v>212159.5164</v>
      </c>
      <c r="F82" s="38">
        <v>258834.61</v>
      </c>
      <c r="G82" s="239">
        <f t="shared" ref="G82:G84" si="53">F82*1.005</f>
        <v>260128.7831</v>
      </c>
      <c r="H82" s="38">
        <f t="shared" ref="H82:H84" si="54">E82/C82*1000</f>
        <v>81.40203835</v>
      </c>
      <c r="I82" s="49">
        <f t="shared" si="4"/>
        <v>15.37722087</v>
      </c>
      <c r="J82" s="241">
        <f>I82*1.22</f>
        <v>18.76020947</v>
      </c>
      <c r="K82" s="240"/>
    </row>
    <row r="83">
      <c r="A83" s="54" t="s">
        <v>23</v>
      </c>
      <c r="B83" s="45" t="s">
        <v>90</v>
      </c>
      <c r="C83" s="21">
        <v>516110.0</v>
      </c>
      <c r="D83" s="21">
        <v>976.0</v>
      </c>
      <c r="E83" s="38">
        <f t="shared" si="1"/>
        <v>123209.8361</v>
      </c>
      <c r="F83" s="38">
        <v>150316.0</v>
      </c>
      <c r="G83" s="239">
        <f t="shared" si="53"/>
        <v>151067.58</v>
      </c>
      <c r="H83" s="38">
        <f t="shared" si="54"/>
        <v>238.7278605</v>
      </c>
      <c r="I83" s="49">
        <f t="shared" si="4"/>
        <v>126.2395861</v>
      </c>
      <c r="J83" s="241"/>
      <c r="K83" s="240"/>
    </row>
    <row r="84">
      <c r="A84" s="54" t="s">
        <v>91</v>
      </c>
      <c r="B84" s="238" t="s">
        <v>90</v>
      </c>
      <c r="C84" s="21">
        <v>2000596.0</v>
      </c>
      <c r="D84" s="21">
        <v>6218.0</v>
      </c>
      <c r="E84" s="38">
        <f t="shared" si="1"/>
        <v>513000</v>
      </c>
      <c r="F84" s="38">
        <v>625860.0</v>
      </c>
      <c r="G84" s="239">
        <f t="shared" si="53"/>
        <v>628989.3</v>
      </c>
      <c r="H84" s="38">
        <f t="shared" si="54"/>
        <v>256.4235858</v>
      </c>
      <c r="I84" s="49">
        <f t="shared" si="4"/>
        <v>82.50241235</v>
      </c>
      <c r="J84" s="241"/>
      <c r="K84" s="240"/>
    </row>
    <row r="85">
      <c r="A85" s="251" t="s">
        <v>46</v>
      </c>
      <c r="B85" s="78"/>
      <c r="C85" s="80">
        <f t="shared" ref="C85:D85" si="55">SUM(C82:C84)</f>
        <v>5123023</v>
      </c>
      <c r="D85" s="80">
        <f t="shared" si="55"/>
        <v>20991</v>
      </c>
      <c r="E85" s="81">
        <f t="shared" si="1"/>
        <v>848369.3525</v>
      </c>
      <c r="F85" s="81">
        <f t="shared" ref="F85:G85" si="56">SUM(F82:F84)</f>
        <v>1035010.61</v>
      </c>
      <c r="G85" s="252">
        <f t="shared" si="56"/>
        <v>1040185.663</v>
      </c>
      <c r="H85" s="81">
        <f>E85/(C85/1000)</f>
        <v>165.5993644</v>
      </c>
      <c r="I85" s="84">
        <f t="shared" si="4"/>
        <v>40.41586168</v>
      </c>
      <c r="J85" s="253"/>
      <c r="K85" s="240"/>
    </row>
    <row r="86">
      <c r="A86" s="54" t="s">
        <v>39</v>
      </c>
      <c r="B86" s="282" t="s">
        <v>93</v>
      </c>
      <c r="C86" s="21">
        <v>1848013.0</v>
      </c>
      <c r="D86" s="21">
        <v>25288.0</v>
      </c>
      <c r="E86" s="38">
        <f t="shared" si="1"/>
        <v>295682.082</v>
      </c>
      <c r="F86" s="38">
        <v>360732.14</v>
      </c>
      <c r="G86" s="239">
        <f t="shared" ref="G86:G91" si="57">F86*1.005</f>
        <v>362535.8007</v>
      </c>
      <c r="H86" s="38">
        <f t="shared" ref="H86:H91" si="58">E86/C86*1000</f>
        <v>160.0000011</v>
      </c>
      <c r="I86" s="49">
        <f t="shared" si="4"/>
        <v>11.6925847</v>
      </c>
      <c r="J86" s="241"/>
      <c r="K86" s="240"/>
    </row>
    <row r="87">
      <c r="A87" s="54" t="s">
        <v>91</v>
      </c>
      <c r="B87" s="282" t="s">
        <v>93</v>
      </c>
      <c r="C87" s="21">
        <v>1429552.0</v>
      </c>
      <c r="D87" s="21">
        <v>5278.0</v>
      </c>
      <c r="E87" s="38">
        <f t="shared" si="1"/>
        <v>369999.9016</v>
      </c>
      <c r="F87" s="38">
        <v>451399.88</v>
      </c>
      <c r="G87" s="239">
        <f t="shared" si="57"/>
        <v>453656.8794</v>
      </c>
      <c r="H87" s="38">
        <f t="shared" si="58"/>
        <v>258.8222755</v>
      </c>
      <c r="I87" s="49">
        <f t="shared" si="4"/>
        <v>70.10229285</v>
      </c>
      <c r="J87" s="241"/>
      <c r="K87" s="240"/>
    </row>
    <row r="88">
      <c r="A88" s="54" t="s">
        <v>149</v>
      </c>
      <c r="B88" s="282" t="s">
        <v>93</v>
      </c>
      <c r="C88" s="21">
        <v>720005.0</v>
      </c>
      <c r="D88" s="21">
        <v>5529.0</v>
      </c>
      <c r="E88" s="38">
        <f t="shared" si="1"/>
        <v>250490</v>
      </c>
      <c r="F88" s="38">
        <v>305597.8</v>
      </c>
      <c r="G88" s="239">
        <f t="shared" si="57"/>
        <v>307125.789</v>
      </c>
      <c r="H88" s="38">
        <f t="shared" si="58"/>
        <v>347.9003618</v>
      </c>
      <c r="I88" s="49">
        <f t="shared" si="4"/>
        <v>45.30475674</v>
      </c>
      <c r="J88" s="241"/>
      <c r="K88" s="240"/>
    </row>
    <row r="89">
      <c r="A89" s="54" t="s">
        <v>145</v>
      </c>
      <c r="B89" s="238" t="s">
        <v>93</v>
      </c>
      <c r="C89" s="21">
        <v>1750122.0</v>
      </c>
      <c r="D89" s="21">
        <v>17375.0</v>
      </c>
      <c r="E89" s="38">
        <f t="shared" si="1"/>
        <v>402500</v>
      </c>
      <c r="F89" s="38">
        <v>491050.0</v>
      </c>
      <c r="G89" s="239">
        <f t="shared" si="57"/>
        <v>493505.25</v>
      </c>
      <c r="H89" s="38">
        <f t="shared" si="58"/>
        <v>229.9839668</v>
      </c>
      <c r="I89" s="49">
        <f t="shared" si="4"/>
        <v>23.16546763</v>
      </c>
      <c r="J89" s="241"/>
      <c r="K89" s="240"/>
    </row>
    <row r="90">
      <c r="A90" s="54" t="s">
        <v>148</v>
      </c>
      <c r="B90" s="238" t="s">
        <v>93</v>
      </c>
      <c r="C90" s="21">
        <v>285368.0</v>
      </c>
      <c r="D90" s="21">
        <v>22.0</v>
      </c>
      <c r="E90" s="38">
        <f t="shared" si="1"/>
        <v>98746.42623</v>
      </c>
      <c r="F90" s="38">
        <v>120470.64</v>
      </c>
      <c r="G90" s="239">
        <f t="shared" si="57"/>
        <v>121072.9932</v>
      </c>
      <c r="H90" s="38">
        <f t="shared" si="58"/>
        <v>346.0318824</v>
      </c>
      <c r="I90" s="49">
        <f t="shared" si="4"/>
        <v>4488.47392</v>
      </c>
      <c r="J90" s="241"/>
      <c r="K90" s="240"/>
    </row>
    <row r="91">
      <c r="A91" s="54" t="s">
        <v>63</v>
      </c>
      <c r="B91" s="238" t="s">
        <v>93</v>
      </c>
      <c r="C91" s="21">
        <v>719849.0</v>
      </c>
      <c r="D91" s="21">
        <v>6356.0</v>
      </c>
      <c r="E91" s="38">
        <f t="shared" si="1"/>
        <v>500500</v>
      </c>
      <c r="F91" s="38">
        <v>610610.0</v>
      </c>
      <c r="G91" s="239">
        <f t="shared" si="57"/>
        <v>613663.05</v>
      </c>
      <c r="H91" s="38">
        <f t="shared" si="58"/>
        <v>695.2847055</v>
      </c>
      <c r="I91" s="49">
        <f t="shared" si="4"/>
        <v>78.74449339</v>
      </c>
      <c r="J91" s="241"/>
      <c r="K91" s="240"/>
    </row>
    <row r="92">
      <c r="A92" s="251" t="s">
        <v>46</v>
      </c>
      <c r="B92" s="78"/>
      <c r="C92" s="80">
        <f t="shared" ref="C92:D92" si="59">SUM(C86:C91)</f>
        <v>6752909</v>
      </c>
      <c r="D92" s="80">
        <f t="shared" si="59"/>
        <v>59848</v>
      </c>
      <c r="E92" s="81">
        <f t="shared" si="1"/>
        <v>1917918.41</v>
      </c>
      <c r="F92" s="81">
        <f t="shared" ref="F92:G92" si="60">SUM(F86:F91)</f>
        <v>2339860.46</v>
      </c>
      <c r="G92" s="252">
        <f t="shared" si="60"/>
        <v>2351559.762</v>
      </c>
      <c r="H92" s="81">
        <f>E92/(C92/1000)</f>
        <v>284.0136613</v>
      </c>
      <c r="I92" s="84">
        <f t="shared" si="4"/>
        <v>32.04649128</v>
      </c>
      <c r="J92" s="253"/>
      <c r="K92" s="240"/>
    </row>
    <row r="93">
      <c r="A93" s="258" t="s">
        <v>35</v>
      </c>
      <c r="B93" s="238" t="s">
        <v>94</v>
      </c>
      <c r="C93" s="21">
        <v>1618967.0</v>
      </c>
      <c r="D93" s="21">
        <v>1540.0</v>
      </c>
      <c r="E93" s="38">
        <f t="shared" si="1"/>
        <v>525000</v>
      </c>
      <c r="F93" s="38">
        <v>640500.0</v>
      </c>
      <c r="G93" s="239">
        <f t="shared" ref="G93:G95" si="61">F93*1.005</f>
        <v>643702.5</v>
      </c>
      <c r="H93" s="38">
        <f t="shared" ref="H93:H95" si="62">E93/C93*1000</f>
        <v>324.2808532</v>
      </c>
      <c r="I93" s="49">
        <f t="shared" si="4"/>
        <v>340.9090909</v>
      </c>
      <c r="J93" s="240"/>
      <c r="K93" s="240"/>
    </row>
    <row r="94">
      <c r="A94" s="54" t="s">
        <v>23</v>
      </c>
      <c r="B94" s="238" t="s">
        <v>94</v>
      </c>
      <c r="C94" s="21">
        <v>2376572.0</v>
      </c>
      <c r="D94" s="21">
        <v>4502.0</v>
      </c>
      <c r="E94" s="38">
        <f t="shared" si="1"/>
        <v>567000</v>
      </c>
      <c r="F94" s="38">
        <v>691740.0</v>
      </c>
      <c r="G94" s="239">
        <f t="shared" si="61"/>
        <v>695198.7</v>
      </c>
      <c r="H94" s="38">
        <f t="shared" si="62"/>
        <v>238.578928</v>
      </c>
      <c r="I94" s="49">
        <f t="shared" si="4"/>
        <v>125.9440249</v>
      </c>
      <c r="J94" s="240"/>
      <c r="K94" s="240"/>
    </row>
    <row r="95">
      <c r="A95" s="54" t="s">
        <v>51</v>
      </c>
      <c r="B95" s="238" t="s">
        <v>94</v>
      </c>
      <c r="C95" s="21">
        <v>1581008.0</v>
      </c>
      <c r="D95" s="21">
        <v>3018.0</v>
      </c>
      <c r="E95" s="38">
        <f t="shared" si="1"/>
        <v>457670.2787</v>
      </c>
      <c r="F95" s="38">
        <v>558357.74</v>
      </c>
      <c r="G95" s="239">
        <f t="shared" si="61"/>
        <v>561149.5287</v>
      </c>
      <c r="H95" s="38">
        <f t="shared" si="62"/>
        <v>289.4800524</v>
      </c>
      <c r="I95" s="49">
        <f t="shared" si="4"/>
        <v>151.6468783</v>
      </c>
      <c r="J95" s="241"/>
      <c r="K95" s="240"/>
    </row>
    <row r="96">
      <c r="A96" s="251" t="s">
        <v>46</v>
      </c>
      <c r="B96" s="78"/>
      <c r="C96" s="80">
        <f t="shared" ref="C96:D96" si="63">SUM(C93:C95)</f>
        <v>5576547</v>
      </c>
      <c r="D96" s="80">
        <f t="shared" si="63"/>
        <v>9060</v>
      </c>
      <c r="E96" s="81">
        <f t="shared" si="1"/>
        <v>1549670.279</v>
      </c>
      <c r="F96" s="81">
        <f t="shared" ref="F96:G96" si="64">SUM(F93:F95)</f>
        <v>1890597.74</v>
      </c>
      <c r="G96" s="252">
        <f t="shared" si="64"/>
        <v>1900050.729</v>
      </c>
      <c r="H96" s="81">
        <f>E96/(C96/1000)</f>
        <v>277.8906515</v>
      </c>
      <c r="I96" s="84">
        <f t="shared" si="4"/>
        <v>171.0452846</v>
      </c>
      <c r="J96" s="253"/>
      <c r="K96" s="240"/>
    </row>
    <row r="97">
      <c r="A97" s="54" t="s">
        <v>39</v>
      </c>
      <c r="B97" s="238" t="s">
        <v>95</v>
      </c>
      <c r="C97" s="21">
        <v>2837793.0</v>
      </c>
      <c r="D97" s="21">
        <v>52498.0</v>
      </c>
      <c r="E97" s="38">
        <f t="shared" si="1"/>
        <v>454046.877</v>
      </c>
      <c r="F97" s="38">
        <v>553937.19</v>
      </c>
      <c r="G97" s="239">
        <f t="shared" ref="G97:G100" si="65">F97*1.005</f>
        <v>556706.876</v>
      </c>
      <c r="H97" s="38">
        <f t="shared" ref="H97:H99" si="66">E97/C97*1000</f>
        <v>159.999999</v>
      </c>
      <c r="I97" s="49">
        <f t="shared" si="4"/>
        <v>8.648841423</v>
      </c>
      <c r="J97" s="241"/>
      <c r="K97" s="240"/>
    </row>
    <row r="98">
      <c r="A98" s="54" t="s">
        <v>64</v>
      </c>
      <c r="B98" s="238" t="s">
        <v>95</v>
      </c>
      <c r="C98" s="21">
        <v>1040797.0</v>
      </c>
      <c r="D98" s="21">
        <v>3837.0</v>
      </c>
      <c r="E98" s="38">
        <f t="shared" si="1"/>
        <v>191850</v>
      </c>
      <c r="F98" s="38">
        <v>234057.0</v>
      </c>
      <c r="G98" s="239">
        <f t="shared" si="65"/>
        <v>235227.285</v>
      </c>
      <c r="H98" s="38">
        <f t="shared" si="66"/>
        <v>184.3298933</v>
      </c>
      <c r="I98" s="49">
        <f t="shared" si="4"/>
        <v>50</v>
      </c>
      <c r="J98" s="241"/>
      <c r="K98" s="240"/>
    </row>
    <row r="99">
      <c r="A99" s="54" t="s">
        <v>96</v>
      </c>
      <c r="B99" s="238" t="s">
        <v>95</v>
      </c>
      <c r="C99" s="21">
        <v>32847.0</v>
      </c>
      <c r="D99" s="21">
        <v>1917.0</v>
      </c>
      <c r="E99" s="38">
        <f t="shared" si="1"/>
        <v>43616.39344</v>
      </c>
      <c r="F99" s="38">
        <v>53212.0</v>
      </c>
      <c r="G99" s="239">
        <f t="shared" si="65"/>
        <v>53478.06</v>
      </c>
      <c r="H99" s="38">
        <f t="shared" si="66"/>
        <v>1327.865359</v>
      </c>
      <c r="I99" s="49">
        <f t="shared" si="4"/>
        <v>22.75242224</v>
      </c>
      <c r="J99" s="241"/>
      <c r="K99" s="240"/>
    </row>
    <row r="100">
      <c r="A100" s="54" t="s">
        <v>112</v>
      </c>
      <c r="B100" s="238" t="s">
        <v>95</v>
      </c>
      <c r="C100" s="21" t="s">
        <v>67</v>
      </c>
      <c r="D100" s="21">
        <v>1.0</v>
      </c>
      <c r="E100" s="38">
        <f t="shared" si="1"/>
        <v>37500</v>
      </c>
      <c r="F100" s="44">
        <v>45750.0</v>
      </c>
      <c r="G100" s="239">
        <f t="shared" si="65"/>
        <v>45978.75</v>
      </c>
      <c r="H100" s="44" t="s">
        <v>67</v>
      </c>
      <c r="I100" s="269" t="s">
        <v>67</v>
      </c>
      <c r="J100" s="241"/>
      <c r="K100" s="240"/>
    </row>
    <row r="101">
      <c r="A101" s="251" t="s">
        <v>46</v>
      </c>
      <c r="B101" s="78"/>
      <c r="C101" s="80">
        <f t="shared" ref="C101:D101" si="67">SUM(C97:C99)</f>
        <v>3911437</v>
      </c>
      <c r="D101" s="80">
        <f t="shared" si="67"/>
        <v>58252</v>
      </c>
      <c r="E101" s="81">
        <f t="shared" si="1"/>
        <v>727013.2705</v>
      </c>
      <c r="F101" s="81">
        <f>SUM(F97:F100)</f>
        <v>886956.19</v>
      </c>
      <c r="G101" s="252">
        <f>SUM(G97:G99)</f>
        <v>845412.221</v>
      </c>
      <c r="H101" s="81">
        <f>E101/(C101/1000)</f>
        <v>185.8685876</v>
      </c>
      <c r="I101" s="84">
        <f t="shared" ref="I101:I104" si="68">E101/D101</f>
        <v>12.480486</v>
      </c>
      <c r="J101" s="253"/>
      <c r="K101" s="240"/>
    </row>
    <row r="102">
      <c r="A102" s="54" t="s">
        <v>96</v>
      </c>
      <c r="B102" s="238" t="s">
        <v>97</v>
      </c>
      <c r="C102" s="21">
        <v>47184.0</v>
      </c>
      <c r="D102" s="21">
        <v>2691.0</v>
      </c>
      <c r="E102" s="38">
        <f t="shared" si="1"/>
        <v>53040.98361</v>
      </c>
      <c r="F102" s="38">
        <v>64710.0</v>
      </c>
      <c r="G102" s="239">
        <f t="shared" ref="G102:G106" si="69">F102*1.005</f>
        <v>65033.55</v>
      </c>
      <c r="H102" s="38">
        <f t="shared" ref="H102:H104" si="70">E102/C102*1000</f>
        <v>1124.130714</v>
      </c>
      <c r="I102" s="49">
        <f t="shared" si="68"/>
        <v>19.71051044</v>
      </c>
      <c r="J102" s="241"/>
      <c r="K102" s="240"/>
    </row>
    <row r="103">
      <c r="A103" s="54" t="s">
        <v>39</v>
      </c>
      <c r="B103" s="238" t="s">
        <v>97</v>
      </c>
      <c r="C103" s="21">
        <v>3010424.0</v>
      </c>
      <c r="D103" s="21">
        <v>56627.0</v>
      </c>
      <c r="E103" s="38">
        <f t="shared" si="1"/>
        <v>481667.8361</v>
      </c>
      <c r="F103" s="38">
        <v>587634.76</v>
      </c>
      <c r="G103" s="239">
        <f t="shared" si="69"/>
        <v>590572.9338</v>
      </c>
      <c r="H103" s="38">
        <f t="shared" si="70"/>
        <v>159.9999987</v>
      </c>
      <c r="I103" s="49">
        <f t="shared" si="68"/>
        <v>8.505974819</v>
      </c>
      <c r="J103" s="241"/>
      <c r="K103" s="240"/>
    </row>
    <row r="104">
      <c r="A104" s="54" t="s">
        <v>41</v>
      </c>
      <c r="B104" s="238" t="s">
        <v>97</v>
      </c>
      <c r="C104" s="21">
        <v>2894593.0</v>
      </c>
      <c r="D104" s="21">
        <v>11880.0</v>
      </c>
      <c r="E104" s="38">
        <f t="shared" si="1"/>
        <v>688329.1311</v>
      </c>
      <c r="F104" s="38">
        <v>839761.54</v>
      </c>
      <c r="G104" s="239">
        <f t="shared" si="69"/>
        <v>843960.3477</v>
      </c>
      <c r="H104" s="38">
        <f t="shared" si="70"/>
        <v>237.7982435</v>
      </c>
      <c r="I104" s="49">
        <f t="shared" si="68"/>
        <v>57.94016255</v>
      </c>
      <c r="J104" s="241"/>
      <c r="K104" s="240"/>
    </row>
    <row r="105">
      <c r="A105" s="54" t="s">
        <v>126</v>
      </c>
      <c r="B105" s="238" t="s">
        <v>97</v>
      </c>
      <c r="C105" s="21" t="s">
        <v>67</v>
      </c>
      <c r="D105" s="21" t="s">
        <v>67</v>
      </c>
      <c r="E105" s="38">
        <f t="shared" si="1"/>
        <v>28908.54098</v>
      </c>
      <c r="F105" s="38">
        <v>35268.42</v>
      </c>
      <c r="G105" s="239">
        <f t="shared" si="69"/>
        <v>35444.7621</v>
      </c>
      <c r="H105" s="44" t="s">
        <v>67</v>
      </c>
      <c r="I105" s="269" t="s">
        <v>67</v>
      </c>
      <c r="J105" s="241"/>
      <c r="K105" s="240"/>
    </row>
    <row r="106">
      <c r="A106" s="54" t="s">
        <v>40</v>
      </c>
      <c r="B106" s="238" t="s">
        <v>97</v>
      </c>
      <c r="C106" s="21">
        <v>2151840.0</v>
      </c>
      <c r="D106" s="21">
        <v>5413.0</v>
      </c>
      <c r="E106" s="38">
        <f t="shared" si="1"/>
        <v>182198.5</v>
      </c>
      <c r="F106" s="38">
        <v>222282.17</v>
      </c>
      <c r="G106" s="239">
        <f t="shared" si="69"/>
        <v>223393.5809</v>
      </c>
      <c r="H106" s="38">
        <f>E106/C106*1000</f>
        <v>84.67102573</v>
      </c>
      <c r="I106" s="49">
        <f t="shared" ref="I106:I110" si="73">E106/D106</f>
        <v>33.659431</v>
      </c>
      <c r="J106" s="241">
        <f>H106*1.22</f>
        <v>103.2986514</v>
      </c>
      <c r="K106" s="240"/>
    </row>
    <row r="107">
      <c r="A107" s="251" t="s">
        <v>46</v>
      </c>
      <c r="B107" s="78"/>
      <c r="C107" s="80">
        <f t="shared" ref="C107:D107" si="71">SUM(C102:C106)</f>
        <v>8104041</v>
      </c>
      <c r="D107" s="80">
        <f t="shared" si="71"/>
        <v>76611</v>
      </c>
      <c r="E107" s="81">
        <f t="shared" si="1"/>
        <v>1434144.992</v>
      </c>
      <c r="F107" s="81">
        <f t="shared" ref="F107:G107" si="72">SUM(F102:F106)</f>
        <v>1749656.89</v>
      </c>
      <c r="G107" s="252">
        <f t="shared" si="72"/>
        <v>1758405.174</v>
      </c>
      <c r="H107" s="81">
        <f>E107/(C107/1000)</f>
        <v>176.9666506</v>
      </c>
      <c r="I107" s="84">
        <f t="shared" si="73"/>
        <v>18.71983125</v>
      </c>
      <c r="J107" s="253"/>
      <c r="K107" s="240"/>
    </row>
    <row r="108">
      <c r="A108" s="54" t="s">
        <v>96</v>
      </c>
      <c r="B108" s="161" t="s">
        <v>99</v>
      </c>
      <c r="C108" s="21">
        <v>41623.0</v>
      </c>
      <c r="D108" s="21">
        <v>2108.0</v>
      </c>
      <c r="E108" s="38">
        <f t="shared" si="1"/>
        <v>46569.67213</v>
      </c>
      <c r="F108" s="38">
        <v>56815.0</v>
      </c>
      <c r="G108" s="239">
        <f t="shared" ref="G108:G115" si="74">F108*1.005</f>
        <v>57099.075</v>
      </c>
      <c r="H108" s="38">
        <f t="shared" ref="H108:H110" si="75">E108/C108*1000</f>
        <v>1118.84468</v>
      </c>
      <c r="I108" s="49">
        <f t="shared" si="73"/>
        <v>22.09187483</v>
      </c>
      <c r="J108" s="241"/>
      <c r="K108" s="240"/>
    </row>
    <row r="109">
      <c r="A109" s="54" t="s">
        <v>39</v>
      </c>
      <c r="B109" s="238" t="s">
        <v>99</v>
      </c>
      <c r="C109" s="21">
        <v>2996796.0</v>
      </c>
      <c r="D109" s="21">
        <v>31414.0</v>
      </c>
      <c r="E109" s="38">
        <f t="shared" si="1"/>
        <v>479487.3607</v>
      </c>
      <c r="F109" s="38">
        <v>584974.58</v>
      </c>
      <c r="G109" s="239">
        <f t="shared" si="74"/>
        <v>587899.4529</v>
      </c>
      <c r="H109" s="38">
        <f t="shared" si="75"/>
        <v>160.0000002</v>
      </c>
      <c r="I109" s="49">
        <f t="shared" si="73"/>
        <v>15.26349273</v>
      </c>
      <c r="J109" s="241"/>
      <c r="K109" s="240"/>
    </row>
    <row r="110">
      <c r="A110" s="283" t="s">
        <v>40</v>
      </c>
      <c r="B110" s="238" t="s">
        <v>99</v>
      </c>
      <c r="C110" s="21">
        <v>844470.0</v>
      </c>
      <c r="D110" s="21">
        <v>2351.0</v>
      </c>
      <c r="E110" s="38">
        <f t="shared" si="1"/>
        <v>76588.95082</v>
      </c>
      <c r="F110" s="38">
        <v>93438.52</v>
      </c>
      <c r="G110" s="239">
        <f t="shared" si="74"/>
        <v>93905.7126</v>
      </c>
      <c r="H110" s="38">
        <f t="shared" si="75"/>
        <v>90.69469705</v>
      </c>
      <c r="I110" s="49">
        <f t="shared" si="73"/>
        <v>32.57718027</v>
      </c>
      <c r="J110" s="241">
        <f>H110*1.22</f>
        <v>110.6475304</v>
      </c>
      <c r="K110" s="240"/>
    </row>
    <row r="111">
      <c r="A111" s="54" t="s">
        <v>126</v>
      </c>
      <c r="B111" s="238" t="s">
        <v>99</v>
      </c>
      <c r="C111" s="21" t="s">
        <v>67</v>
      </c>
      <c r="D111" s="21" t="s">
        <v>67</v>
      </c>
      <c r="E111" s="38">
        <f t="shared" si="1"/>
        <v>10026.91803</v>
      </c>
      <c r="F111" s="38">
        <v>12232.84</v>
      </c>
      <c r="G111" s="239">
        <f t="shared" si="74"/>
        <v>12294.0042</v>
      </c>
      <c r="H111" s="44" t="s">
        <v>67</v>
      </c>
      <c r="I111" s="269" t="s">
        <v>67</v>
      </c>
      <c r="J111" s="241"/>
      <c r="K111" s="240"/>
    </row>
    <row r="112">
      <c r="A112" s="242" t="s">
        <v>42</v>
      </c>
      <c r="B112" s="243" t="s">
        <v>99</v>
      </c>
      <c r="C112" s="244">
        <v>805560.0</v>
      </c>
      <c r="D112" s="244">
        <v>5171.0</v>
      </c>
      <c r="E112" s="245">
        <f t="shared" si="1"/>
        <v>278348.6148</v>
      </c>
      <c r="F112" s="245">
        <v>339585.31</v>
      </c>
      <c r="G112" s="117">
        <f t="shared" si="74"/>
        <v>341283.2366</v>
      </c>
      <c r="H112" s="245">
        <f t="shared" ref="H112:H114" si="76">E112/C112*1000</f>
        <v>345.534305</v>
      </c>
      <c r="I112" s="246">
        <f t="shared" ref="I112:I114" si="77">E112/D112</f>
        <v>53.82877872</v>
      </c>
      <c r="J112" s="247"/>
      <c r="K112" s="248"/>
    </row>
    <row r="113">
      <c r="A113" s="283" t="s">
        <v>130</v>
      </c>
      <c r="B113" s="238" t="s">
        <v>99</v>
      </c>
      <c r="C113" s="21">
        <v>1350365.0</v>
      </c>
      <c r="D113" s="21">
        <v>3382.0</v>
      </c>
      <c r="E113" s="38">
        <f t="shared" si="1"/>
        <v>299997.0902</v>
      </c>
      <c r="F113" s="38">
        <v>365996.45</v>
      </c>
      <c r="G113" s="239">
        <f t="shared" si="74"/>
        <v>367826.4323</v>
      </c>
      <c r="H113" s="38">
        <f t="shared" si="76"/>
        <v>222.1600013</v>
      </c>
      <c r="I113" s="49">
        <f t="shared" si="77"/>
        <v>88.70404795</v>
      </c>
      <c r="J113" s="241"/>
      <c r="K113" s="240"/>
    </row>
    <row r="114">
      <c r="A114" s="283" t="s">
        <v>150</v>
      </c>
      <c r="B114" s="238" t="s">
        <v>99</v>
      </c>
      <c r="C114" s="21">
        <v>3419070.0</v>
      </c>
      <c r="D114" s="21">
        <v>5912.0</v>
      </c>
      <c r="E114" s="38">
        <f t="shared" si="1"/>
        <v>300040</v>
      </c>
      <c r="F114" s="38">
        <v>366048.8</v>
      </c>
      <c r="G114" s="239">
        <f t="shared" si="74"/>
        <v>367879.044</v>
      </c>
      <c r="H114" s="38">
        <f t="shared" si="76"/>
        <v>87.75485732</v>
      </c>
      <c r="I114" s="49">
        <f t="shared" si="77"/>
        <v>50.75101488</v>
      </c>
      <c r="J114" s="241"/>
      <c r="K114" s="240"/>
    </row>
    <row r="115">
      <c r="A115" s="283" t="s">
        <v>112</v>
      </c>
      <c r="B115" s="238" t="s">
        <v>99</v>
      </c>
      <c r="C115" s="21" t="s">
        <v>67</v>
      </c>
      <c r="D115" s="21">
        <v>1.0</v>
      </c>
      <c r="E115" s="38">
        <f t="shared" si="1"/>
        <v>51875</v>
      </c>
      <c r="F115" s="44">
        <v>63287.5</v>
      </c>
      <c r="G115" s="239">
        <f t="shared" si="74"/>
        <v>63603.9375</v>
      </c>
      <c r="H115" s="44" t="s">
        <v>67</v>
      </c>
      <c r="I115" s="269" t="s">
        <v>67</v>
      </c>
      <c r="J115" s="241"/>
      <c r="K115" s="240"/>
    </row>
    <row r="116">
      <c r="A116" s="251" t="s">
        <v>46</v>
      </c>
      <c r="B116" s="78"/>
      <c r="C116" s="80">
        <f t="shared" ref="C116:D116" si="78">SUM(C108:C115)</f>
        <v>9457884</v>
      </c>
      <c r="D116" s="80">
        <f t="shared" si="78"/>
        <v>50339</v>
      </c>
      <c r="E116" s="81">
        <f t="shared" si="1"/>
        <v>1542933.607</v>
      </c>
      <c r="F116" s="81">
        <f>SUM(F108:F115)</f>
        <v>1882379</v>
      </c>
      <c r="G116" s="252">
        <f>SUM(G108:G114)</f>
        <v>1828186.958</v>
      </c>
      <c r="H116" s="81">
        <f>E116/(C116/1000)</f>
        <v>163.1372944</v>
      </c>
      <c r="I116" s="84">
        <f t="shared" ref="I116:I122" si="79">E116/D116</f>
        <v>30.65085931</v>
      </c>
      <c r="J116" s="253"/>
      <c r="K116" s="240"/>
    </row>
    <row r="117">
      <c r="A117" s="54" t="s">
        <v>39</v>
      </c>
      <c r="B117" s="238" t="s">
        <v>122</v>
      </c>
      <c r="C117" s="21">
        <v>796726.0</v>
      </c>
      <c r="D117" s="21">
        <v>5941.0</v>
      </c>
      <c r="E117" s="38">
        <f t="shared" si="1"/>
        <v>127476.1639</v>
      </c>
      <c r="F117" s="38">
        <v>155520.92</v>
      </c>
      <c r="G117" s="239">
        <f t="shared" ref="G117:G119" si="80">F117*1.005</f>
        <v>156298.5246</v>
      </c>
      <c r="H117" s="38">
        <f t="shared" ref="H117:H119" si="81">E117/C117*1000</f>
        <v>160.0000049</v>
      </c>
      <c r="I117" s="49">
        <f t="shared" si="79"/>
        <v>21.45702137</v>
      </c>
      <c r="J117" s="241"/>
      <c r="K117" s="240"/>
    </row>
    <row r="118">
      <c r="A118" s="54" t="s">
        <v>35</v>
      </c>
      <c r="B118" s="238" t="s">
        <v>122</v>
      </c>
      <c r="C118" s="21">
        <v>545299.0</v>
      </c>
      <c r="D118" s="21">
        <v>501.0</v>
      </c>
      <c r="E118" s="38">
        <f t="shared" si="1"/>
        <v>114109.8852</v>
      </c>
      <c r="F118" s="38">
        <v>139214.06</v>
      </c>
      <c r="G118" s="239">
        <f t="shared" si="80"/>
        <v>139910.1303</v>
      </c>
      <c r="H118" s="38">
        <f t="shared" si="81"/>
        <v>209.2611306</v>
      </c>
      <c r="I118" s="49">
        <f t="shared" si="79"/>
        <v>227.764242</v>
      </c>
      <c r="J118" s="241"/>
      <c r="K118" s="240"/>
    </row>
    <row r="119">
      <c r="A119" s="54" t="s">
        <v>54</v>
      </c>
      <c r="B119" s="238" t="s">
        <v>122</v>
      </c>
      <c r="C119" s="21">
        <v>414132.0</v>
      </c>
      <c r="D119" s="21">
        <v>1021.0</v>
      </c>
      <c r="E119" s="38">
        <f t="shared" si="1"/>
        <v>123122.9508</v>
      </c>
      <c r="F119" s="38">
        <v>150210.0</v>
      </c>
      <c r="G119" s="239">
        <f t="shared" si="80"/>
        <v>150961.05</v>
      </c>
      <c r="H119" s="38">
        <f t="shared" si="81"/>
        <v>297.3036395</v>
      </c>
      <c r="I119" s="49">
        <f t="shared" si="79"/>
        <v>120.5905493</v>
      </c>
      <c r="J119" s="241"/>
      <c r="K119" s="240"/>
    </row>
    <row r="120">
      <c r="A120" s="251" t="s">
        <v>46</v>
      </c>
      <c r="B120" s="78"/>
      <c r="C120" s="80">
        <f t="shared" ref="C120:D120" si="82">SUM(C117:C119)</f>
        <v>1756157</v>
      </c>
      <c r="D120" s="80">
        <f t="shared" si="82"/>
        <v>7463</v>
      </c>
      <c r="E120" s="81">
        <f t="shared" si="1"/>
        <v>364709</v>
      </c>
      <c r="F120" s="81">
        <f t="shared" ref="F120:G120" si="83">SUM(F117:F119)</f>
        <v>444944.98</v>
      </c>
      <c r="G120" s="252">
        <f t="shared" si="83"/>
        <v>447169.7049</v>
      </c>
      <c r="H120" s="81">
        <f>E120/(C120/1000)</f>
        <v>207.6744847</v>
      </c>
      <c r="I120" s="84">
        <f t="shared" si="79"/>
        <v>48.8689535</v>
      </c>
      <c r="J120" s="253"/>
      <c r="K120" s="240"/>
    </row>
    <row r="121">
      <c r="A121" s="54" t="s">
        <v>39</v>
      </c>
      <c r="B121" s="238" t="s">
        <v>107</v>
      </c>
      <c r="C121" s="21">
        <v>620005.0</v>
      </c>
      <c r="D121" s="21">
        <v>7257.0</v>
      </c>
      <c r="E121" s="38">
        <f t="shared" si="1"/>
        <v>99200.80328</v>
      </c>
      <c r="F121" s="38">
        <v>121024.98</v>
      </c>
      <c r="G121" s="239">
        <f>F121*1.005</f>
        <v>121630.1049</v>
      </c>
      <c r="H121" s="38">
        <f>E121/C121*1000</f>
        <v>160.0000053</v>
      </c>
      <c r="I121" s="49">
        <f t="shared" si="79"/>
        <v>13.66967111</v>
      </c>
      <c r="J121" s="241"/>
      <c r="K121" s="240"/>
    </row>
    <row r="122">
      <c r="A122" s="251" t="s">
        <v>46</v>
      </c>
      <c r="B122" s="78"/>
      <c r="C122" s="80">
        <f t="shared" ref="C122:D122" si="84">SUM(C121)</f>
        <v>620005</v>
      </c>
      <c r="D122" s="80">
        <f t="shared" si="84"/>
        <v>7257</v>
      </c>
      <c r="E122" s="81">
        <f t="shared" si="1"/>
        <v>99200.80328</v>
      </c>
      <c r="F122" s="81">
        <f t="shared" ref="F122:G122" si="85">SUM(F121)</f>
        <v>121024.98</v>
      </c>
      <c r="G122" s="252">
        <f t="shared" si="85"/>
        <v>121630.1049</v>
      </c>
      <c r="H122" s="81">
        <f>E122/(C122/1000)</f>
        <v>160.0000053</v>
      </c>
      <c r="I122" s="84">
        <f t="shared" si="79"/>
        <v>13.66967111</v>
      </c>
      <c r="J122" s="253"/>
      <c r="K122" s="240"/>
    </row>
    <row r="123">
      <c r="A123" s="54" t="s">
        <v>151</v>
      </c>
      <c r="B123" s="238" t="s">
        <v>101</v>
      </c>
      <c r="C123" s="21" t="s">
        <v>67</v>
      </c>
      <c r="D123" s="21" t="s">
        <v>67</v>
      </c>
      <c r="E123" s="44">
        <f t="shared" si="1"/>
        <v>343596.2787</v>
      </c>
      <c r="F123" s="44">
        <v>419187.46</v>
      </c>
      <c r="G123" s="239">
        <f>F123*1.005</f>
        <v>421283.3973</v>
      </c>
      <c r="H123" s="21" t="s">
        <v>67</v>
      </c>
      <c r="I123" s="164" t="s">
        <v>67</v>
      </c>
      <c r="J123" s="260"/>
      <c r="K123" s="240"/>
    </row>
    <row r="124">
      <c r="A124" s="278" t="s">
        <v>46</v>
      </c>
      <c r="B124" s="167"/>
      <c r="C124" s="168" t="s">
        <v>67</v>
      </c>
      <c r="D124" s="168" t="s">
        <v>67</v>
      </c>
      <c r="E124" s="169">
        <f t="shared" si="1"/>
        <v>343596.2787</v>
      </c>
      <c r="F124" s="169">
        <f t="shared" ref="F124:G124" si="86">SUM(F123)</f>
        <v>419187.46</v>
      </c>
      <c r="G124" s="284">
        <f t="shared" si="86"/>
        <v>421283.3973</v>
      </c>
      <c r="H124" s="168" t="s">
        <v>67</v>
      </c>
      <c r="I124" s="170" t="s">
        <v>67</v>
      </c>
      <c r="J124" s="285"/>
      <c r="K124" s="240"/>
    </row>
    <row r="125">
      <c r="A125" s="275"/>
      <c r="B125" s="275"/>
      <c r="C125" s="275"/>
      <c r="D125" s="275"/>
      <c r="E125" s="276"/>
      <c r="F125" s="276"/>
      <c r="G125" s="277"/>
      <c r="H125" s="276"/>
      <c r="I125" s="276"/>
      <c r="J125" s="276"/>
      <c r="K125" s="276"/>
    </row>
    <row r="126">
      <c r="A126" s="275"/>
      <c r="B126" s="275"/>
      <c r="C126" s="275"/>
      <c r="D126" s="275"/>
      <c r="E126" s="276"/>
      <c r="F126" s="276"/>
      <c r="G126" s="277"/>
      <c r="H126" s="276"/>
      <c r="I126" s="276"/>
      <c r="J126" s="276"/>
      <c r="K126" s="276"/>
    </row>
    <row r="127">
      <c r="A127" s="275"/>
      <c r="B127" s="275"/>
      <c r="C127" s="286">
        <f t="shared" ref="C127:D127" si="87">SUM(C119,C118,C95,C94,C93,C91,C83,C79,C73,C71,C67,C66,C64,C63,C58,C55,C42,C39,C33,C32,C30,C23,C22,C12,C10,C9,C2)</f>
        <v>37671543</v>
      </c>
      <c r="D127" s="286">
        <f t="shared" si="87"/>
        <v>63006</v>
      </c>
      <c r="E127" s="276"/>
      <c r="F127" s="276">
        <f>SUM(F119,F118,F95,F94,F93,F91,F83,F79,F73,F71,F67,F66,F64,F63,F58,F55,F42,F39,F33,F32,F30,F23,F22,F12,F10,F9,F2)</f>
        <v>11466397.13</v>
      </c>
      <c r="G127" s="277"/>
      <c r="H127" s="276"/>
      <c r="I127" s="276"/>
      <c r="J127" s="276"/>
      <c r="K127" s="276"/>
    </row>
    <row r="128">
      <c r="A128" s="275"/>
      <c r="B128" s="275"/>
      <c r="C128" s="275"/>
      <c r="D128" s="275"/>
      <c r="E128" s="276"/>
      <c r="F128" s="276"/>
      <c r="G128" s="277"/>
      <c r="H128" s="276"/>
      <c r="I128" s="276"/>
      <c r="J128" s="276"/>
      <c r="K128" s="276"/>
    </row>
    <row r="129">
      <c r="A129" s="275"/>
      <c r="B129" s="275"/>
      <c r="C129" s="275"/>
      <c r="D129" s="275"/>
      <c r="E129" s="276"/>
      <c r="F129" s="276"/>
      <c r="G129" s="277"/>
      <c r="H129" s="276"/>
      <c r="I129" s="276"/>
      <c r="J129" s="276"/>
      <c r="K129" s="276"/>
    </row>
    <row r="130">
      <c r="A130" s="275"/>
      <c r="B130" s="275"/>
      <c r="C130" s="275"/>
      <c r="D130" s="275"/>
      <c r="E130" s="276"/>
      <c r="F130" s="276"/>
      <c r="G130" s="277"/>
      <c r="H130" s="276"/>
      <c r="I130" s="276"/>
      <c r="J130" s="276"/>
      <c r="K130" s="276"/>
    </row>
    <row r="131">
      <c r="A131" s="278" t="s">
        <v>46</v>
      </c>
      <c r="B131" s="167"/>
      <c r="C131" s="286">
        <f t="shared" ref="C131:G131" si="88">SUM(C122,C120,C116,C107,C101,C96,C92,C85,C81,C72,C65,C59,C53,C49,C43,C38,C31,C21,C11)</f>
        <v>178044324</v>
      </c>
      <c r="D131" s="286">
        <f t="shared" si="88"/>
        <v>1058549</v>
      </c>
      <c r="E131" s="276">
        <f t="shared" si="88"/>
        <v>31876213.48</v>
      </c>
      <c r="F131" s="276">
        <f t="shared" si="88"/>
        <v>38888980.45</v>
      </c>
      <c r="G131" s="277">
        <f t="shared" si="88"/>
        <v>38973842.66</v>
      </c>
      <c r="H131" s="276"/>
      <c r="I131" s="276"/>
      <c r="J131" s="276"/>
      <c r="K131" s="276"/>
    </row>
    <row r="132">
      <c r="A132" s="275"/>
      <c r="B132" s="275"/>
      <c r="C132" s="275"/>
      <c r="D132" s="275"/>
      <c r="E132" s="276"/>
      <c r="F132" s="276"/>
      <c r="G132" s="277"/>
      <c r="H132" s="276"/>
      <c r="I132" s="276"/>
      <c r="J132" s="276"/>
      <c r="K132" s="276"/>
    </row>
    <row r="133">
      <c r="A133" s="275"/>
      <c r="B133" s="275"/>
      <c r="C133" s="275"/>
      <c r="D133" s="280">
        <f>D131/C131</f>
        <v>0.005945424017</v>
      </c>
      <c r="E133" s="276"/>
      <c r="F133" s="276"/>
      <c r="G133" s="277"/>
      <c r="H133" s="276"/>
      <c r="I133" s="276"/>
      <c r="J133" s="276"/>
      <c r="K133" s="276"/>
    </row>
    <row r="134">
      <c r="A134" s="275"/>
      <c r="B134" s="275"/>
      <c r="C134" s="275"/>
      <c r="D134" s="275"/>
      <c r="E134" s="276"/>
      <c r="F134" s="276"/>
      <c r="G134" s="277"/>
      <c r="H134" s="276"/>
      <c r="I134" s="276"/>
      <c r="J134" s="276"/>
      <c r="K134" s="276"/>
    </row>
    <row r="135">
      <c r="A135" s="275"/>
      <c r="B135" s="275"/>
      <c r="C135" s="275"/>
      <c r="D135" s="281">
        <v>629791.0</v>
      </c>
      <c r="E135" s="276"/>
      <c r="F135" s="276"/>
      <c r="G135" s="277"/>
      <c r="H135" s="276"/>
      <c r="I135" s="276"/>
      <c r="J135" s="276"/>
      <c r="K135" s="276"/>
    </row>
    <row r="136">
      <c r="A136" s="275"/>
      <c r="B136" s="275"/>
      <c r="C136" s="275"/>
      <c r="D136" s="275"/>
      <c r="E136" s="276"/>
      <c r="F136" s="276"/>
      <c r="G136" s="277"/>
      <c r="H136" s="276"/>
      <c r="I136" s="276"/>
      <c r="J136" s="276"/>
      <c r="K136" s="276"/>
    </row>
    <row r="137">
      <c r="A137" s="275"/>
      <c r="B137" s="275"/>
      <c r="C137" s="275"/>
      <c r="D137" s="275">
        <f>D135/D131</f>
        <v>0.5949568702</v>
      </c>
      <c r="E137" s="276"/>
      <c r="F137" s="276"/>
      <c r="G137" s="277"/>
      <c r="H137" s="276"/>
      <c r="I137" s="276"/>
      <c r="J137" s="276"/>
      <c r="K137" s="276"/>
    </row>
    <row r="138">
      <c r="A138" s="275"/>
      <c r="B138" s="275"/>
      <c r="C138" s="275"/>
      <c r="D138" s="275"/>
      <c r="E138" s="276"/>
      <c r="F138" s="276"/>
      <c r="G138" s="277"/>
      <c r="H138" s="276"/>
      <c r="I138" s="276"/>
      <c r="J138" s="276"/>
      <c r="K138" s="276"/>
    </row>
    <row r="139">
      <c r="A139" s="275"/>
      <c r="B139" s="275"/>
      <c r="C139" s="275"/>
      <c r="D139" s="275"/>
      <c r="E139" s="276"/>
      <c r="F139" s="276"/>
      <c r="G139" s="277"/>
      <c r="H139" s="276"/>
      <c r="I139" s="276"/>
      <c r="J139" s="276"/>
      <c r="K139" s="276"/>
    </row>
    <row r="140">
      <c r="A140" s="275"/>
      <c r="B140" s="275"/>
      <c r="C140" s="275"/>
      <c r="D140" s="275"/>
      <c r="E140" s="276"/>
      <c r="F140" s="276"/>
      <c r="G140" s="277"/>
      <c r="H140" s="276"/>
      <c r="I140" s="276"/>
      <c r="J140" s="276"/>
      <c r="K140" s="276"/>
    </row>
    <row r="141">
      <c r="A141" s="275"/>
      <c r="B141" s="275"/>
      <c r="C141" s="275"/>
      <c r="D141" s="275"/>
      <c r="E141" s="276"/>
      <c r="F141" s="276"/>
      <c r="G141" s="277"/>
      <c r="H141" s="276"/>
      <c r="I141" s="276"/>
      <c r="J141" s="276"/>
      <c r="K141" s="276"/>
    </row>
    <row r="142">
      <c r="A142" s="275"/>
      <c r="B142" s="275"/>
      <c r="C142" s="275"/>
      <c r="D142" s="275"/>
      <c r="E142" s="276"/>
      <c r="F142" s="276"/>
      <c r="G142" s="277"/>
      <c r="H142" s="276"/>
      <c r="I142" s="276"/>
      <c r="J142" s="276"/>
      <c r="K142" s="276"/>
    </row>
    <row r="143">
      <c r="A143" s="275"/>
      <c r="B143" s="275"/>
      <c r="C143" s="275"/>
      <c r="D143" s="275"/>
      <c r="E143" s="276"/>
      <c r="F143" s="276"/>
      <c r="G143" s="277"/>
      <c r="H143" s="276"/>
      <c r="I143" s="276"/>
      <c r="J143" s="276"/>
      <c r="K143" s="276"/>
    </row>
    <row r="144">
      <c r="A144" s="275"/>
      <c r="B144" s="275"/>
      <c r="C144" s="275"/>
      <c r="D144" s="275"/>
      <c r="E144" s="276"/>
      <c r="F144" s="276"/>
      <c r="G144" s="277"/>
      <c r="H144" s="276"/>
      <c r="I144" s="276"/>
      <c r="J144" s="276"/>
      <c r="K144" s="276"/>
    </row>
    <row r="145">
      <c r="A145" s="275"/>
      <c r="B145" s="275"/>
      <c r="C145" s="275"/>
      <c r="D145" s="275"/>
      <c r="E145" s="276"/>
      <c r="F145" s="276"/>
      <c r="G145" s="277"/>
      <c r="H145" s="276"/>
      <c r="I145" s="276"/>
      <c r="J145" s="276"/>
      <c r="K145" s="276"/>
    </row>
    <row r="146">
      <c r="A146" s="275"/>
      <c r="B146" s="275"/>
      <c r="C146" s="275"/>
      <c r="D146" s="275"/>
      <c r="E146" s="276"/>
      <c r="F146" s="276"/>
      <c r="G146" s="277"/>
      <c r="H146" s="276"/>
      <c r="I146" s="276"/>
      <c r="J146" s="276"/>
      <c r="K146" s="276"/>
    </row>
    <row r="147">
      <c r="A147" s="275"/>
      <c r="B147" s="275"/>
      <c r="C147" s="275"/>
      <c r="D147" s="275"/>
      <c r="E147" s="276"/>
      <c r="F147" s="276"/>
      <c r="G147" s="277"/>
      <c r="H147" s="276"/>
      <c r="I147" s="276"/>
      <c r="J147" s="276"/>
      <c r="K147" s="276"/>
    </row>
    <row r="148">
      <c r="A148" s="275"/>
      <c r="B148" s="275"/>
      <c r="C148" s="275"/>
      <c r="D148" s="275"/>
      <c r="E148" s="276"/>
      <c r="F148" s="276"/>
      <c r="G148" s="277"/>
      <c r="H148" s="276"/>
      <c r="I148" s="276"/>
      <c r="J148" s="276"/>
      <c r="K148" s="276"/>
    </row>
    <row r="149">
      <c r="A149" s="275"/>
      <c r="B149" s="275"/>
      <c r="C149" s="275"/>
      <c r="D149" s="275"/>
      <c r="E149" s="276"/>
      <c r="F149" s="276"/>
      <c r="G149" s="277"/>
      <c r="H149" s="276"/>
      <c r="I149" s="276"/>
      <c r="J149" s="276"/>
      <c r="K149" s="276"/>
    </row>
    <row r="150">
      <c r="A150" s="275"/>
      <c r="B150" s="275"/>
      <c r="C150" s="275"/>
      <c r="D150" s="275"/>
      <c r="E150" s="276"/>
      <c r="F150" s="276"/>
      <c r="G150" s="277"/>
      <c r="H150" s="276"/>
      <c r="I150" s="276"/>
      <c r="J150" s="276"/>
      <c r="K150" s="276"/>
    </row>
    <row r="151">
      <c r="A151" s="275"/>
      <c r="B151" s="275"/>
      <c r="C151" s="275"/>
      <c r="D151" s="275"/>
      <c r="E151" s="276"/>
      <c r="F151" s="276"/>
      <c r="G151" s="277"/>
      <c r="H151" s="276"/>
      <c r="I151" s="276"/>
      <c r="J151" s="276"/>
      <c r="K151" s="276"/>
    </row>
    <row r="152">
      <c r="A152" s="275"/>
      <c r="B152" s="275"/>
      <c r="C152" s="275"/>
      <c r="D152" s="275"/>
      <c r="E152" s="276"/>
      <c r="F152" s="276"/>
      <c r="G152" s="277"/>
      <c r="H152" s="276"/>
      <c r="I152" s="276"/>
      <c r="J152" s="276"/>
      <c r="K152" s="276"/>
    </row>
    <row r="153">
      <c r="A153" s="275"/>
      <c r="B153" s="275"/>
      <c r="C153" s="275"/>
      <c r="D153" s="275"/>
      <c r="E153" s="276"/>
      <c r="F153" s="276"/>
      <c r="G153" s="277"/>
      <c r="H153" s="276"/>
      <c r="I153" s="276"/>
      <c r="J153" s="276"/>
      <c r="K153" s="276"/>
    </row>
    <row r="154">
      <c r="A154" s="275"/>
      <c r="B154" s="275"/>
      <c r="C154" s="275"/>
      <c r="D154" s="275"/>
      <c r="E154" s="276"/>
      <c r="F154" s="276"/>
      <c r="G154" s="277"/>
      <c r="H154" s="276"/>
      <c r="I154" s="276"/>
      <c r="J154" s="276"/>
      <c r="K154" s="276"/>
    </row>
    <row r="155">
      <c r="A155" s="275"/>
      <c r="B155" s="275"/>
      <c r="C155" s="275"/>
      <c r="D155" s="275"/>
      <c r="E155" s="276"/>
      <c r="F155" s="276"/>
      <c r="G155" s="277"/>
      <c r="H155" s="276"/>
      <c r="I155" s="276"/>
      <c r="J155" s="276"/>
      <c r="K155" s="276"/>
    </row>
    <row r="156">
      <c r="A156" s="275"/>
      <c r="B156" s="275"/>
      <c r="C156" s="275"/>
      <c r="D156" s="275"/>
      <c r="E156" s="276"/>
      <c r="F156" s="276"/>
      <c r="G156" s="277"/>
      <c r="H156" s="276"/>
      <c r="I156" s="276"/>
      <c r="J156" s="276"/>
      <c r="K156" s="276"/>
    </row>
    <row r="157">
      <c r="A157" s="275"/>
      <c r="B157" s="275"/>
      <c r="C157" s="275"/>
      <c r="D157" s="275"/>
      <c r="E157" s="276"/>
      <c r="F157" s="276"/>
      <c r="G157" s="277"/>
      <c r="H157" s="276"/>
      <c r="I157" s="276"/>
      <c r="J157" s="276"/>
      <c r="K157" s="276"/>
    </row>
    <row r="158">
      <c r="A158" s="275"/>
      <c r="B158" s="275"/>
      <c r="C158" s="275"/>
      <c r="D158" s="275"/>
      <c r="E158" s="276"/>
      <c r="F158" s="276"/>
      <c r="G158" s="277"/>
      <c r="H158" s="276"/>
      <c r="I158" s="276"/>
      <c r="J158" s="276"/>
      <c r="K158" s="276"/>
    </row>
    <row r="159">
      <c r="A159" s="275"/>
      <c r="B159" s="275"/>
      <c r="C159" s="275"/>
      <c r="D159" s="275"/>
      <c r="E159" s="276"/>
      <c r="F159" s="276"/>
      <c r="G159" s="277"/>
      <c r="H159" s="276"/>
      <c r="I159" s="276"/>
      <c r="J159" s="276"/>
      <c r="K159" s="276"/>
    </row>
    <row r="160">
      <c r="A160" s="275"/>
      <c r="B160" s="275"/>
      <c r="C160" s="275"/>
      <c r="D160" s="275"/>
      <c r="E160" s="276"/>
      <c r="F160" s="276"/>
      <c r="G160" s="277"/>
      <c r="H160" s="276"/>
      <c r="I160" s="276"/>
      <c r="J160" s="276"/>
      <c r="K160" s="276"/>
    </row>
    <row r="161">
      <c r="A161" s="275"/>
      <c r="B161" s="275"/>
      <c r="C161" s="275"/>
      <c r="D161" s="275"/>
      <c r="E161" s="276"/>
      <c r="F161" s="276"/>
      <c r="G161" s="277"/>
      <c r="H161" s="276"/>
      <c r="I161" s="276"/>
      <c r="J161" s="276"/>
      <c r="K161" s="276"/>
    </row>
    <row r="162">
      <c r="A162" s="275"/>
      <c r="B162" s="275"/>
      <c r="C162" s="275"/>
      <c r="D162" s="275"/>
      <c r="E162" s="276"/>
      <c r="F162" s="276"/>
      <c r="G162" s="277"/>
      <c r="H162" s="276"/>
      <c r="I162" s="276"/>
      <c r="J162" s="276"/>
      <c r="K162" s="276"/>
    </row>
    <row r="163">
      <c r="A163" s="275"/>
      <c r="B163" s="275"/>
      <c r="C163" s="275"/>
      <c r="D163" s="275"/>
      <c r="E163" s="276"/>
      <c r="F163" s="276"/>
      <c r="G163" s="277"/>
      <c r="H163" s="276"/>
      <c r="I163" s="276"/>
      <c r="J163" s="276"/>
      <c r="K163" s="276"/>
    </row>
    <row r="164">
      <c r="A164" s="275"/>
      <c r="B164" s="275"/>
      <c r="C164" s="275"/>
      <c r="D164" s="275"/>
      <c r="E164" s="276"/>
      <c r="F164" s="276"/>
      <c r="G164" s="277"/>
      <c r="H164" s="276"/>
      <c r="I164" s="276"/>
      <c r="J164" s="276"/>
      <c r="K164" s="276"/>
    </row>
    <row r="165">
      <c r="A165" s="275"/>
      <c r="B165" s="275"/>
      <c r="C165" s="275"/>
      <c r="D165" s="275"/>
      <c r="E165" s="276"/>
      <c r="F165" s="276"/>
      <c r="G165" s="277"/>
      <c r="H165" s="276"/>
      <c r="I165" s="276"/>
      <c r="J165" s="276"/>
      <c r="K165" s="276"/>
    </row>
    <row r="166">
      <c r="A166" s="275"/>
      <c r="B166" s="275"/>
      <c r="C166" s="275"/>
      <c r="D166" s="275"/>
      <c r="E166" s="276"/>
      <c r="F166" s="276"/>
      <c r="G166" s="277"/>
      <c r="H166" s="276"/>
      <c r="I166" s="276"/>
      <c r="J166" s="276"/>
      <c r="K166" s="276"/>
    </row>
    <row r="167">
      <c r="A167" s="275"/>
      <c r="B167" s="275"/>
      <c r="C167" s="275"/>
      <c r="D167" s="275"/>
      <c r="E167" s="276"/>
      <c r="F167" s="276"/>
      <c r="G167" s="277"/>
      <c r="H167" s="276"/>
      <c r="I167" s="276"/>
      <c r="J167" s="276"/>
      <c r="K167" s="276"/>
    </row>
    <row r="168">
      <c r="A168" s="275"/>
      <c r="B168" s="275"/>
      <c r="C168" s="275"/>
      <c r="D168" s="275"/>
      <c r="E168" s="276"/>
      <c r="F168" s="276"/>
      <c r="G168" s="277"/>
      <c r="H168" s="276"/>
      <c r="I168" s="276"/>
      <c r="J168" s="276"/>
      <c r="K168" s="276"/>
    </row>
    <row r="169">
      <c r="A169" s="275"/>
      <c r="B169" s="275"/>
      <c r="C169" s="275"/>
      <c r="D169" s="275"/>
      <c r="E169" s="276"/>
      <c r="F169" s="276"/>
      <c r="G169" s="277"/>
      <c r="H169" s="276"/>
      <c r="I169" s="276"/>
      <c r="J169" s="276"/>
      <c r="K169" s="276"/>
    </row>
    <row r="170">
      <c r="A170" s="275"/>
      <c r="B170" s="275"/>
      <c r="C170" s="275"/>
      <c r="D170" s="275"/>
      <c r="E170" s="276"/>
      <c r="F170" s="276"/>
      <c r="G170" s="277"/>
      <c r="H170" s="276"/>
      <c r="I170" s="276"/>
      <c r="J170" s="276"/>
      <c r="K170" s="276"/>
    </row>
    <row r="171">
      <c r="A171" s="275"/>
      <c r="B171" s="275"/>
      <c r="C171" s="275"/>
      <c r="D171" s="275"/>
      <c r="E171" s="276"/>
      <c r="F171" s="276"/>
      <c r="G171" s="277"/>
      <c r="H171" s="276"/>
      <c r="I171" s="276"/>
      <c r="J171" s="276"/>
      <c r="K171" s="276"/>
    </row>
    <row r="172">
      <c r="A172" s="275"/>
      <c r="B172" s="275"/>
      <c r="C172" s="275"/>
      <c r="D172" s="275"/>
      <c r="E172" s="276"/>
      <c r="F172" s="276"/>
      <c r="G172" s="277"/>
      <c r="H172" s="276"/>
      <c r="I172" s="276"/>
      <c r="J172" s="276"/>
      <c r="K172" s="276"/>
    </row>
    <row r="173">
      <c r="A173" s="275"/>
      <c r="B173" s="275"/>
      <c r="C173" s="275"/>
      <c r="D173" s="275"/>
      <c r="E173" s="276"/>
      <c r="F173" s="276"/>
      <c r="G173" s="277"/>
      <c r="H173" s="276"/>
      <c r="I173" s="276"/>
      <c r="J173" s="276"/>
      <c r="K173" s="276"/>
    </row>
    <row r="174">
      <c r="A174" s="275"/>
      <c r="B174" s="275"/>
      <c r="C174" s="275"/>
      <c r="D174" s="275"/>
      <c r="E174" s="276"/>
      <c r="F174" s="276"/>
      <c r="G174" s="277"/>
      <c r="H174" s="276"/>
      <c r="I174" s="276"/>
      <c r="J174" s="276"/>
      <c r="K174" s="276"/>
    </row>
    <row r="175">
      <c r="A175" s="275"/>
      <c r="B175" s="275"/>
      <c r="C175" s="275"/>
      <c r="D175" s="275"/>
      <c r="E175" s="276"/>
      <c r="F175" s="276"/>
      <c r="G175" s="277"/>
      <c r="H175" s="276"/>
      <c r="I175" s="276"/>
      <c r="J175" s="276"/>
      <c r="K175" s="276"/>
    </row>
    <row r="176">
      <c r="A176" s="275"/>
      <c r="B176" s="275"/>
      <c r="C176" s="275"/>
      <c r="D176" s="275"/>
      <c r="E176" s="276"/>
      <c r="F176" s="276"/>
      <c r="G176" s="277"/>
      <c r="H176" s="276"/>
      <c r="I176" s="276"/>
      <c r="J176" s="276"/>
      <c r="K176" s="276"/>
    </row>
    <row r="177">
      <c r="A177" s="275"/>
      <c r="B177" s="275"/>
      <c r="C177" s="275"/>
      <c r="D177" s="275"/>
      <c r="E177" s="276"/>
      <c r="F177" s="276"/>
      <c r="G177" s="277"/>
      <c r="H177" s="276"/>
      <c r="I177" s="276"/>
      <c r="J177" s="276"/>
      <c r="K177" s="276"/>
    </row>
    <row r="178">
      <c r="A178" s="275"/>
      <c r="B178" s="275"/>
      <c r="C178" s="275"/>
      <c r="D178" s="275"/>
      <c r="E178" s="276"/>
      <c r="F178" s="276"/>
      <c r="G178" s="277"/>
      <c r="H178" s="276"/>
      <c r="I178" s="276"/>
      <c r="J178" s="276"/>
      <c r="K178" s="276"/>
    </row>
    <row r="179">
      <c r="A179" s="275"/>
      <c r="B179" s="275"/>
      <c r="C179" s="275"/>
      <c r="D179" s="275"/>
      <c r="E179" s="276"/>
      <c r="F179" s="276"/>
      <c r="G179" s="277"/>
      <c r="H179" s="276"/>
      <c r="I179" s="276"/>
      <c r="J179" s="276"/>
      <c r="K179" s="276"/>
    </row>
    <row r="180">
      <c r="A180" s="275"/>
      <c r="B180" s="275"/>
      <c r="C180" s="275"/>
      <c r="D180" s="275"/>
      <c r="E180" s="276"/>
      <c r="F180" s="276"/>
      <c r="G180" s="277"/>
      <c r="H180" s="276"/>
      <c r="I180" s="276"/>
      <c r="J180" s="276"/>
      <c r="K180" s="276"/>
    </row>
    <row r="181">
      <c r="A181" s="275"/>
      <c r="B181" s="275"/>
      <c r="C181" s="275"/>
      <c r="D181" s="275"/>
      <c r="E181" s="276"/>
      <c r="F181" s="276"/>
      <c r="G181" s="277"/>
      <c r="H181" s="276"/>
      <c r="I181" s="276"/>
      <c r="J181" s="276"/>
      <c r="K181" s="276"/>
    </row>
    <row r="182">
      <c r="A182" s="275"/>
      <c r="B182" s="275"/>
      <c r="C182" s="275"/>
      <c r="D182" s="275"/>
      <c r="E182" s="276"/>
      <c r="F182" s="276"/>
      <c r="G182" s="277"/>
      <c r="H182" s="276"/>
      <c r="I182" s="276"/>
      <c r="J182" s="276"/>
      <c r="K182" s="276"/>
    </row>
    <row r="183">
      <c r="A183" s="275"/>
      <c r="B183" s="275"/>
      <c r="C183" s="275"/>
      <c r="D183" s="275"/>
      <c r="E183" s="276"/>
      <c r="F183" s="276"/>
      <c r="G183" s="277"/>
      <c r="H183" s="276"/>
      <c r="I183" s="276"/>
      <c r="J183" s="276"/>
      <c r="K183" s="276"/>
    </row>
    <row r="184">
      <c r="A184" s="275"/>
      <c r="B184" s="275"/>
      <c r="C184" s="275"/>
      <c r="D184" s="275"/>
      <c r="E184" s="276"/>
      <c r="F184" s="276"/>
      <c r="G184" s="277"/>
      <c r="H184" s="276"/>
      <c r="I184" s="276"/>
      <c r="J184" s="276"/>
      <c r="K184" s="276"/>
    </row>
    <row r="185">
      <c r="A185" s="275"/>
      <c r="B185" s="275"/>
      <c r="C185" s="275"/>
      <c r="D185" s="275"/>
      <c r="E185" s="276"/>
      <c r="F185" s="276"/>
      <c r="G185" s="277"/>
      <c r="H185" s="276"/>
      <c r="I185" s="276"/>
      <c r="J185" s="276"/>
      <c r="K185" s="276"/>
    </row>
    <row r="186">
      <c r="A186" s="275"/>
      <c r="B186" s="275"/>
      <c r="C186" s="275"/>
      <c r="D186" s="275"/>
      <c r="E186" s="276"/>
      <c r="F186" s="276"/>
      <c r="G186" s="277"/>
      <c r="H186" s="276"/>
      <c r="I186" s="276"/>
      <c r="J186" s="276"/>
      <c r="K186" s="276"/>
    </row>
    <row r="187">
      <c r="A187" s="275"/>
      <c r="B187" s="275"/>
      <c r="C187" s="275"/>
      <c r="D187" s="275"/>
      <c r="E187" s="276"/>
      <c r="F187" s="276"/>
      <c r="G187" s="277"/>
      <c r="H187" s="276"/>
      <c r="I187" s="276"/>
      <c r="J187" s="276"/>
      <c r="K187" s="276"/>
    </row>
    <row r="188">
      <c r="A188" s="275"/>
      <c r="B188" s="275"/>
      <c r="C188" s="275"/>
      <c r="D188" s="275"/>
      <c r="E188" s="276"/>
      <c r="F188" s="276"/>
      <c r="G188" s="277"/>
      <c r="H188" s="276"/>
      <c r="I188" s="276"/>
      <c r="J188" s="276"/>
      <c r="K188" s="276"/>
    </row>
    <row r="189">
      <c r="A189" s="275"/>
      <c r="B189" s="275"/>
      <c r="C189" s="275"/>
      <c r="D189" s="275"/>
      <c r="E189" s="276"/>
      <c r="F189" s="276"/>
      <c r="G189" s="277"/>
      <c r="H189" s="276"/>
      <c r="I189" s="276"/>
      <c r="J189" s="276"/>
      <c r="K189" s="276"/>
    </row>
    <row r="190">
      <c r="A190" s="275"/>
      <c r="B190" s="275"/>
      <c r="C190" s="275"/>
      <c r="D190" s="275"/>
      <c r="E190" s="276"/>
      <c r="F190" s="276"/>
      <c r="G190" s="277"/>
      <c r="H190" s="276"/>
      <c r="I190" s="276"/>
      <c r="J190" s="276"/>
      <c r="K190" s="276"/>
    </row>
    <row r="191">
      <c r="A191" s="275"/>
      <c r="B191" s="275"/>
      <c r="C191" s="275"/>
      <c r="D191" s="275"/>
      <c r="E191" s="276"/>
      <c r="F191" s="276"/>
      <c r="G191" s="277"/>
      <c r="H191" s="276"/>
      <c r="I191" s="276"/>
      <c r="J191" s="276"/>
      <c r="K191" s="276"/>
    </row>
    <row r="192">
      <c r="A192" s="275"/>
      <c r="B192" s="275"/>
      <c r="C192" s="275"/>
      <c r="D192" s="275"/>
      <c r="E192" s="276"/>
      <c r="F192" s="276"/>
      <c r="G192" s="277"/>
      <c r="H192" s="276"/>
      <c r="I192" s="276"/>
      <c r="J192" s="276"/>
      <c r="K192" s="276"/>
    </row>
    <row r="193">
      <c r="A193" s="275"/>
      <c r="B193" s="275"/>
      <c r="C193" s="275"/>
      <c r="D193" s="275"/>
      <c r="E193" s="276"/>
      <c r="F193" s="276"/>
      <c r="G193" s="277"/>
      <c r="H193" s="276"/>
      <c r="I193" s="276"/>
      <c r="J193" s="276"/>
      <c r="K193" s="276"/>
    </row>
    <row r="194">
      <c r="A194" s="275"/>
      <c r="B194" s="275"/>
      <c r="C194" s="275"/>
      <c r="D194" s="275"/>
      <c r="E194" s="276"/>
      <c r="F194" s="276"/>
      <c r="G194" s="277"/>
      <c r="H194" s="276"/>
      <c r="I194" s="276"/>
      <c r="J194" s="276"/>
      <c r="K194" s="276"/>
    </row>
    <row r="195">
      <c r="A195" s="275"/>
      <c r="B195" s="275"/>
      <c r="C195" s="275"/>
      <c r="D195" s="275"/>
      <c r="E195" s="276"/>
      <c r="F195" s="276"/>
      <c r="G195" s="277"/>
      <c r="H195" s="276"/>
      <c r="I195" s="276"/>
      <c r="J195" s="276"/>
      <c r="K195" s="276"/>
    </row>
    <row r="196">
      <c r="A196" s="275"/>
      <c r="B196" s="275"/>
      <c r="C196" s="275"/>
      <c r="D196" s="275"/>
      <c r="E196" s="276"/>
      <c r="F196" s="276"/>
      <c r="G196" s="277"/>
      <c r="H196" s="276"/>
      <c r="I196" s="276"/>
      <c r="J196" s="276"/>
      <c r="K196" s="276"/>
    </row>
    <row r="197">
      <c r="A197" s="275"/>
      <c r="B197" s="275"/>
      <c r="C197" s="275"/>
      <c r="D197" s="275"/>
      <c r="E197" s="276"/>
      <c r="F197" s="276"/>
      <c r="G197" s="277"/>
      <c r="H197" s="276"/>
      <c r="I197" s="276"/>
      <c r="J197" s="276"/>
      <c r="K197" s="276"/>
    </row>
    <row r="198">
      <c r="A198" s="275"/>
      <c r="B198" s="275"/>
      <c r="C198" s="275"/>
      <c r="D198" s="275"/>
      <c r="E198" s="276"/>
      <c r="F198" s="276"/>
      <c r="G198" s="277"/>
      <c r="H198" s="276"/>
      <c r="I198" s="276"/>
      <c r="J198" s="276"/>
      <c r="K198" s="276"/>
    </row>
    <row r="199">
      <c r="A199" s="275"/>
      <c r="B199" s="275"/>
      <c r="C199" s="275"/>
      <c r="D199" s="275"/>
      <c r="E199" s="276"/>
      <c r="F199" s="276"/>
      <c r="G199" s="277"/>
      <c r="H199" s="276"/>
      <c r="I199" s="276"/>
      <c r="J199" s="276"/>
      <c r="K199" s="276"/>
    </row>
    <row r="200">
      <c r="A200" s="275"/>
      <c r="B200" s="275"/>
      <c r="C200" s="275"/>
      <c r="D200" s="275"/>
      <c r="E200" s="276"/>
      <c r="F200" s="276"/>
      <c r="G200" s="277"/>
      <c r="H200" s="276"/>
      <c r="I200" s="276"/>
      <c r="J200" s="276"/>
      <c r="K200" s="276"/>
    </row>
    <row r="201">
      <c r="A201" s="275"/>
      <c r="B201" s="275"/>
      <c r="C201" s="275"/>
      <c r="D201" s="275"/>
      <c r="E201" s="276"/>
      <c r="F201" s="276"/>
      <c r="G201" s="277"/>
      <c r="H201" s="276"/>
      <c r="I201" s="276"/>
      <c r="J201" s="276"/>
      <c r="K201" s="276"/>
    </row>
    <row r="202">
      <c r="A202" s="275"/>
      <c r="B202" s="275"/>
      <c r="C202" s="275"/>
      <c r="D202" s="275"/>
      <c r="E202" s="276"/>
      <c r="F202" s="276"/>
      <c r="G202" s="277"/>
      <c r="H202" s="276"/>
      <c r="I202" s="276"/>
      <c r="J202" s="276"/>
      <c r="K202" s="276"/>
    </row>
    <row r="203">
      <c r="A203" s="275"/>
      <c r="B203" s="275"/>
      <c r="C203" s="275"/>
      <c r="D203" s="275"/>
      <c r="E203" s="276"/>
      <c r="F203" s="276"/>
      <c r="G203" s="277"/>
      <c r="H203" s="276"/>
      <c r="I203" s="276"/>
      <c r="J203" s="276"/>
      <c r="K203" s="276"/>
    </row>
    <row r="204">
      <c r="A204" s="275"/>
      <c r="B204" s="275"/>
      <c r="C204" s="275"/>
      <c r="D204" s="275"/>
      <c r="E204" s="276"/>
      <c r="F204" s="276"/>
      <c r="G204" s="277"/>
      <c r="H204" s="276"/>
      <c r="I204" s="276"/>
      <c r="J204" s="276"/>
      <c r="K204" s="276"/>
    </row>
    <row r="205">
      <c r="A205" s="275"/>
      <c r="B205" s="275"/>
      <c r="C205" s="275"/>
      <c r="D205" s="275"/>
      <c r="E205" s="276"/>
      <c r="F205" s="276"/>
      <c r="G205" s="277"/>
      <c r="H205" s="276"/>
      <c r="I205" s="276"/>
      <c r="J205" s="276"/>
      <c r="K205" s="276"/>
    </row>
    <row r="206">
      <c r="A206" s="275"/>
      <c r="B206" s="275"/>
      <c r="C206" s="275"/>
      <c r="D206" s="275"/>
      <c r="E206" s="276"/>
      <c r="F206" s="276"/>
      <c r="G206" s="277"/>
      <c r="H206" s="276"/>
      <c r="I206" s="276"/>
      <c r="J206" s="276"/>
      <c r="K206" s="276"/>
    </row>
    <row r="207">
      <c r="A207" s="275"/>
      <c r="B207" s="275"/>
      <c r="C207" s="275"/>
      <c r="D207" s="275"/>
      <c r="E207" s="276"/>
      <c r="F207" s="276"/>
      <c r="G207" s="277"/>
      <c r="H207" s="276"/>
      <c r="I207" s="276"/>
      <c r="J207" s="276"/>
      <c r="K207" s="276"/>
    </row>
    <row r="208">
      <c r="A208" s="275"/>
      <c r="B208" s="275"/>
      <c r="C208" s="275"/>
      <c r="D208" s="275"/>
      <c r="E208" s="276"/>
      <c r="F208" s="276"/>
      <c r="G208" s="277"/>
      <c r="H208" s="276"/>
      <c r="I208" s="276"/>
      <c r="J208" s="276"/>
      <c r="K208" s="276"/>
    </row>
    <row r="209">
      <c r="A209" s="275"/>
      <c r="B209" s="275"/>
      <c r="C209" s="275"/>
      <c r="D209" s="275"/>
      <c r="E209" s="276"/>
      <c r="F209" s="276"/>
      <c r="G209" s="277"/>
      <c r="H209" s="276"/>
      <c r="I209" s="276"/>
      <c r="J209" s="276"/>
      <c r="K209" s="276"/>
    </row>
    <row r="210">
      <c r="A210" s="275"/>
      <c r="B210" s="275"/>
      <c r="C210" s="275"/>
      <c r="D210" s="275"/>
      <c r="E210" s="276"/>
      <c r="F210" s="276"/>
      <c r="G210" s="277"/>
      <c r="H210" s="276"/>
      <c r="I210" s="276"/>
      <c r="J210" s="276"/>
      <c r="K210" s="276"/>
    </row>
    <row r="211">
      <c r="A211" s="275"/>
      <c r="B211" s="275"/>
      <c r="C211" s="275"/>
      <c r="D211" s="275"/>
      <c r="E211" s="276"/>
      <c r="F211" s="276"/>
      <c r="G211" s="277"/>
      <c r="H211" s="276"/>
      <c r="I211" s="276"/>
      <c r="J211" s="276"/>
      <c r="K211" s="276"/>
    </row>
    <row r="212">
      <c r="A212" s="275"/>
      <c r="B212" s="275"/>
      <c r="C212" s="275"/>
      <c r="D212" s="275"/>
      <c r="E212" s="276"/>
      <c r="F212" s="276"/>
      <c r="G212" s="277"/>
      <c r="H212" s="276"/>
      <c r="I212" s="276"/>
      <c r="J212" s="276"/>
      <c r="K212" s="276"/>
    </row>
    <row r="213">
      <c r="A213" s="275"/>
      <c r="B213" s="275"/>
      <c r="C213" s="275"/>
      <c r="D213" s="275"/>
      <c r="E213" s="276"/>
      <c r="F213" s="276"/>
      <c r="G213" s="277"/>
      <c r="H213" s="276"/>
      <c r="I213" s="276"/>
      <c r="J213" s="276"/>
      <c r="K213" s="276"/>
    </row>
    <row r="214">
      <c r="A214" s="275"/>
      <c r="B214" s="275"/>
      <c r="C214" s="275"/>
      <c r="D214" s="275"/>
      <c r="E214" s="276"/>
      <c r="F214" s="276"/>
      <c r="G214" s="277"/>
      <c r="H214" s="276"/>
      <c r="I214" s="276"/>
      <c r="J214" s="276"/>
      <c r="K214" s="276"/>
    </row>
    <row r="215">
      <c r="A215" s="275"/>
      <c r="B215" s="275"/>
      <c r="C215" s="275"/>
      <c r="D215" s="275"/>
      <c r="E215" s="276"/>
      <c r="F215" s="276"/>
      <c r="G215" s="277"/>
      <c r="H215" s="276"/>
      <c r="I215" s="276"/>
      <c r="J215" s="276"/>
      <c r="K215" s="276"/>
    </row>
    <row r="216">
      <c r="A216" s="275"/>
      <c r="B216" s="275"/>
      <c r="C216" s="275"/>
      <c r="D216" s="275"/>
      <c r="E216" s="276"/>
      <c r="F216" s="276"/>
      <c r="G216" s="277"/>
      <c r="H216" s="276"/>
      <c r="I216" s="276"/>
      <c r="J216" s="276"/>
      <c r="K216" s="276"/>
    </row>
    <row r="217">
      <c r="A217" s="275"/>
      <c r="B217" s="275"/>
      <c r="C217" s="275"/>
      <c r="D217" s="275"/>
      <c r="E217" s="276"/>
      <c r="F217" s="276"/>
      <c r="G217" s="277"/>
      <c r="H217" s="276"/>
      <c r="I217" s="276"/>
      <c r="J217" s="276"/>
      <c r="K217" s="276"/>
    </row>
    <row r="218">
      <c r="A218" s="275"/>
      <c r="B218" s="275"/>
      <c r="C218" s="275"/>
      <c r="D218" s="275"/>
      <c r="E218" s="276"/>
      <c r="F218" s="276"/>
      <c r="G218" s="277"/>
      <c r="H218" s="276"/>
      <c r="I218" s="276"/>
      <c r="J218" s="276"/>
      <c r="K218" s="276"/>
    </row>
    <row r="219">
      <c r="A219" s="275"/>
      <c r="B219" s="275"/>
      <c r="C219" s="275"/>
      <c r="D219" s="275"/>
      <c r="E219" s="276"/>
      <c r="F219" s="276"/>
      <c r="G219" s="277"/>
      <c r="H219" s="276"/>
      <c r="I219" s="276"/>
      <c r="J219" s="276"/>
      <c r="K219" s="276"/>
    </row>
    <row r="220">
      <c r="A220" s="275"/>
      <c r="B220" s="275"/>
      <c r="C220" s="275"/>
      <c r="D220" s="275"/>
      <c r="E220" s="276"/>
      <c r="F220" s="276"/>
      <c r="G220" s="277"/>
      <c r="H220" s="276"/>
      <c r="I220" s="276"/>
      <c r="J220" s="276"/>
      <c r="K220" s="276"/>
    </row>
    <row r="221">
      <c r="A221" s="275"/>
      <c r="B221" s="275"/>
      <c r="C221" s="275"/>
      <c r="D221" s="275"/>
      <c r="E221" s="276"/>
      <c r="F221" s="276"/>
      <c r="G221" s="277"/>
      <c r="H221" s="276"/>
      <c r="I221" s="276"/>
      <c r="J221" s="276"/>
      <c r="K221" s="276"/>
    </row>
    <row r="222">
      <c r="A222" s="275"/>
      <c r="B222" s="275"/>
      <c r="C222" s="275"/>
      <c r="D222" s="275"/>
      <c r="E222" s="276"/>
      <c r="F222" s="276"/>
      <c r="G222" s="277"/>
      <c r="H222" s="276"/>
      <c r="I222" s="276"/>
      <c r="J222" s="276"/>
      <c r="K222" s="276"/>
    </row>
    <row r="223">
      <c r="A223" s="275"/>
      <c r="B223" s="275"/>
      <c r="C223" s="275"/>
      <c r="D223" s="275"/>
      <c r="E223" s="276"/>
      <c r="F223" s="276"/>
      <c r="G223" s="277"/>
      <c r="H223" s="276"/>
      <c r="I223" s="276"/>
      <c r="J223" s="276"/>
      <c r="K223" s="276"/>
    </row>
    <row r="224">
      <c r="A224" s="275"/>
      <c r="B224" s="275"/>
      <c r="C224" s="275"/>
      <c r="D224" s="275"/>
      <c r="E224" s="276"/>
      <c r="F224" s="276"/>
      <c r="G224" s="277"/>
      <c r="H224" s="276"/>
      <c r="I224" s="276"/>
      <c r="J224" s="276"/>
      <c r="K224" s="276"/>
    </row>
    <row r="225">
      <c r="A225" s="275"/>
      <c r="B225" s="275"/>
      <c r="C225" s="275"/>
      <c r="D225" s="275"/>
      <c r="E225" s="276"/>
      <c r="F225" s="276"/>
      <c r="G225" s="277"/>
      <c r="H225" s="276"/>
      <c r="I225" s="276"/>
      <c r="J225" s="276"/>
      <c r="K225" s="276"/>
    </row>
    <row r="226">
      <c r="A226" s="275"/>
      <c r="B226" s="275"/>
      <c r="C226" s="275"/>
      <c r="D226" s="275"/>
      <c r="E226" s="276"/>
      <c r="F226" s="276"/>
      <c r="G226" s="277"/>
      <c r="H226" s="276"/>
      <c r="I226" s="276"/>
      <c r="J226" s="276"/>
      <c r="K226" s="276"/>
    </row>
    <row r="227">
      <c r="A227" s="275"/>
      <c r="B227" s="275"/>
      <c r="C227" s="275"/>
      <c r="D227" s="275"/>
      <c r="E227" s="276"/>
      <c r="F227" s="276"/>
      <c r="G227" s="277"/>
      <c r="H227" s="276"/>
      <c r="I227" s="276"/>
      <c r="J227" s="276"/>
      <c r="K227" s="276"/>
    </row>
    <row r="228">
      <c r="A228" s="275"/>
      <c r="B228" s="275"/>
      <c r="C228" s="275"/>
      <c r="D228" s="275"/>
      <c r="E228" s="276"/>
      <c r="F228" s="276"/>
      <c r="G228" s="277"/>
      <c r="H228" s="276"/>
      <c r="I228" s="276"/>
      <c r="J228" s="276"/>
      <c r="K228" s="276"/>
    </row>
    <row r="229">
      <c r="A229" s="275"/>
      <c r="B229" s="275"/>
      <c r="C229" s="275"/>
      <c r="D229" s="275"/>
      <c r="E229" s="276"/>
      <c r="F229" s="276"/>
      <c r="G229" s="277"/>
      <c r="H229" s="276"/>
      <c r="I229" s="276"/>
      <c r="J229" s="276"/>
      <c r="K229" s="276"/>
    </row>
    <row r="230">
      <c r="A230" s="275"/>
      <c r="B230" s="275"/>
      <c r="C230" s="275"/>
      <c r="D230" s="275"/>
      <c r="E230" s="276"/>
      <c r="F230" s="276"/>
      <c r="G230" s="277"/>
      <c r="H230" s="276"/>
      <c r="I230" s="276"/>
      <c r="J230" s="276"/>
      <c r="K230" s="276"/>
    </row>
    <row r="231">
      <c r="A231" s="275"/>
      <c r="B231" s="275"/>
      <c r="C231" s="275"/>
      <c r="D231" s="275"/>
      <c r="E231" s="276"/>
      <c r="F231" s="276"/>
      <c r="G231" s="277"/>
      <c r="H231" s="276"/>
      <c r="I231" s="276"/>
      <c r="J231" s="276"/>
      <c r="K231" s="276"/>
    </row>
    <row r="232">
      <c r="A232" s="275"/>
      <c r="B232" s="275"/>
      <c r="C232" s="275"/>
      <c r="D232" s="275"/>
      <c r="E232" s="276"/>
      <c r="F232" s="276"/>
      <c r="G232" s="277"/>
      <c r="H232" s="276"/>
      <c r="I232" s="276"/>
      <c r="J232" s="276"/>
      <c r="K232" s="276"/>
    </row>
    <row r="233">
      <c r="A233" s="275"/>
      <c r="B233" s="275"/>
      <c r="C233" s="275"/>
      <c r="D233" s="275"/>
      <c r="E233" s="276"/>
      <c r="F233" s="276"/>
      <c r="G233" s="277"/>
      <c r="H233" s="276"/>
      <c r="I233" s="276"/>
      <c r="J233" s="276"/>
      <c r="K233" s="276"/>
    </row>
    <row r="234">
      <c r="A234" s="275"/>
      <c r="B234" s="275"/>
      <c r="C234" s="275"/>
      <c r="D234" s="275"/>
      <c r="E234" s="276"/>
      <c r="F234" s="276"/>
      <c r="G234" s="277"/>
      <c r="H234" s="276"/>
      <c r="I234" s="276"/>
      <c r="J234" s="276"/>
      <c r="K234" s="276"/>
    </row>
    <row r="235">
      <c r="A235" s="275"/>
      <c r="B235" s="275"/>
      <c r="C235" s="275"/>
      <c r="D235" s="275"/>
      <c r="E235" s="276"/>
      <c r="F235" s="276"/>
      <c r="G235" s="277"/>
      <c r="H235" s="276"/>
      <c r="I235" s="276"/>
      <c r="J235" s="276"/>
      <c r="K235" s="276"/>
    </row>
    <row r="236">
      <c r="A236" s="275"/>
      <c r="B236" s="275"/>
      <c r="C236" s="275"/>
      <c r="D236" s="275"/>
      <c r="E236" s="276"/>
      <c r="F236" s="276"/>
      <c r="G236" s="277"/>
      <c r="H236" s="276"/>
      <c r="I236" s="276"/>
      <c r="J236" s="276"/>
      <c r="K236" s="276"/>
    </row>
    <row r="237">
      <c r="A237" s="275"/>
      <c r="B237" s="275"/>
      <c r="C237" s="275"/>
      <c r="D237" s="275"/>
      <c r="E237" s="276"/>
      <c r="F237" s="276"/>
      <c r="G237" s="277"/>
      <c r="H237" s="276"/>
      <c r="I237" s="276"/>
      <c r="J237" s="276"/>
      <c r="K237" s="276"/>
    </row>
    <row r="238">
      <c r="A238" s="275"/>
      <c r="B238" s="275"/>
      <c r="C238" s="275"/>
      <c r="D238" s="275"/>
      <c r="E238" s="276"/>
      <c r="F238" s="276"/>
      <c r="G238" s="277"/>
      <c r="H238" s="276"/>
      <c r="I238" s="276"/>
      <c r="J238" s="276"/>
      <c r="K238" s="276"/>
    </row>
    <row r="239">
      <c r="A239" s="275"/>
      <c r="B239" s="275"/>
      <c r="C239" s="275"/>
      <c r="D239" s="275"/>
      <c r="E239" s="276"/>
      <c r="F239" s="276"/>
      <c r="G239" s="277"/>
      <c r="H239" s="276"/>
      <c r="I239" s="276"/>
      <c r="J239" s="276"/>
      <c r="K239" s="276"/>
    </row>
    <row r="240">
      <c r="A240" s="275"/>
      <c r="B240" s="275"/>
      <c r="C240" s="275"/>
      <c r="D240" s="275"/>
      <c r="E240" s="276"/>
      <c r="F240" s="276"/>
      <c r="G240" s="277"/>
      <c r="H240" s="276"/>
      <c r="I240" s="276"/>
      <c r="J240" s="276"/>
      <c r="K240" s="276"/>
    </row>
    <row r="241">
      <c r="A241" s="275"/>
      <c r="B241" s="275"/>
      <c r="C241" s="275"/>
      <c r="D241" s="275"/>
      <c r="E241" s="276"/>
      <c r="F241" s="276"/>
      <c r="G241" s="277"/>
      <c r="H241" s="276"/>
      <c r="I241" s="276"/>
      <c r="J241" s="276"/>
      <c r="K241" s="276"/>
    </row>
    <row r="242">
      <c r="A242" s="275"/>
      <c r="B242" s="275"/>
      <c r="C242" s="275"/>
      <c r="D242" s="275"/>
      <c r="E242" s="276"/>
      <c r="F242" s="276"/>
      <c r="G242" s="277"/>
      <c r="H242" s="276"/>
      <c r="I242" s="276"/>
      <c r="J242" s="276"/>
      <c r="K242" s="276"/>
    </row>
    <row r="243">
      <c r="A243" s="275"/>
      <c r="B243" s="275"/>
      <c r="C243" s="275"/>
      <c r="D243" s="275"/>
      <c r="E243" s="276"/>
      <c r="F243" s="276"/>
      <c r="G243" s="277"/>
      <c r="H243" s="276"/>
      <c r="I243" s="276"/>
      <c r="J243" s="276"/>
      <c r="K243" s="276"/>
    </row>
    <row r="244">
      <c r="A244" s="275"/>
      <c r="B244" s="275"/>
      <c r="C244" s="275"/>
      <c r="D244" s="275"/>
      <c r="E244" s="276"/>
      <c r="F244" s="276"/>
      <c r="G244" s="277"/>
      <c r="H244" s="276"/>
      <c r="I244" s="276"/>
      <c r="J244" s="276"/>
      <c r="K244" s="276"/>
    </row>
    <row r="245">
      <c r="A245" s="275"/>
      <c r="B245" s="275"/>
      <c r="C245" s="275"/>
      <c r="D245" s="275"/>
      <c r="E245" s="276"/>
      <c r="F245" s="276"/>
      <c r="G245" s="277"/>
      <c r="H245" s="276"/>
      <c r="I245" s="276"/>
      <c r="J245" s="276"/>
      <c r="K245" s="276"/>
    </row>
    <row r="246">
      <c r="A246" s="275"/>
      <c r="B246" s="275"/>
      <c r="C246" s="275"/>
      <c r="D246" s="275"/>
      <c r="E246" s="276"/>
      <c r="F246" s="276"/>
      <c r="G246" s="277"/>
      <c r="H246" s="276"/>
      <c r="I246" s="276"/>
      <c r="J246" s="276"/>
      <c r="K246" s="276"/>
    </row>
    <row r="247">
      <c r="A247" s="275"/>
      <c r="B247" s="275"/>
      <c r="C247" s="275"/>
      <c r="D247" s="275"/>
      <c r="E247" s="276"/>
      <c r="F247" s="276"/>
      <c r="G247" s="277"/>
      <c r="H247" s="276"/>
      <c r="I247" s="276"/>
      <c r="J247" s="276"/>
      <c r="K247" s="276"/>
    </row>
    <row r="248">
      <c r="A248" s="275"/>
      <c r="B248" s="275"/>
      <c r="C248" s="275"/>
      <c r="D248" s="275"/>
      <c r="E248" s="276"/>
      <c r="F248" s="276"/>
      <c r="G248" s="277"/>
      <c r="H248" s="276"/>
      <c r="I248" s="276"/>
      <c r="J248" s="276"/>
      <c r="K248" s="276"/>
    </row>
    <row r="249">
      <c r="A249" s="275"/>
      <c r="B249" s="275"/>
      <c r="C249" s="275"/>
      <c r="D249" s="275"/>
      <c r="E249" s="276"/>
      <c r="F249" s="276"/>
      <c r="G249" s="277"/>
      <c r="H249" s="276"/>
      <c r="I249" s="276"/>
      <c r="J249" s="276"/>
      <c r="K249" s="276"/>
    </row>
    <row r="250">
      <c r="A250" s="275"/>
      <c r="B250" s="275"/>
      <c r="C250" s="275"/>
      <c r="D250" s="275"/>
      <c r="E250" s="276"/>
      <c r="F250" s="276"/>
      <c r="G250" s="277"/>
      <c r="H250" s="276"/>
      <c r="I250" s="276"/>
      <c r="J250" s="276"/>
      <c r="K250" s="276"/>
    </row>
    <row r="251">
      <c r="A251" s="275"/>
      <c r="B251" s="275"/>
      <c r="C251" s="275"/>
      <c r="D251" s="275"/>
      <c r="E251" s="276"/>
      <c r="F251" s="276"/>
      <c r="G251" s="277"/>
      <c r="H251" s="276"/>
      <c r="I251" s="276"/>
      <c r="J251" s="276"/>
      <c r="K251" s="276"/>
    </row>
    <row r="252">
      <c r="A252" s="275"/>
      <c r="B252" s="275"/>
      <c r="C252" s="275"/>
      <c r="D252" s="275"/>
      <c r="E252" s="276"/>
      <c r="F252" s="276"/>
      <c r="G252" s="277"/>
      <c r="H252" s="276"/>
      <c r="I252" s="276"/>
      <c r="J252" s="276"/>
      <c r="K252" s="276"/>
    </row>
    <row r="253">
      <c r="A253" s="275"/>
      <c r="B253" s="275"/>
      <c r="C253" s="275"/>
      <c r="D253" s="275"/>
      <c r="E253" s="276"/>
      <c r="F253" s="276"/>
      <c r="G253" s="277"/>
      <c r="H253" s="276"/>
      <c r="I253" s="276"/>
      <c r="J253" s="276"/>
      <c r="K253" s="276"/>
    </row>
    <row r="254">
      <c r="A254" s="275"/>
      <c r="B254" s="275"/>
      <c r="C254" s="275"/>
      <c r="D254" s="275"/>
      <c r="E254" s="276"/>
      <c r="F254" s="276"/>
      <c r="G254" s="277"/>
      <c r="H254" s="276"/>
      <c r="I254" s="276"/>
      <c r="J254" s="276"/>
      <c r="K254" s="276"/>
    </row>
    <row r="255">
      <c r="A255" s="275"/>
      <c r="B255" s="275"/>
      <c r="C255" s="275"/>
      <c r="D255" s="275"/>
      <c r="E255" s="276"/>
      <c r="F255" s="276"/>
      <c r="G255" s="277"/>
      <c r="H255" s="276"/>
      <c r="I255" s="276"/>
      <c r="J255" s="276"/>
      <c r="K255" s="276"/>
    </row>
    <row r="256">
      <c r="A256" s="275"/>
      <c r="B256" s="275"/>
      <c r="C256" s="275"/>
      <c r="D256" s="275"/>
      <c r="E256" s="276"/>
      <c r="F256" s="276"/>
      <c r="G256" s="277"/>
      <c r="H256" s="276"/>
      <c r="I256" s="276"/>
      <c r="J256" s="276"/>
      <c r="K256" s="276"/>
    </row>
    <row r="257">
      <c r="A257" s="275"/>
      <c r="B257" s="275"/>
      <c r="C257" s="275"/>
      <c r="D257" s="275"/>
      <c r="E257" s="276"/>
      <c r="F257" s="276"/>
      <c r="G257" s="277"/>
      <c r="H257" s="276"/>
      <c r="I257" s="276"/>
      <c r="J257" s="276"/>
      <c r="K257" s="276"/>
    </row>
    <row r="258">
      <c r="A258" s="275"/>
      <c r="B258" s="275"/>
      <c r="C258" s="275"/>
      <c r="D258" s="275"/>
      <c r="E258" s="276"/>
      <c r="F258" s="276"/>
      <c r="G258" s="277"/>
      <c r="H258" s="276"/>
      <c r="I258" s="276"/>
      <c r="J258" s="276"/>
      <c r="K258" s="276"/>
    </row>
    <row r="259">
      <c r="A259" s="275"/>
      <c r="B259" s="275"/>
      <c r="C259" s="275"/>
      <c r="D259" s="275"/>
      <c r="E259" s="276"/>
      <c r="F259" s="276"/>
      <c r="G259" s="277"/>
      <c r="H259" s="276"/>
      <c r="I259" s="276"/>
      <c r="J259" s="276"/>
      <c r="K259" s="276"/>
    </row>
    <row r="260">
      <c r="A260" s="275"/>
      <c r="B260" s="275"/>
      <c r="C260" s="275"/>
      <c r="D260" s="275"/>
      <c r="E260" s="276"/>
      <c r="F260" s="276"/>
      <c r="G260" s="277"/>
      <c r="H260" s="276"/>
      <c r="I260" s="276"/>
      <c r="J260" s="276"/>
      <c r="K260" s="276"/>
    </row>
    <row r="261">
      <c r="A261" s="275"/>
      <c r="B261" s="275"/>
      <c r="C261" s="275"/>
      <c r="D261" s="275"/>
      <c r="E261" s="276"/>
      <c r="F261" s="276"/>
      <c r="G261" s="277"/>
      <c r="H261" s="276"/>
      <c r="I261" s="276"/>
      <c r="J261" s="276"/>
      <c r="K261" s="276"/>
    </row>
    <row r="262">
      <c r="A262" s="275"/>
      <c r="B262" s="275"/>
      <c r="C262" s="275"/>
      <c r="D262" s="275"/>
      <c r="E262" s="276"/>
      <c r="F262" s="276"/>
      <c r="G262" s="277"/>
      <c r="H262" s="276"/>
      <c r="I262" s="276"/>
      <c r="J262" s="276"/>
      <c r="K262" s="276"/>
    </row>
    <row r="263">
      <c r="A263" s="275"/>
      <c r="B263" s="275"/>
      <c r="C263" s="275"/>
      <c r="D263" s="275"/>
      <c r="E263" s="276"/>
      <c r="F263" s="276"/>
      <c r="G263" s="277"/>
      <c r="H263" s="276"/>
      <c r="I263" s="276"/>
      <c r="J263" s="276"/>
      <c r="K263" s="276"/>
    </row>
    <row r="264">
      <c r="A264" s="275"/>
      <c r="B264" s="275"/>
      <c r="C264" s="275"/>
      <c r="D264" s="275"/>
      <c r="E264" s="276"/>
      <c r="F264" s="276"/>
      <c r="G264" s="277"/>
      <c r="H264" s="276"/>
      <c r="I264" s="276"/>
      <c r="J264" s="276"/>
      <c r="K264" s="276"/>
    </row>
    <row r="265">
      <c r="A265" s="275"/>
      <c r="B265" s="275"/>
      <c r="C265" s="275"/>
      <c r="D265" s="275"/>
      <c r="E265" s="276"/>
      <c r="F265" s="276"/>
      <c r="G265" s="277"/>
      <c r="H265" s="276"/>
      <c r="I265" s="276"/>
      <c r="J265" s="276"/>
      <c r="K265" s="276"/>
    </row>
    <row r="266">
      <c r="A266" s="275"/>
      <c r="B266" s="275"/>
      <c r="C266" s="275"/>
      <c r="D266" s="275"/>
      <c r="E266" s="276"/>
      <c r="F266" s="276"/>
      <c r="G266" s="277"/>
      <c r="H266" s="276"/>
      <c r="I266" s="276"/>
      <c r="J266" s="276"/>
      <c r="K266" s="276"/>
    </row>
    <row r="267">
      <c r="A267" s="275"/>
      <c r="B267" s="275"/>
      <c r="C267" s="275"/>
      <c r="D267" s="275"/>
      <c r="E267" s="276"/>
      <c r="F267" s="276"/>
      <c r="G267" s="277"/>
      <c r="H267" s="276"/>
      <c r="I267" s="276"/>
      <c r="J267" s="276"/>
      <c r="K267" s="276"/>
    </row>
    <row r="268">
      <c r="A268" s="275"/>
      <c r="B268" s="275"/>
      <c r="C268" s="275"/>
      <c r="D268" s="275"/>
      <c r="E268" s="276"/>
      <c r="F268" s="276"/>
      <c r="G268" s="277"/>
      <c r="H268" s="276"/>
      <c r="I268" s="276"/>
      <c r="J268" s="276"/>
      <c r="K268" s="276"/>
    </row>
    <row r="269">
      <c r="A269" s="275"/>
      <c r="B269" s="275"/>
      <c r="C269" s="275"/>
      <c r="D269" s="275"/>
      <c r="E269" s="276"/>
      <c r="F269" s="276"/>
      <c r="G269" s="277"/>
      <c r="H269" s="276"/>
      <c r="I269" s="276"/>
      <c r="J269" s="276"/>
      <c r="K269" s="276"/>
    </row>
    <row r="270">
      <c r="A270" s="275"/>
      <c r="B270" s="275"/>
      <c r="C270" s="275"/>
      <c r="D270" s="275"/>
      <c r="E270" s="276"/>
      <c r="F270" s="276"/>
      <c r="G270" s="277"/>
      <c r="H270" s="276"/>
      <c r="I270" s="276"/>
      <c r="J270" s="276"/>
      <c r="K270" s="276"/>
    </row>
    <row r="271">
      <c r="A271" s="275"/>
      <c r="B271" s="275"/>
      <c r="C271" s="275"/>
      <c r="D271" s="275"/>
      <c r="E271" s="276"/>
      <c r="F271" s="276"/>
      <c r="G271" s="277"/>
      <c r="H271" s="276"/>
      <c r="I271" s="276"/>
      <c r="J271" s="276"/>
      <c r="K271" s="276"/>
    </row>
    <row r="272">
      <c r="A272" s="275"/>
      <c r="B272" s="275"/>
      <c r="C272" s="275"/>
      <c r="D272" s="275"/>
      <c r="E272" s="276"/>
      <c r="F272" s="276"/>
      <c r="G272" s="277"/>
      <c r="H272" s="276"/>
      <c r="I272" s="276"/>
      <c r="J272" s="276"/>
      <c r="K272" s="276"/>
    </row>
    <row r="273">
      <c r="A273" s="275"/>
      <c r="B273" s="275"/>
      <c r="C273" s="275"/>
      <c r="D273" s="275"/>
      <c r="E273" s="276"/>
      <c r="F273" s="276"/>
      <c r="G273" s="277"/>
      <c r="H273" s="276"/>
      <c r="I273" s="276"/>
      <c r="J273" s="276"/>
      <c r="K273" s="276"/>
    </row>
    <row r="274">
      <c r="A274" s="275"/>
      <c r="B274" s="275"/>
      <c r="C274" s="275"/>
      <c r="D274" s="275"/>
      <c r="E274" s="276"/>
      <c r="F274" s="276"/>
      <c r="G274" s="277"/>
      <c r="H274" s="276"/>
      <c r="I274" s="276"/>
      <c r="J274" s="276"/>
      <c r="K274" s="276"/>
    </row>
    <row r="275">
      <c r="A275" s="275"/>
      <c r="B275" s="275"/>
      <c r="C275" s="275"/>
      <c r="D275" s="275"/>
      <c r="E275" s="276"/>
      <c r="F275" s="276"/>
      <c r="G275" s="277"/>
      <c r="H275" s="276"/>
      <c r="I275" s="276"/>
      <c r="J275" s="276"/>
      <c r="K275" s="276"/>
    </row>
    <row r="276">
      <c r="A276" s="275"/>
      <c r="B276" s="275"/>
      <c r="C276" s="275"/>
      <c r="D276" s="275"/>
      <c r="E276" s="276"/>
      <c r="F276" s="276"/>
      <c r="G276" s="277"/>
      <c r="H276" s="276"/>
      <c r="I276" s="276"/>
      <c r="J276" s="276"/>
      <c r="K276" s="276"/>
    </row>
    <row r="277">
      <c r="A277" s="275"/>
      <c r="B277" s="275"/>
      <c r="C277" s="275"/>
      <c r="D277" s="275"/>
      <c r="E277" s="276"/>
      <c r="F277" s="276"/>
      <c r="G277" s="277"/>
      <c r="H277" s="276"/>
      <c r="I277" s="276"/>
      <c r="J277" s="276"/>
      <c r="K277" s="276"/>
    </row>
    <row r="278">
      <c r="A278" s="275"/>
      <c r="B278" s="275"/>
      <c r="C278" s="275"/>
      <c r="D278" s="275"/>
      <c r="E278" s="276"/>
      <c r="F278" s="276"/>
      <c r="G278" s="277"/>
      <c r="H278" s="276"/>
      <c r="I278" s="276"/>
      <c r="J278" s="276"/>
      <c r="K278" s="276"/>
    </row>
    <row r="279">
      <c r="A279" s="275"/>
      <c r="B279" s="275"/>
      <c r="C279" s="275"/>
      <c r="D279" s="275"/>
      <c r="E279" s="276"/>
      <c r="F279" s="276"/>
      <c r="G279" s="277"/>
      <c r="H279" s="276"/>
      <c r="I279" s="276"/>
      <c r="J279" s="276"/>
      <c r="K279" s="276"/>
    </row>
    <row r="280">
      <c r="A280" s="275"/>
      <c r="B280" s="275"/>
      <c r="C280" s="275"/>
      <c r="D280" s="275"/>
      <c r="E280" s="276"/>
      <c r="F280" s="276"/>
      <c r="G280" s="277"/>
      <c r="H280" s="276"/>
      <c r="I280" s="276"/>
      <c r="J280" s="276"/>
      <c r="K280" s="276"/>
    </row>
    <row r="281">
      <c r="A281" s="275"/>
      <c r="B281" s="275"/>
      <c r="C281" s="275"/>
      <c r="D281" s="275"/>
      <c r="E281" s="276"/>
      <c r="F281" s="276"/>
      <c r="G281" s="277"/>
      <c r="H281" s="276"/>
      <c r="I281" s="276"/>
      <c r="J281" s="276"/>
      <c r="K281" s="276"/>
    </row>
    <row r="282">
      <c r="A282" s="275"/>
      <c r="B282" s="275"/>
      <c r="C282" s="275"/>
      <c r="D282" s="275"/>
      <c r="E282" s="276"/>
      <c r="F282" s="276"/>
      <c r="G282" s="277"/>
      <c r="H282" s="276"/>
      <c r="I282" s="276"/>
      <c r="J282" s="276"/>
      <c r="K282" s="276"/>
    </row>
    <row r="283">
      <c r="A283" s="275"/>
      <c r="B283" s="275"/>
      <c r="C283" s="275"/>
      <c r="D283" s="275"/>
      <c r="E283" s="276"/>
      <c r="F283" s="276"/>
      <c r="G283" s="277"/>
      <c r="H283" s="276"/>
      <c r="I283" s="276"/>
      <c r="J283" s="276"/>
      <c r="K283" s="276"/>
    </row>
    <row r="284">
      <c r="A284" s="275"/>
      <c r="B284" s="275"/>
      <c r="C284" s="275"/>
      <c r="D284" s="275"/>
      <c r="E284" s="276"/>
      <c r="F284" s="276"/>
      <c r="G284" s="277"/>
      <c r="H284" s="276"/>
      <c r="I284" s="276"/>
      <c r="J284" s="276"/>
      <c r="K284" s="276"/>
    </row>
    <row r="285">
      <c r="A285" s="275"/>
      <c r="B285" s="275"/>
      <c r="C285" s="275"/>
      <c r="D285" s="275"/>
      <c r="E285" s="276"/>
      <c r="F285" s="276"/>
      <c r="G285" s="277"/>
      <c r="H285" s="276"/>
      <c r="I285" s="276"/>
      <c r="J285" s="276"/>
      <c r="K285" s="276"/>
    </row>
    <row r="286">
      <c r="A286" s="275"/>
      <c r="B286" s="275"/>
      <c r="C286" s="275"/>
      <c r="D286" s="275"/>
      <c r="E286" s="276"/>
      <c r="F286" s="276"/>
      <c r="G286" s="277"/>
      <c r="H286" s="276"/>
      <c r="I286" s="276"/>
      <c r="J286" s="276"/>
      <c r="K286" s="276"/>
    </row>
    <row r="287">
      <c r="A287" s="275"/>
      <c r="B287" s="275"/>
      <c r="C287" s="275"/>
      <c r="D287" s="275"/>
      <c r="E287" s="276"/>
      <c r="F287" s="276"/>
      <c r="G287" s="277"/>
      <c r="H287" s="276"/>
      <c r="I287" s="276"/>
      <c r="J287" s="276"/>
      <c r="K287" s="276"/>
    </row>
    <row r="288">
      <c r="A288" s="275"/>
      <c r="B288" s="275"/>
      <c r="C288" s="275"/>
      <c r="D288" s="275"/>
      <c r="E288" s="276"/>
      <c r="F288" s="276"/>
      <c r="G288" s="277"/>
      <c r="H288" s="276"/>
      <c r="I288" s="276"/>
      <c r="J288" s="276"/>
      <c r="K288" s="276"/>
    </row>
    <row r="289">
      <c r="A289" s="275"/>
      <c r="B289" s="275"/>
      <c r="C289" s="275"/>
      <c r="D289" s="275"/>
      <c r="E289" s="276"/>
      <c r="F289" s="276"/>
      <c r="G289" s="277"/>
      <c r="H289" s="276"/>
      <c r="I289" s="276"/>
      <c r="J289" s="276"/>
      <c r="K289" s="276"/>
    </row>
    <row r="290">
      <c r="A290" s="275"/>
      <c r="B290" s="275"/>
      <c r="C290" s="275"/>
      <c r="D290" s="275"/>
      <c r="E290" s="276"/>
      <c r="F290" s="276"/>
      <c r="G290" s="277"/>
      <c r="H290" s="276"/>
      <c r="I290" s="276"/>
      <c r="J290" s="276"/>
      <c r="K290" s="276"/>
    </row>
    <row r="291">
      <c r="A291" s="275"/>
      <c r="B291" s="275"/>
      <c r="C291" s="275"/>
      <c r="D291" s="275"/>
      <c r="E291" s="276"/>
      <c r="F291" s="276"/>
      <c r="G291" s="277"/>
      <c r="H291" s="276"/>
      <c r="I291" s="276"/>
      <c r="J291" s="276"/>
      <c r="K291" s="276"/>
    </row>
    <row r="292">
      <c r="A292" s="275"/>
      <c r="B292" s="275"/>
      <c r="C292" s="275"/>
      <c r="D292" s="275"/>
      <c r="E292" s="276"/>
      <c r="F292" s="276"/>
      <c r="G292" s="277"/>
      <c r="H292" s="276"/>
      <c r="I292" s="276"/>
      <c r="J292" s="276"/>
      <c r="K292" s="276"/>
    </row>
    <row r="293">
      <c r="A293" s="275"/>
      <c r="B293" s="275"/>
      <c r="C293" s="275"/>
      <c r="D293" s="275"/>
      <c r="E293" s="276"/>
      <c r="F293" s="276"/>
      <c r="G293" s="277"/>
      <c r="H293" s="276"/>
      <c r="I293" s="276"/>
      <c r="J293" s="276"/>
      <c r="K293" s="276"/>
    </row>
    <row r="294">
      <c r="A294" s="275"/>
      <c r="B294" s="275"/>
      <c r="C294" s="275"/>
      <c r="D294" s="275"/>
      <c r="E294" s="276"/>
      <c r="F294" s="276"/>
      <c r="G294" s="277"/>
      <c r="H294" s="276"/>
      <c r="I294" s="276"/>
      <c r="J294" s="276"/>
      <c r="K294" s="276"/>
    </row>
    <row r="295">
      <c r="A295" s="275"/>
      <c r="B295" s="275"/>
      <c r="C295" s="275"/>
      <c r="D295" s="275"/>
      <c r="E295" s="276"/>
      <c r="F295" s="276"/>
      <c r="G295" s="277"/>
      <c r="H295" s="276"/>
      <c r="I295" s="276"/>
      <c r="J295" s="276"/>
      <c r="K295" s="276"/>
    </row>
    <row r="296">
      <c r="A296" s="275"/>
      <c r="B296" s="275"/>
      <c r="C296" s="275"/>
      <c r="D296" s="275"/>
      <c r="E296" s="276"/>
      <c r="F296" s="276"/>
      <c r="G296" s="277"/>
      <c r="H296" s="276"/>
      <c r="I296" s="276"/>
      <c r="J296" s="276"/>
      <c r="K296" s="276"/>
    </row>
    <row r="297">
      <c r="A297" s="275"/>
      <c r="B297" s="275"/>
      <c r="C297" s="275"/>
      <c r="D297" s="275"/>
      <c r="E297" s="276"/>
      <c r="F297" s="276"/>
      <c r="G297" s="277"/>
      <c r="H297" s="276"/>
      <c r="I297" s="276"/>
      <c r="J297" s="276"/>
      <c r="K297" s="276"/>
    </row>
    <row r="298">
      <c r="A298" s="275"/>
      <c r="B298" s="275"/>
      <c r="C298" s="275"/>
      <c r="D298" s="275"/>
      <c r="E298" s="276"/>
      <c r="F298" s="276"/>
      <c r="G298" s="277"/>
      <c r="H298" s="276"/>
      <c r="I298" s="276"/>
      <c r="J298" s="276"/>
      <c r="K298" s="276"/>
    </row>
    <row r="299">
      <c r="A299" s="275"/>
      <c r="B299" s="275"/>
      <c r="C299" s="275"/>
      <c r="D299" s="275"/>
      <c r="E299" s="276"/>
      <c r="F299" s="276"/>
      <c r="G299" s="277"/>
      <c r="H299" s="276"/>
      <c r="I299" s="276"/>
      <c r="J299" s="276"/>
      <c r="K299" s="276"/>
    </row>
    <row r="300">
      <c r="A300" s="275"/>
      <c r="B300" s="275"/>
      <c r="C300" s="275"/>
      <c r="D300" s="275"/>
      <c r="E300" s="276"/>
      <c r="F300" s="276"/>
      <c r="G300" s="277"/>
      <c r="H300" s="276"/>
      <c r="I300" s="276"/>
      <c r="J300" s="276"/>
      <c r="K300" s="276"/>
    </row>
    <row r="301">
      <c r="A301" s="275"/>
      <c r="B301" s="275"/>
      <c r="C301" s="275"/>
      <c r="D301" s="275"/>
      <c r="E301" s="276"/>
      <c r="F301" s="276"/>
      <c r="G301" s="277"/>
      <c r="H301" s="276"/>
      <c r="I301" s="276"/>
      <c r="J301" s="276"/>
      <c r="K301" s="276"/>
    </row>
    <row r="302">
      <c r="A302" s="275"/>
      <c r="B302" s="275"/>
      <c r="C302" s="275"/>
      <c r="D302" s="275"/>
      <c r="E302" s="276"/>
      <c r="F302" s="276"/>
      <c r="G302" s="277"/>
      <c r="H302" s="276"/>
      <c r="I302" s="276"/>
      <c r="J302" s="276"/>
      <c r="K302" s="276"/>
    </row>
    <row r="303">
      <c r="A303" s="275"/>
      <c r="B303" s="275"/>
      <c r="C303" s="275"/>
      <c r="D303" s="275"/>
      <c r="E303" s="276"/>
      <c r="F303" s="276"/>
      <c r="G303" s="277"/>
      <c r="H303" s="276"/>
      <c r="I303" s="276"/>
      <c r="J303" s="276"/>
      <c r="K303" s="276"/>
    </row>
    <row r="304">
      <c r="A304" s="275"/>
      <c r="B304" s="275"/>
      <c r="C304" s="275"/>
      <c r="D304" s="275"/>
      <c r="E304" s="276"/>
      <c r="F304" s="276"/>
      <c r="G304" s="277"/>
      <c r="H304" s="276"/>
      <c r="I304" s="276"/>
      <c r="J304" s="276"/>
      <c r="K304" s="276"/>
    </row>
    <row r="305">
      <c r="A305" s="275"/>
      <c r="B305" s="275"/>
      <c r="C305" s="275"/>
      <c r="D305" s="275"/>
      <c r="E305" s="276"/>
      <c r="F305" s="276"/>
      <c r="G305" s="277"/>
      <c r="H305" s="276"/>
      <c r="I305" s="276"/>
      <c r="J305" s="276"/>
      <c r="K305" s="276"/>
    </row>
    <row r="306">
      <c r="A306" s="275"/>
      <c r="B306" s="275"/>
      <c r="C306" s="275"/>
      <c r="D306" s="275"/>
      <c r="E306" s="276"/>
      <c r="F306" s="276"/>
      <c r="G306" s="277"/>
      <c r="H306" s="276"/>
      <c r="I306" s="276"/>
      <c r="J306" s="276"/>
      <c r="K306" s="276"/>
    </row>
    <row r="307">
      <c r="A307" s="275"/>
      <c r="B307" s="275"/>
      <c r="C307" s="275"/>
      <c r="D307" s="275"/>
      <c r="E307" s="276"/>
      <c r="F307" s="276"/>
      <c r="G307" s="277"/>
      <c r="H307" s="276"/>
      <c r="I307" s="276"/>
      <c r="J307" s="276"/>
      <c r="K307" s="276"/>
    </row>
    <row r="308">
      <c r="A308" s="275"/>
      <c r="B308" s="275"/>
      <c r="C308" s="275"/>
      <c r="D308" s="275"/>
      <c r="E308" s="276"/>
      <c r="F308" s="276"/>
      <c r="G308" s="277"/>
      <c r="H308" s="276"/>
      <c r="I308" s="276"/>
      <c r="J308" s="276"/>
      <c r="K308" s="276"/>
    </row>
    <row r="309">
      <c r="A309" s="275"/>
      <c r="B309" s="275"/>
      <c r="C309" s="275"/>
      <c r="D309" s="275"/>
      <c r="E309" s="276"/>
      <c r="F309" s="276"/>
      <c r="G309" s="277"/>
      <c r="H309" s="276"/>
      <c r="I309" s="276"/>
      <c r="J309" s="276"/>
      <c r="K309" s="276"/>
    </row>
    <row r="310">
      <c r="A310" s="275"/>
      <c r="B310" s="275"/>
      <c r="C310" s="275"/>
      <c r="D310" s="275"/>
      <c r="E310" s="276"/>
      <c r="F310" s="276"/>
      <c r="G310" s="277"/>
      <c r="H310" s="276"/>
      <c r="I310" s="276"/>
      <c r="J310" s="276"/>
      <c r="K310" s="276"/>
    </row>
    <row r="311">
      <c r="A311" s="275"/>
      <c r="B311" s="275"/>
      <c r="C311" s="275"/>
      <c r="D311" s="275"/>
      <c r="E311" s="276"/>
      <c r="F311" s="276"/>
      <c r="G311" s="277"/>
      <c r="H311" s="276"/>
      <c r="I311" s="276"/>
      <c r="J311" s="276"/>
      <c r="K311" s="276"/>
    </row>
    <row r="312">
      <c r="A312" s="275"/>
      <c r="B312" s="275"/>
      <c r="C312" s="275"/>
      <c r="D312" s="275"/>
      <c r="E312" s="276"/>
      <c r="F312" s="276"/>
      <c r="G312" s="277"/>
      <c r="H312" s="276"/>
      <c r="I312" s="276"/>
      <c r="J312" s="276"/>
      <c r="K312" s="276"/>
    </row>
    <row r="313">
      <c r="A313" s="275"/>
      <c r="B313" s="275"/>
      <c r="C313" s="275"/>
      <c r="D313" s="275"/>
      <c r="E313" s="276"/>
      <c r="F313" s="276"/>
      <c r="G313" s="277"/>
      <c r="H313" s="276"/>
      <c r="I313" s="276"/>
      <c r="J313" s="276"/>
      <c r="K313" s="276"/>
    </row>
    <row r="314">
      <c r="A314" s="275"/>
      <c r="B314" s="275"/>
      <c r="C314" s="275"/>
      <c r="D314" s="275"/>
      <c r="E314" s="276"/>
      <c r="F314" s="276"/>
      <c r="G314" s="277"/>
      <c r="H314" s="276"/>
      <c r="I314" s="276"/>
      <c r="J314" s="276"/>
      <c r="K314" s="276"/>
    </row>
    <row r="315">
      <c r="A315" s="275"/>
      <c r="B315" s="275"/>
      <c r="C315" s="275"/>
      <c r="D315" s="275"/>
      <c r="E315" s="276"/>
      <c r="F315" s="276"/>
      <c r="G315" s="277"/>
      <c r="H315" s="276"/>
      <c r="I315" s="276"/>
      <c r="J315" s="276"/>
      <c r="K315" s="276"/>
    </row>
    <row r="316">
      <c r="A316" s="275"/>
      <c r="B316" s="275"/>
      <c r="C316" s="275"/>
      <c r="D316" s="275"/>
      <c r="E316" s="276"/>
      <c r="F316" s="276"/>
      <c r="G316" s="277"/>
      <c r="H316" s="276"/>
      <c r="I316" s="276"/>
      <c r="J316" s="276"/>
      <c r="K316" s="276"/>
    </row>
    <row r="317">
      <c r="A317" s="275"/>
      <c r="B317" s="275"/>
      <c r="C317" s="275"/>
      <c r="D317" s="275"/>
      <c r="E317" s="276"/>
      <c r="F317" s="276"/>
      <c r="G317" s="277"/>
      <c r="H317" s="276"/>
      <c r="I317" s="276"/>
      <c r="J317" s="276"/>
      <c r="K317" s="276"/>
    </row>
    <row r="318">
      <c r="A318" s="275"/>
      <c r="B318" s="275"/>
      <c r="C318" s="275"/>
      <c r="D318" s="275"/>
      <c r="E318" s="276"/>
      <c r="F318" s="276"/>
      <c r="G318" s="277"/>
      <c r="H318" s="276"/>
      <c r="I318" s="276"/>
      <c r="J318" s="276"/>
      <c r="K318" s="276"/>
    </row>
    <row r="319">
      <c r="A319" s="275"/>
      <c r="B319" s="275"/>
      <c r="C319" s="275"/>
      <c r="D319" s="275"/>
      <c r="E319" s="276"/>
      <c r="F319" s="276"/>
      <c r="G319" s="277"/>
      <c r="H319" s="276"/>
      <c r="I319" s="276"/>
      <c r="J319" s="276"/>
      <c r="K319" s="276"/>
    </row>
    <row r="320">
      <c r="A320" s="275"/>
      <c r="B320" s="275"/>
      <c r="C320" s="275"/>
      <c r="D320" s="275"/>
      <c r="E320" s="276"/>
      <c r="F320" s="276"/>
      <c r="G320" s="277"/>
      <c r="H320" s="276"/>
      <c r="I320" s="276"/>
      <c r="J320" s="276"/>
      <c r="K320" s="276"/>
    </row>
    <row r="321">
      <c r="A321" s="275"/>
      <c r="B321" s="275"/>
      <c r="C321" s="275"/>
      <c r="D321" s="275"/>
      <c r="E321" s="276"/>
      <c r="F321" s="276"/>
      <c r="G321" s="277"/>
      <c r="H321" s="276"/>
      <c r="I321" s="276"/>
      <c r="J321" s="276"/>
      <c r="K321" s="276"/>
    </row>
    <row r="322">
      <c r="A322" s="275"/>
      <c r="B322" s="275"/>
      <c r="C322" s="275"/>
      <c r="D322" s="275"/>
      <c r="E322" s="276"/>
      <c r="F322" s="276"/>
      <c r="G322" s="277"/>
      <c r="H322" s="276"/>
      <c r="I322" s="276"/>
      <c r="J322" s="276"/>
      <c r="K322" s="276"/>
    </row>
    <row r="323">
      <c r="A323" s="275"/>
      <c r="B323" s="275"/>
      <c r="C323" s="275"/>
      <c r="D323" s="275"/>
      <c r="E323" s="276"/>
      <c r="F323" s="276"/>
      <c r="G323" s="277"/>
      <c r="H323" s="276"/>
      <c r="I323" s="276"/>
      <c r="J323" s="276"/>
      <c r="K323" s="276"/>
    </row>
    <row r="324">
      <c r="A324" s="275"/>
      <c r="B324" s="275"/>
      <c r="C324" s="275"/>
      <c r="D324" s="275"/>
      <c r="E324" s="276"/>
      <c r="F324" s="276"/>
      <c r="G324" s="277"/>
      <c r="H324" s="276"/>
      <c r="I324" s="276"/>
      <c r="J324" s="276"/>
      <c r="K324" s="276"/>
    </row>
    <row r="325">
      <c r="A325" s="275"/>
      <c r="B325" s="275"/>
      <c r="C325" s="275"/>
      <c r="D325" s="275"/>
      <c r="E325" s="276"/>
      <c r="F325" s="276"/>
      <c r="G325" s="277"/>
      <c r="H325" s="276"/>
      <c r="I325" s="276"/>
      <c r="J325" s="276"/>
      <c r="K325" s="276"/>
    </row>
    <row r="326">
      <c r="A326" s="275"/>
      <c r="B326" s="275"/>
      <c r="C326" s="275"/>
      <c r="D326" s="275"/>
      <c r="E326" s="276"/>
      <c r="F326" s="276"/>
      <c r="G326" s="277"/>
      <c r="H326" s="276"/>
      <c r="I326" s="276"/>
      <c r="J326" s="276"/>
      <c r="K326" s="276"/>
    </row>
    <row r="327">
      <c r="A327" s="275"/>
      <c r="B327" s="275"/>
      <c r="C327" s="275"/>
      <c r="D327" s="275"/>
      <c r="E327" s="276"/>
      <c r="F327" s="276"/>
      <c r="G327" s="277"/>
      <c r="H327" s="276"/>
      <c r="I327" s="276"/>
      <c r="J327" s="276"/>
      <c r="K327" s="276"/>
    </row>
    <row r="328">
      <c r="A328" s="275"/>
      <c r="B328" s="275"/>
      <c r="C328" s="275"/>
      <c r="D328" s="275"/>
      <c r="E328" s="276"/>
      <c r="F328" s="276"/>
      <c r="G328" s="277"/>
      <c r="H328" s="276"/>
      <c r="I328" s="276"/>
      <c r="J328" s="276"/>
      <c r="K328" s="276"/>
    </row>
    <row r="329">
      <c r="A329" s="275"/>
      <c r="B329" s="275"/>
      <c r="C329" s="275"/>
      <c r="D329" s="275"/>
      <c r="E329" s="276"/>
      <c r="F329" s="276"/>
      <c r="G329" s="277"/>
      <c r="H329" s="276"/>
      <c r="I329" s="276"/>
      <c r="J329" s="276"/>
      <c r="K329" s="276"/>
    </row>
    <row r="330">
      <c r="A330" s="275"/>
      <c r="B330" s="275"/>
      <c r="C330" s="275"/>
      <c r="D330" s="275"/>
      <c r="E330" s="276"/>
      <c r="F330" s="276"/>
      <c r="G330" s="277"/>
      <c r="H330" s="276"/>
      <c r="I330" s="276"/>
      <c r="J330" s="276"/>
      <c r="K330" s="276"/>
    </row>
    <row r="331">
      <c r="A331" s="275"/>
      <c r="B331" s="275"/>
      <c r="C331" s="275"/>
      <c r="D331" s="275"/>
      <c r="E331" s="276"/>
      <c r="F331" s="276"/>
      <c r="G331" s="277"/>
      <c r="H331" s="276"/>
      <c r="I331" s="276"/>
      <c r="J331" s="276"/>
      <c r="K331" s="276"/>
    </row>
    <row r="332">
      <c r="A332" s="275"/>
      <c r="B332" s="275"/>
      <c r="C332" s="275"/>
      <c r="D332" s="275"/>
      <c r="E332" s="276"/>
      <c r="F332" s="276"/>
      <c r="G332" s="277"/>
      <c r="H332" s="276"/>
      <c r="I332" s="276"/>
      <c r="J332" s="276"/>
      <c r="K332" s="276"/>
    </row>
    <row r="333">
      <c r="A333" s="275"/>
      <c r="B333" s="275"/>
      <c r="C333" s="275"/>
      <c r="D333" s="275"/>
      <c r="E333" s="276"/>
      <c r="F333" s="276"/>
      <c r="G333" s="277"/>
      <c r="H333" s="276"/>
      <c r="I333" s="276"/>
      <c r="J333" s="276"/>
      <c r="K333" s="276"/>
    </row>
    <row r="334">
      <c r="A334" s="275"/>
      <c r="B334" s="275"/>
      <c r="C334" s="275"/>
      <c r="D334" s="275"/>
      <c r="E334" s="276"/>
      <c r="F334" s="276"/>
      <c r="G334" s="277"/>
      <c r="H334" s="276"/>
      <c r="I334" s="276"/>
      <c r="J334" s="276"/>
      <c r="K334" s="276"/>
    </row>
    <row r="335">
      <c r="A335" s="275"/>
      <c r="B335" s="275"/>
      <c r="C335" s="275"/>
      <c r="D335" s="275"/>
      <c r="E335" s="276"/>
      <c r="F335" s="276"/>
      <c r="G335" s="277"/>
      <c r="H335" s="276"/>
      <c r="I335" s="276"/>
      <c r="J335" s="276"/>
      <c r="K335" s="276"/>
    </row>
    <row r="336">
      <c r="A336" s="275"/>
      <c r="B336" s="275"/>
      <c r="C336" s="275"/>
      <c r="D336" s="275"/>
      <c r="E336" s="276"/>
      <c r="F336" s="276"/>
      <c r="G336" s="277"/>
      <c r="H336" s="276"/>
      <c r="I336" s="276"/>
      <c r="J336" s="276"/>
      <c r="K336" s="276"/>
    </row>
    <row r="337">
      <c r="A337" s="275"/>
      <c r="B337" s="275"/>
      <c r="C337" s="275"/>
      <c r="D337" s="275"/>
      <c r="E337" s="276"/>
      <c r="F337" s="276"/>
      <c r="G337" s="277"/>
      <c r="H337" s="276"/>
      <c r="I337" s="276"/>
      <c r="J337" s="276"/>
      <c r="K337" s="276"/>
    </row>
    <row r="338">
      <c r="A338" s="275"/>
      <c r="B338" s="275"/>
      <c r="C338" s="275"/>
      <c r="D338" s="275"/>
      <c r="E338" s="276"/>
      <c r="F338" s="276"/>
      <c r="G338" s="277"/>
      <c r="H338" s="276"/>
      <c r="I338" s="276"/>
      <c r="J338" s="276"/>
      <c r="K338" s="276"/>
    </row>
    <row r="339">
      <c r="A339" s="275"/>
      <c r="B339" s="275"/>
      <c r="C339" s="275"/>
      <c r="D339" s="275"/>
      <c r="E339" s="276"/>
      <c r="F339" s="276"/>
      <c r="G339" s="277"/>
      <c r="H339" s="276"/>
      <c r="I339" s="276"/>
      <c r="J339" s="276"/>
      <c r="K339" s="276"/>
    </row>
    <row r="340">
      <c r="A340" s="275"/>
      <c r="B340" s="275"/>
      <c r="C340" s="275"/>
      <c r="D340" s="275"/>
      <c r="E340" s="276"/>
      <c r="F340" s="276"/>
      <c r="G340" s="277"/>
      <c r="H340" s="276"/>
      <c r="I340" s="276"/>
      <c r="J340" s="276"/>
      <c r="K340" s="276"/>
    </row>
    <row r="341">
      <c r="A341" s="275"/>
      <c r="B341" s="275"/>
      <c r="C341" s="275"/>
      <c r="D341" s="275"/>
      <c r="E341" s="276"/>
      <c r="F341" s="276"/>
      <c r="G341" s="277"/>
      <c r="H341" s="276"/>
      <c r="I341" s="276"/>
      <c r="J341" s="276"/>
      <c r="K341" s="276"/>
    </row>
    <row r="342">
      <c r="A342" s="275"/>
      <c r="B342" s="275"/>
      <c r="C342" s="275"/>
      <c r="D342" s="275"/>
      <c r="E342" s="276"/>
      <c r="F342" s="276"/>
      <c r="G342" s="277"/>
      <c r="H342" s="276"/>
      <c r="I342" s="276"/>
      <c r="J342" s="276"/>
      <c r="K342" s="276"/>
    </row>
    <row r="343">
      <c r="A343" s="275"/>
      <c r="B343" s="275"/>
      <c r="C343" s="275"/>
      <c r="D343" s="275"/>
      <c r="E343" s="276"/>
      <c r="F343" s="276"/>
      <c r="G343" s="277"/>
      <c r="H343" s="276"/>
      <c r="I343" s="276"/>
      <c r="J343" s="276"/>
      <c r="K343" s="276"/>
    </row>
    <row r="344">
      <c r="A344" s="275"/>
      <c r="B344" s="275"/>
      <c r="C344" s="275"/>
      <c r="D344" s="275"/>
      <c r="E344" s="276"/>
      <c r="F344" s="276"/>
      <c r="G344" s="277"/>
      <c r="H344" s="276"/>
      <c r="I344" s="276"/>
      <c r="J344" s="276"/>
      <c r="K344" s="276"/>
    </row>
    <row r="345">
      <c r="A345" s="275"/>
      <c r="B345" s="275"/>
      <c r="C345" s="275"/>
      <c r="D345" s="275"/>
      <c r="E345" s="276"/>
      <c r="F345" s="276"/>
      <c r="G345" s="277"/>
      <c r="H345" s="276"/>
      <c r="I345" s="276"/>
      <c r="J345" s="276"/>
      <c r="K345" s="276"/>
    </row>
    <row r="346">
      <c r="A346" s="275"/>
      <c r="B346" s="275"/>
      <c r="C346" s="275"/>
      <c r="D346" s="275"/>
      <c r="E346" s="276"/>
      <c r="F346" s="276"/>
      <c r="G346" s="277"/>
      <c r="H346" s="276"/>
      <c r="I346" s="276"/>
      <c r="J346" s="276"/>
      <c r="K346" s="276"/>
    </row>
    <row r="347">
      <c r="A347" s="275"/>
      <c r="B347" s="275"/>
      <c r="C347" s="275"/>
      <c r="D347" s="275"/>
      <c r="E347" s="276"/>
      <c r="F347" s="276"/>
      <c r="G347" s="277"/>
      <c r="H347" s="276"/>
      <c r="I347" s="276"/>
      <c r="J347" s="276"/>
      <c r="K347" s="276"/>
    </row>
    <row r="348">
      <c r="A348" s="275"/>
      <c r="B348" s="275"/>
      <c r="C348" s="275"/>
      <c r="D348" s="275"/>
      <c r="E348" s="276"/>
      <c r="F348" s="276"/>
      <c r="G348" s="277"/>
      <c r="H348" s="276"/>
      <c r="I348" s="276"/>
      <c r="J348" s="276"/>
      <c r="K348" s="276"/>
    </row>
    <row r="349">
      <c r="A349" s="275"/>
      <c r="B349" s="275"/>
      <c r="C349" s="275"/>
      <c r="D349" s="275"/>
      <c r="E349" s="276"/>
      <c r="F349" s="276"/>
      <c r="G349" s="277"/>
      <c r="H349" s="276"/>
      <c r="I349" s="276"/>
      <c r="J349" s="276"/>
      <c r="K349" s="276"/>
    </row>
    <row r="350">
      <c r="A350" s="275"/>
      <c r="B350" s="275"/>
      <c r="C350" s="275"/>
      <c r="D350" s="275"/>
      <c r="E350" s="276"/>
      <c r="F350" s="276"/>
      <c r="G350" s="277"/>
      <c r="H350" s="276"/>
      <c r="I350" s="276"/>
      <c r="J350" s="276"/>
      <c r="K350" s="276"/>
    </row>
    <row r="351">
      <c r="A351" s="275"/>
      <c r="B351" s="275"/>
      <c r="C351" s="275"/>
      <c r="D351" s="275"/>
      <c r="E351" s="276"/>
      <c r="F351" s="276"/>
      <c r="G351" s="277"/>
      <c r="H351" s="276"/>
      <c r="I351" s="276"/>
      <c r="J351" s="276"/>
      <c r="K351" s="276"/>
    </row>
    <row r="352">
      <c r="A352" s="275"/>
      <c r="B352" s="275"/>
      <c r="C352" s="275"/>
      <c r="D352" s="275"/>
      <c r="E352" s="276"/>
      <c r="F352" s="276"/>
      <c r="G352" s="277"/>
      <c r="H352" s="276"/>
      <c r="I352" s="276"/>
      <c r="J352" s="276"/>
      <c r="K352" s="276"/>
    </row>
    <row r="353">
      <c r="A353" s="275"/>
      <c r="B353" s="275"/>
      <c r="C353" s="275"/>
      <c r="D353" s="275"/>
      <c r="E353" s="276"/>
      <c r="F353" s="276"/>
      <c r="G353" s="277"/>
      <c r="H353" s="276"/>
      <c r="I353" s="276"/>
      <c r="J353" s="276"/>
      <c r="K353" s="276"/>
    </row>
    <row r="354">
      <c r="A354" s="275"/>
      <c r="B354" s="275"/>
      <c r="C354" s="275"/>
      <c r="D354" s="275"/>
      <c r="E354" s="276"/>
      <c r="F354" s="276"/>
      <c r="G354" s="277"/>
      <c r="H354" s="276"/>
      <c r="I354" s="276"/>
      <c r="J354" s="276"/>
      <c r="K354" s="276"/>
    </row>
    <row r="355">
      <c r="A355" s="275"/>
      <c r="B355" s="275"/>
      <c r="C355" s="275"/>
      <c r="D355" s="275"/>
      <c r="E355" s="276"/>
      <c r="F355" s="276"/>
      <c r="G355" s="277"/>
      <c r="H355" s="276"/>
      <c r="I355" s="276"/>
      <c r="J355" s="276"/>
      <c r="K355" s="276"/>
    </row>
    <row r="356">
      <c r="A356" s="275"/>
      <c r="B356" s="275"/>
      <c r="C356" s="275"/>
      <c r="D356" s="275"/>
      <c r="E356" s="276"/>
      <c r="F356" s="276"/>
      <c r="G356" s="277"/>
      <c r="H356" s="276"/>
      <c r="I356" s="276"/>
      <c r="J356" s="276"/>
      <c r="K356" s="276"/>
    </row>
    <row r="357">
      <c r="A357" s="275"/>
      <c r="B357" s="275"/>
      <c r="C357" s="275"/>
      <c r="D357" s="275"/>
      <c r="E357" s="276"/>
      <c r="F357" s="276"/>
      <c r="G357" s="277"/>
      <c r="H357" s="276"/>
      <c r="I357" s="276"/>
      <c r="J357" s="276"/>
      <c r="K357" s="276"/>
    </row>
    <row r="358">
      <c r="A358" s="275"/>
      <c r="B358" s="275"/>
      <c r="C358" s="275"/>
      <c r="D358" s="275"/>
      <c r="E358" s="276"/>
      <c r="F358" s="276"/>
      <c r="G358" s="277"/>
      <c r="H358" s="276"/>
      <c r="I358" s="276"/>
      <c r="J358" s="276"/>
      <c r="K358" s="276"/>
    </row>
    <row r="359">
      <c r="A359" s="275"/>
      <c r="B359" s="275"/>
      <c r="C359" s="275"/>
      <c r="D359" s="275"/>
      <c r="E359" s="276"/>
      <c r="F359" s="276"/>
      <c r="G359" s="277"/>
      <c r="H359" s="276"/>
      <c r="I359" s="276"/>
      <c r="J359" s="276"/>
      <c r="K359" s="276"/>
    </row>
    <row r="360">
      <c r="A360" s="275"/>
      <c r="B360" s="275"/>
      <c r="C360" s="275"/>
      <c r="D360" s="275"/>
      <c r="E360" s="276"/>
      <c r="F360" s="276"/>
      <c r="G360" s="277"/>
      <c r="H360" s="276"/>
      <c r="I360" s="276"/>
      <c r="J360" s="276"/>
      <c r="K360" s="276"/>
    </row>
    <row r="361">
      <c r="A361" s="275"/>
      <c r="B361" s="275"/>
      <c r="C361" s="275"/>
      <c r="D361" s="275"/>
      <c r="E361" s="276"/>
      <c r="F361" s="276"/>
      <c r="G361" s="277"/>
      <c r="H361" s="276"/>
      <c r="I361" s="276"/>
      <c r="J361" s="276"/>
      <c r="K361" s="276"/>
    </row>
    <row r="362">
      <c r="A362" s="275"/>
      <c r="B362" s="275"/>
      <c r="C362" s="275"/>
      <c r="D362" s="275"/>
      <c r="E362" s="276"/>
      <c r="F362" s="276"/>
      <c r="G362" s="277"/>
      <c r="H362" s="276"/>
      <c r="I362" s="276"/>
      <c r="J362" s="276"/>
      <c r="K362" s="276"/>
    </row>
    <row r="363">
      <c r="A363" s="275"/>
      <c r="B363" s="275"/>
      <c r="C363" s="275"/>
      <c r="D363" s="275"/>
      <c r="E363" s="276"/>
      <c r="F363" s="276"/>
      <c r="G363" s="277"/>
      <c r="H363" s="276"/>
      <c r="I363" s="276"/>
      <c r="J363" s="276"/>
      <c r="K363" s="276"/>
    </row>
    <row r="364">
      <c r="A364" s="275"/>
      <c r="B364" s="275"/>
      <c r="C364" s="275"/>
      <c r="D364" s="275"/>
      <c r="E364" s="276"/>
      <c r="F364" s="276"/>
      <c r="G364" s="277"/>
      <c r="H364" s="276"/>
      <c r="I364" s="276"/>
      <c r="J364" s="276"/>
      <c r="K364" s="276"/>
    </row>
    <row r="365">
      <c r="A365" s="275"/>
      <c r="B365" s="275"/>
      <c r="C365" s="275"/>
      <c r="D365" s="275"/>
      <c r="E365" s="276"/>
      <c r="F365" s="276"/>
      <c r="G365" s="277"/>
      <c r="H365" s="276"/>
      <c r="I365" s="276"/>
      <c r="J365" s="276"/>
      <c r="K365" s="276"/>
    </row>
    <row r="366">
      <c r="A366" s="275"/>
      <c r="B366" s="275"/>
      <c r="C366" s="275"/>
      <c r="D366" s="275"/>
      <c r="E366" s="276"/>
      <c r="F366" s="276"/>
      <c r="G366" s="277"/>
      <c r="H366" s="276"/>
      <c r="I366" s="276"/>
      <c r="J366" s="276"/>
      <c r="K366" s="276"/>
    </row>
    <row r="367">
      <c r="A367" s="275"/>
      <c r="B367" s="275"/>
      <c r="C367" s="275"/>
      <c r="D367" s="275"/>
      <c r="E367" s="276"/>
      <c r="F367" s="276"/>
      <c r="G367" s="277"/>
      <c r="H367" s="276"/>
      <c r="I367" s="276"/>
      <c r="J367" s="276"/>
      <c r="K367" s="276"/>
    </row>
    <row r="368">
      <c r="A368" s="275"/>
      <c r="B368" s="275"/>
      <c r="C368" s="275"/>
      <c r="D368" s="275"/>
      <c r="E368" s="276"/>
      <c r="F368" s="276"/>
      <c r="G368" s="277"/>
      <c r="H368" s="276"/>
      <c r="I368" s="276"/>
      <c r="J368" s="276"/>
      <c r="K368" s="276"/>
    </row>
    <row r="369">
      <c r="A369" s="275"/>
      <c r="B369" s="275"/>
      <c r="C369" s="275"/>
      <c r="D369" s="275"/>
      <c r="E369" s="276"/>
      <c r="F369" s="276"/>
      <c r="G369" s="277"/>
      <c r="H369" s="276"/>
      <c r="I369" s="276"/>
      <c r="J369" s="276"/>
      <c r="K369" s="276"/>
    </row>
    <row r="370">
      <c r="A370" s="275"/>
      <c r="B370" s="275"/>
      <c r="C370" s="275"/>
      <c r="D370" s="275"/>
      <c r="E370" s="276"/>
      <c r="F370" s="276"/>
      <c r="G370" s="277"/>
      <c r="H370" s="276"/>
      <c r="I370" s="276"/>
      <c r="J370" s="276"/>
      <c r="K370" s="276"/>
    </row>
    <row r="371">
      <c r="A371" s="275"/>
      <c r="B371" s="275"/>
      <c r="C371" s="275"/>
      <c r="D371" s="275"/>
      <c r="E371" s="276"/>
      <c r="F371" s="276"/>
      <c r="G371" s="277"/>
      <c r="H371" s="276"/>
      <c r="I371" s="276"/>
      <c r="J371" s="276"/>
      <c r="K371" s="276"/>
    </row>
    <row r="372">
      <c r="A372" s="275"/>
      <c r="B372" s="275"/>
      <c r="C372" s="275"/>
      <c r="D372" s="275"/>
      <c r="E372" s="276"/>
      <c r="F372" s="276"/>
      <c r="G372" s="277"/>
      <c r="H372" s="276"/>
      <c r="I372" s="276"/>
      <c r="J372" s="276"/>
      <c r="K372" s="276"/>
    </row>
    <row r="373">
      <c r="A373" s="275"/>
      <c r="B373" s="275"/>
      <c r="C373" s="275"/>
      <c r="D373" s="275"/>
      <c r="E373" s="276"/>
      <c r="F373" s="276"/>
      <c r="G373" s="277"/>
      <c r="H373" s="276"/>
      <c r="I373" s="276"/>
      <c r="J373" s="276"/>
      <c r="K373" s="276"/>
    </row>
    <row r="374">
      <c r="A374" s="275"/>
      <c r="B374" s="275"/>
      <c r="C374" s="275"/>
      <c r="D374" s="275"/>
      <c r="E374" s="276"/>
      <c r="F374" s="276"/>
      <c r="G374" s="277"/>
      <c r="H374" s="276"/>
      <c r="I374" s="276"/>
      <c r="J374" s="276"/>
      <c r="K374" s="276"/>
    </row>
    <row r="375">
      <c r="A375" s="275"/>
      <c r="B375" s="275"/>
      <c r="C375" s="275"/>
      <c r="D375" s="275"/>
      <c r="E375" s="276"/>
      <c r="F375" s="276"/>
      <c r="G375" s="277"/>
      <c r="H375" s="276"/>
      <c r="I375" s="276"/>
      <c r="J375" s="276"/>
      <c r="K375" s="276"/>
    </row>
    <row r="376">
      <c r="A376" s="275"/>
      <c r="B376" s="275"/>
      <c r="C376" s="275"/>
      <c r="D376" s="275"/>
      <c r="E376" s="276"/>
      <c r="F376" s="276"/>
      <c r="G376" s="277"/>
      <c r="H376" s="276"/>
      <c r="I376" s="276"/>
      <c r="J376" s="276"/>
      <c r="K376" s="276"/>
    </row>
    <row r="377">
      <c r="A377" s="275"/>
      <c r="B377" s="275"/>
      <c r="C377" s="275"/>
      <c r="D377" s="275"/>
      <c r="E377" s="276"/>
      <c r="F377" s="276"/>
      <c r="G377" s="277"/>
      <c r="H377" s="276"/>
      <c r="I377" s="276"/>
      <c r="J377" s="276"/>
      <c r="K377" s="276"/>
    </row>
    <row r="378">
      <c r="A378" s="275"/>
      <c r="B378" s="275"/>
      <c r="C378" s="275"/>
      <c r="D378" s="275"/>
      <c r="E378" s="276"/>
      <c r="F378" s="276"/>
      <c r="G378" s="277"/>
      <c r="H378" s="276"/>
      <c r="I378" s="276"/>
      <c r="J378" s="276"/>
      <c r="K378" s="276"/>
    </row>
    <row r="379">
      <c r="A379" s="275"/>
      <c r="B379" s="275"/>
      <c r="C379" s="275"/>
      <c r="D379" s="275"/>
      <c r="E379" s="276"/>
      <c r="F379" s="276"/>
      <c r="G379" s="277"/>
      <c r="H379" s="276"/>
      <c r="I379" s="276"/>
      <c r="J379" s="276"/>
      <c r="K379" s="276"/>
    </row>
    <row r="380">
      <c r="A380" s="275"/>
      <c r="B380" s="275"/>
      <c r="C380" s="275"/>
      <c r="D380" s="275"/>
      <c r="E380" s="276"/>
      <c r="F380" s="276"/>
      <c r="G380" s="277"/>
      <c r="H380" s="276"/>
      <c r="I380" s="276"/>
      <c r="J380" s="276"/>
      <c r="K380" s="276"/>
    </row>
    <row r="381">
      <c r="A381" s="275"/>
      <c r="B381" s="275"/>
      <c r="C381" s="275"/>
      <c r="D381" s="275"/>
      <c r="E381" s="276"/>
      <c r="F381" s="276"/>
      <c r="G381" s="277"/>
      <c r="H381" s="276"/>
      <c r="I381" s="276"/>
      <c r="J381" s="276"/>
      <c r="K381" s="276"/>
    </row>
    <row r="382">
      <c r="A382" s="275"/>
      <c r="B382" s="275"/>
      <c r="C382" s="275"/>
      <c r="D382" s="275"/>
      <c r="E382" s="276"/>
      <c r="F382" s="276"/>
      <c r="G382" s="277"/>
      <c r="H382" s="276"/>
      <c r="I382" s="276"/>
      <c r="J382" s="276"/>
      <c r="K382" s="276"/>
    </row>
    <row r="383">
      <c r="A383" s="275"/>
      <c r="B383" s="275"/>
      <c r="C383" s="275"/>
      <c r="D383" s="275"/>
      <c r="E383" s="276"/>
      <c r="F383" s="276"/>
      <c r="G383" s="277"/>
      <c r="H383" s="276"/>
      <c r="I383" s="276"/>
      <c r="J383" s="276"/>
      <c r="K383" s="276"/>
    </row>
    <row r="384">
      <c r="A384" s="275"/>
      <c r="B384" s="275"/>
      <c r="C384" s="275"/>
      <c r="D384" s="275"/>
      <c r="E384" s="276"/>
      <c r="F384" s="276"/>
      <c r="G384" s="277"/>
      <c r="H384" s="276"/>
      <c r="I384" s="276"/>
      <c r="J384" s="276"/>
      <c r="K384" s="276"/>
    </row>
    <row r="385">
      <c r="A385" s="275"/>
      <c r="B385" s="275"/>
      <c r="C385" s="275"/>
      <c r="D385" s="275"/>
      <c r="E385" s="276"/>
      <c r="F385" s="276"/>
      <c r="G385" s="277"/>
      <c r="H385" s="276"/>
      <c r="I385" s="276"/>
      <c r="J385" s="276"/>
      <c r="K385" s="276"/>
    </row>
    <row r="386">
      <c r="A386" s="275"/>
      <c r="B386" s="275"/>
      <c r="C386" s="275"/>
      <c r="D386" s="275"/>
      <c r="E386" s="276"/>
      <c r="F386" s="276"/>
      <c r="G386" s="277"/>
      <c r="H386" s="276"/>
      <c r="I386" s="276"/>
      <c r="J386" s="276"/>
      <c r="K386" s="276"/>
    </row>
    <row r="387">
      <c r="A387" s="275"/>
      <c r="B387" s="275"/>
      <c r="C387" s="275"/>
      <c r="D387" s="275"/>
      <c r="E387" s="276"/>
      <c r="F387" s="276"/>
      <c r="G387" s="277"/>
      <c r="H387" s="276"/>
      <c r="I387" s="276"/>
      <c r="J387" s="276"/>
      <c r="K387" s="276"/>
    </row>
    <row r="388">
      <c r="A388" s="275"/>
      <c r="B388" s="275"/>
      <c r="C388" s="275"/>
      <c r="D388" s="275"/>
      <c r="E388" s="276"/>
      <c r="F388" s="276"/>
      <c r="G388" s="277"/>
      <c r="H388" s="276"/>
      <c r="I388" s="276"/>
      <c r="J388" s="276"/>
      <c r="K388" s="276"/>
    </row>
    <row r="389">
      <c r="A389" s="275"/>
      <c r="B389" s="275"/>
      <c r="C389" s="275"/>
      <c r="D389" s="275"/>
      <c r="E389" s="276"/>
      <c r="F389" s="276"/>
      <c r="G389" s="277"/>
      <c r="H389" s="276"/>
      <c r="I389" s="276"/>
      <c r="J389" s="276"/>
      <c r="K389" s="276"/>
    </row>
    <row r="390">
      <c r="A390" s="275"/>
      <c r="B390" s="275"/>
      <c r="C390" s="275"/>
      <c r="D390" s="275"/>
      <c r="E390" s="276"/>
      <c r="F390" s="276"/>
      <c r="G390" s="277"/>
      <c r="H390" s="276"/>
      <c r="I390" s="276"/>
      <c r="J390" s="276"/>
      <c r="K390" s="276"/>
    </row>
    <row r="391">
      <c r="A391" s="275"/>
      <c r="B391" s="275"/>
      <c r="C391" s="275"/>
      <c r="D391" s="275"/>
      <c r="E391" s="276"/>
      <c r="F391" s="276"/>
      <c r="G391" s="277"/>
      <c r="H391" s="276"/>
      <c r="I391" s="276"/>
      <c r="J391" s="276"/>
      <c r="K391" s="276"/>
    </row>
    <row r="392">
      <c r="A392" s="275"/>
      <c r="B392" s="275"/>
      <c r="C392" s="275"/>
      <c r="D392" s="275"/>
      <c r="E392" s="276"/>
      <c r="F392" s="276"/>
      <c r="G392" s="277"/>
      <c r="H392" s="276"/>
      <c r="I392" s="276"/>
      <c r="J392" s="276"/>
      <c r="K392" s="276"/>
    </row>
    <row r="393">
      <c r="A393" s="275"/>
      <c r="B393" s="275"/>
      <c r="C393" s="275"/>
      <c r="D393" s="275"/>
      <c r="E393" s="276"/>
      <c r="F393" s="276"/>
      <c r="G393" s="277"/>
      <c r="H393" s="276"/>
      <c r="I393" s="276"/>
      <c r="J393" s="276"/>
      <c r="K393" s="276"/>
    </row>
    <row r="394">
      <c r="A394" s="275"/>
      <c r="B394" s="275"/>
      <c r="C394" s="275"/>
      <c r="D394" s="275"/>
      <c r="E394" s="276"/>
      <c r="F394" s="276"/>
      <c r="G394" s="277"/>
      <c r="H394" s="276"/>
      <c r="I394" s="276"/>
      <c r="J394" s="276"/>
      <c r="K394" s="276"/>
    </row>
    <row r="395">
      <c r="A395" s="275"/>
      <c r="B395" s="275"/>
      <c r="C395" s="275"/>
      <c r="D395" s="275"/>
      <c r="E395" s="276"/>
      <c r="F395" s="276"/>
      <c r="G395" s="277"/>
      <c r="H395" s="276"/>
      <c r="I395" s="276"/>
      <c r="J395" s="276"/>
      <c r="K395" s="276"/>
    </row>
    <row r="396">
      <c r="A396" s="275"/>
      <c r="B396" s="275"/>
      <c r="C396" s="275"/>
      <c r="D396" s="275"/>
      <c r="E396" s="276"/>
      <c r="F396" s="276"/>
      <c r="G396" s="277"/>
      <c r="H396" s="276"/>
      <c r="I396" s="276"/>
      <c r="J396" s="276"/>
      <c r="K396" s="276"/>
    </row>
    <row r="397">
      <c r="A397" s="275"/>
      <c r="B397" s="275"/>
      <c r="C397" s="275"/>
      <c r="D397" s="275"/>
      <c r="E397" s="276"/>
      <c r="F397" s="276"/>
      <c r="G397" s="277"/>
      <c r="H397" s="276"/>
      <c r="I397" s="276"/>
      <c r="J397" s="276"/>
      <c r="K397" s="276"/>
    </row>
    <row r="398">
      <c r="A398" s="275"/>
      <c r="B398" s="275"/>
      <c r="C398" s="275"/>
      <c r="D398" s="275"/>
      <c r="E398" s="276"/>
      <c r="F398" s="276"/>
      <c r="G398" s="277"/>
      <c r="H398" s="276"/>
      <c r="I398" s="276"/>
      <c r="J398" s="276"/>
      <c r="K398" s="276"/>
    </row>
    <row r="399">
      <c r="A399" s="275"/>
      <c r="B399" s="275"/>
      <c r="C399" s="275"/>
      <c r="D399" s="275"/>
      <c r="E399" s="276"/>
      <c r="F399" s="276"/>
      <c r="G399" s="277"/>
      <c r="H399" s="276"/>
      <c r="I399" s="276"/>
      <c r="J399" s="276"/>
      <c r="K399" s="276"/>
    </row>
    <row r="400">
      <c r="A400" s="275"/>
      <c r="B400" s="275"/>
      <c r="C400" s="275"/>
      <c r="D400" s="275"/>
      <c r="E400" s="276"/>
      <c r="F400" s="276"/>
      <c r="G400" s="277"/>
      <c r="H400" s="276"/>
      <c r="I400" s="276"/>
      <c r="J400" s="276"/>
      <c r="K400" s="276"/>
    </row>
    <row r="401">
      <c r="A401" s="275"/>
      <c r="B401" s="275"/>
      <c r="C401" s="275"/>
      <c r="D401" s="275"/>
      <c r="E401" s="276"/>
      <c r="F401" s="276"/>
      <c r="G401" s="277"/>
      <c r="H401" s="276"/>
      <c r="I401" s="276"/>
      <c r="J401" s="276"/>
      <c r="K401" s="276"/>
    </row>
    <row r="402">
      <c r="A402" s="275"/>
      <c r="B402" s="275"/>
      <c r="C402" s="275"/>
      <c r="D402" s="275"/>
      <c r="E402" s="276"/>
      <c r="F402" s="276"/>
      <c r="G402" s="277"/>
      <c r="H402" s="276"/>
      <c r="I402" s="276"/>
      <c r="J402" s="276"/>
      <c r="K402" s="276"/>
    </row>
    <row r="403">
      <c r="A403" s="275"/>
      <c r="B403" s="275"/>
      <c r="C403" s="275"/>
      <c r="D403" s="275"/>
      <c r="E403" s="276"/>
      <c r="F403" s="276"/>
      <c r="G403" s="277"/>
      <c r="H403" s="276"/>
      <c r="I403" s="276"/>
      <c r="J403" s="276"/>
      <c r="K403" s="276"/>
    </row>
    <row r="404">
      <c r="A404" s="275"/>
      <c r="B404" s="275"/>
      <c r="C404" s="275"/>
      <c r="D404" s="275"/>
      <c r="E404" s="276"/>
      <c r="F404" s="276"/>
      <c r="G404" s="277"/>
      <c r="H404" s="276"/>
      <c r="I404" s="276"/>
      <c r="J404" s="276"/>
      <c r="K404" s="276"/>
    </row>
    <row r="405">
      <c r="A405" s="275"/>
      <c r="B405" s="275"/>
      <c r="C405" s="275"/>
      <c r="D405" s="275"/>
      <c r="E405" s="276"/>
      <c r="F405" s="276"/>
      <c r="G405" s="277"/>
      <c r="H405" s="276"/>
      <c r="I405" s="276"/>
      <c r="J405" s="276"/>
      <c r="K405" s="276"/>
    </row>
    <row r="406">
      <c r="A406" s="275"/>
      <c r="B406" s="275"/>
      <c r="C406" s="275"/>
      <c r="D406" s="275"/>
      <c r="E406" s="276"/>
      <c r="F406" s="276"/>
      <c r="G406" s="277"/>
      <c r="H406" s="276"/>
      <c r="I406" s="276"/>
      <c r="J406" s="276"/>
      <c r="K406" s="276"/>
    </row>
    <row r="407">
      <c r="A407" s="275"/>
      <c r="B407" s="275"/>
      <c r="C407" s="275"/>
      <c r="D407" s="275"/>
      <c r="E407" s="276"/>
      <c r="F407" s="276"/>
      <c r="G407" s="277"/>
      <c r="H407" s="276"/>
      <c r="I407" s="276"/>
      <c r="J407" s="276"/>
      <c r="K407" s="276"/>
    </row>
    <row r="408">
      <c r="A408" s="275"/>
      <c r="B408" s="275"/>
      <c r="C408" s="275"/>
      <c r="D408" s="275"/>
      <c r="E408" s="276"/>
      <c r="F408" s="276"/>
      <c r="G408" s="277"/>
      <c r="H408" s="276"/>
      <c r="I408" s="276"/>
      <c r="J408" s="276"/>
      <c r="K408" s="276"/>
    </row>
    <row r="409">
      <c r="A409" s="275"/>
      <c r="B409" s="275"/>
      <c r="C409" s="275"/>
      <c r="D409" s="275"/>
      <c r="E409" s="276"/>
      <c r="F409" s="276"/>
      <c r="G409" s="277"/>
      <c r="H409" s="276"/>
      <c r="I409" s="276"/>
      <c r="J409" s="276"/>
      <c r="K409" s="276"/>
    </row>
    <row r="410">
      <c r="A410" s="275"/>
      <c r="B410" s="275"/>
      <c r="C410" s="275"/>
      <c r="D410" s="275"/>
      <c r="E410" s="276"/>
      <c r="F410" s="276"/>
      <c r="G410" s="277"/>
      <c r="H410" s="276"/>
      <c r="I410" s="276"/>
      <c r="J410" s="276"/>
      <c r="K410" s="276"/>
    </row>
    <row r="411">
      <c r="A411" s="275"/>
      <c r="B411" s="275"/>
      <c r="C411" s="275"/>
      <c r="D411" s="275"/>
      <c r="E411" s="276"/>
      <c r="F411" s="276"/>
      <c r="G411" s="277"/>
      <c r="H411" s="276"/>
      <c r="I411" s="276"/>
      <c r="J411" s="276"/>
      <c r="K411" s="276"/>
    </row>
    <row r="412">
      <c r="A412" s="275"/>
      <c r="B412" s="275"/>
      <c r="C412" s="275"/>
      <c r="D412" s="275"/>
      <c r="E412" s="276"/>
      <c r="F412" s="276"/>
      <c r="G412" s="277"/>
      <c r="H412" s="276"/>
      <c r="I412" s="276"/>
      <c r="J412" s="276"/>
      <c r="K412" s="276"/>
    </row>
    <row r="413">
      <c r="A413" s="275"/>
      <c r="B413" s="275"/>
      <c r="C413" s="275"/>
      <c r="D413" s="275"/>
      <c r="E413" s="276"/>
      <c r="F413" s="276"/>
      <c r="G413" s="277"/>
      <c r="H413" s="276"/>
      <c r="I413" s="276"/>
      <c r="J413" s="276"/>
      <c r="K413" s="276"/>
    </row>
    <row r="414">
      <c r="A414" s="275"/>
      <c r="B414" s="275"/>
      <c r="C414" s="275"/>
      <c r="D414" s="275"/>
      <c r="E414" s="276"/>
      <c r="F414" s="276"/>
      <c r="G414" s="277"/>
      <c r="H414" s="276"/>
      <c r="I414" s="276"/>
      <c r="J414" s="276"/>
      <c r="K414" s="276"/>
    </row>
    <row r="415">
      <c r="A415" s="275"/>
      <c r="B415" s="275"/>
      <c r="C415" s="275"/>
      <c r="D415" s="275"/>
      <c r="E415" s="276"/>
      <c r="F415" s="276"/>
      <c r="G415" s="277"/>
      <c r="H415" s="276"/>
      <c r="I415" s="276"/>
      <c r="J415" s="276"/>
      <c r="K415" s="276"/>
    </row>
    <row r="416">
      <c r="A416" s="275"/>
      <c r="B416" s="275"/>
      <c r="C416" s="275"/>
      <c r="D416" s="275"/>
      <c r="E416" s="276"/>
      <c r="F416" s="276"/>
      <c r="G416" s="277"/>
      <c r="H416" s="276"/>
      <c r="I416" s="276"/>
      <c r="J416" s="276"/>
      <c r="K416" s="276"/>
    </row>
    <row r="417">
      <c r="A417" s="275"/>
      <c r="B417" s="275"/>
      <c r="C417" s="275"/>
      <c r="D417" s="275"/>
      <c r="E417" s="276"/>
      <c r="F417" s="276"/>
      <c r="G417" s="277"/>
      <c r="H417" s="276"/>
      <c r="I417" s="276"/>
      <c r="J417" s="276"/>
      <c r="K417" s="276"/>
    </row>
    <row r="418">
      <c r="A418" s="275"/>
      <c r="B418" s="275"/>
      <c r="C418" s="275"/>
      <c r="D418" s="275"/>
      <c r="E418" s="276"/>
      <c r="F418" s="276"/>
      <c r="G418" s="277"/>
      <c r="H418" s="276"/>
      <c r="I418" s="276"/>
      <c r="J418" s="276"/>
      <c r="K418" s="276"/>
    </row>
    <row r="419">
      <c r="A419" s="275"/>
      <c r="B419" s="275"/>
      <c r="C419" s="275"/>
      <c r="D419" s="275"/>
      <c r="E419" s="276"/>
      <c r="F419" s="276"/>
      <c r="G419" s="277"/>
      <c r="H419" s="276"/>
      <c r="I419" s="276"/>
      <c r="J419" s="276"/>
      <c r="K419" s="276"/>
    </row>
    <row r="420">
      <c r="A420" s="275"/>
      <c r="B420" s="275"/>
      <c r="C420" s="275"/>
      <c r="D420" s="275"/>
      <c r="E420" s="276"/>
      <c r="F420" s="276"/>
      <c r="G420" s="277"/>
      <c r="H420" s="276"/>
      <c r="I420" s="276"/>
      <c r="J420" s="276"/>
      <c r="K420" s="276"/>
    </row>
    <row r="421">
      <c r="A421" s="275"/>
      <c r="B421" s="275"/>
      <c r="C421" s="275"/>
      <c r="D421" s="275"/>
      <c r="E421" s="276"/>
      <c r="F421" s="276"/>
      <c r="G421" s="277"/>
      <c r="H421" s="276"/>
      <c r="I421" s="276"/>
      <c r="J421" s="276"/>
      <c r="K421" s="276"/>
    </row>
    <row r="422">
      <c r="A422" s="275"/>
      <c r="B422" s="275"/>
      <c r="C422" s="275"/>
      <c r="D422" s="275"/>
      <c r="E422" s="276"/>
      <c r="F422" s="276"/>
      <c r="G422" s="277"/>
      <c r="H422" s="276"/>
      <c r="I422" s="276"/>
      <c r="J422" s="276"/>
      <c r="K422" s="276"/>
    </row>
    <row r="423">
      <c r="A423" s="275"/>
      <c r="B423" s="275"/>
      <c r="C423" s="275"/>
      <c r="D423" s="275"/>
      <c r="E423" s="276"/>
      <c r="F423" s="276"/>
      <c r="G423" s="277"/>
      <c r="H423" s="276"/>
      <c r="I423" s="276"/>
      <c r="J423" s="276"/>
      <c r="K423" s="276"/>
    </row>
    <row r="424">
      <c r="A424" s="275"/>
      <c r="B424" s="275"/>
      <c r="C424" s="275"/>
      <c r="D424" s="275"/>
      <c r="E424" s="276"/>
      <c r="F424" s="276"/>
      <c r="G424" s="277"/>
      <c r="H424" s="276"/>
      <c r="I424" s="276"/>
      <c r="J424" s="276"/>
      <c r="K424" s="276"/>
    </row>
    <row r="425">
      <c r="A425" s="275"/>
      <c r="B425" s="275"/>
      <c r="C425" s="275"/>
      <c r="D425" s="275"/>
      <c r="E425" s="276"/>
      <c r="F425" s="276"/>
      <c r="G425" s="277"/>
      <c r="H425" s="276"/>
      <c r="I425" s="276"/>
      <c r="J425" s="276"/>
      <c r="K425" s="276"/>
    </row>
    <row r="426">
      <c r="A426" s="275"/>
      <c r="B426" s="275"/>
      <c r="C426" s="275"/>
      <c r="D426" s="275"/>
      <c r="E426" s="276"/>
      <c r="F426" s="276"/>
      <c r="G426" s="277"/>
      <c r="H426" s="276"/>
      <c r="I426" s="276"/>
      <c r="J426" s="276"/>
      <c r="K426" s="276"/>
    </row>
    <row r="427">
      <c r="A427" s="275"/>
      <c r="B427" s="275"/>
      <c r="C427" s="275"/>
      <c r="D427" s="275"/>
      <c r="E427" s="276"/>
      <c r="F427" s="276"/>
      <c r="G427" s="277"/>
      <c r="H427" s="276"/>
      <c r="I427" s="276"/>
      <c r="J427" s="276"/>
      <c r="K427" s="276"/>
    </row>
    <row r="428">
      <c r="A428" s="275"/>
      <c r="B428" s="275"/>
      <c r="C428" s="275"/>
      <c r="D428" s="275"/>
      <c r="E428" s="276"/>
      <c r="F428" s="276"/>
      <c r="G428" s="277"/>
      <c r="H428" s="276"/>
      <c r="I428" s="276"/>
      <c r="J428" s="276"/>
      <c r="K428" s="276"/>
    </row>
    <row r="429">
      <c r="A429" s="275"/>
      <c r="B429" s="275"/>
      <c r="C429" s="275"/>
      <c r="D429" s="275"/>
      <c r="E429" s="276"/>
      <c r="F429" s="276"/>
      <c r="G429" s="277"/>
      <c r="H429" s="276"/>
      <c r="I429" s="276"/>
      <c r="J429" s="276"/>
      <c r="K429" s="276"/>
    </row>
    <row r="430">
      <c r="A430" s="275"/>
      <c r="B430" s="275"/>
      <c r="C430" s="275"/>
      <c r="D430" s="275"/>
      <c r="E430" s="276"/>
      <c r="F430" s="276"/>
      <c r="G430" s="277"/>
      <c r="H430" s="276"/>
      <c r="I430" s="276"/>
      <c r="J430" s="276"/>
      <c r="K430" s="276"/>
    </row>
    <row r="431">
      <c r="A431" s="275"/>
      <c r="B431" s="275"/>
      <c r="C431" s="275"/>
      <c r="D431" s="275"/>
      <c r="E431" s="276"/>
      <c r="F431" s="276"/>
      <c r="G431" s="277"/>
      <c r="H431" s="276"/>
      <c r="I431" s="276"/>
      <c r="J431" s="276"/>
      <c r="K431" s="276"/>
    </row>
    <row r="432">
      <c r="A432" s="275"/>
      <c r="B432" s="275"/>
      <c r="C432" s="275"/>
      <c r="D432" s="275"/>
      <c r="E432" s="276"/>
      <c r="F432" s="276"/>
      <c r="G432" s="277"/>
      <c r="H432" s="276"/>
      <c r="I432" s="276"/>
      <c r="J432" s="276"/>
      <c r="K432" s="276"/>
    </row>
    <row r="433">
      <c r="A433" s="275"/>
      <c r="B433" s="275"/>
      <c r="C433" s="275"/>
      <c r="D433" s="275"/>
      <c r="E433" s="276"/>
      <c r="F433" s="276"/>
      <c r="G433" s="277"/>
      <c r="H433" s="276"/>
      <c r="I433" s="276"/>
      <c r="J433" s="276"/>
      <c r="K433" s="276"/>
    </row>
    <row r="434">
      <c r="A434" s="275"/>
      <c r="B434" s="275"/>
      <c r="C434" s="275"/>
      <c r="D434" s="275"/>
      <c r="E434" s="276"/>
      <c r="F434" s="276"/>
      <c r="G434" s="277"/>
      <c r="H434" s="276"/>
      <c r="I434" s="276"/>
      <c r="J434" s="276"/>
      <c r="K434" s="276"/>
    </row>
    <row r="435">
      <c r="A435" s="275"/>
      <c r="B435" s="275"/>
      <c r="C435" s="275"/>
      <c r="D435" s="275"/>
      <c r="E435" s="276"/>
      <c r="F435" s="276"/>
      <c r="G435" s="277"/>
      <c r="H435" s="276"/>
      <c r="I435" s="276"/>
      <c r="J435" s="276"/>
      <c r="K435" s="276"/>
    </row>
    <row r="436">
      <c r="A436" s="275"/>
      <c r="B436" s="275"/>
      <c r="C436" s="275"/>
      <c r="D436" s="275"/>
      <c r="E436" s="276"/>
      <c r="F436" s="276"/>
      <c r="G436" s="277"/>
      <c r="H436" s="276"/>
      <c r="I436" s="276"/>
      <c r="J436" s="276"/>
      <c r="K436" s="276"/>
    </row>
    <row r="437">
      <c r="A437" s="275"/>
      <c r="B437" s="275"/>
      <c r="C437" s="275"/>
      <c r="D437" s="275"/>
      <c r="E437" s="276"/>
      <c r="F437" s="276"/>
      <c r="G437" s="277"/>
      <c r="H437" s="276"/>
      <c r="I437" s="276"/>
      <c r="J437" s="276"/>
      <c r="K437" s="276"/>
    </row>
    <row r="438">
      <c r="A438" s="275"/>
      <c r="B438" s="275"/>
      <c r="C438" s="275"/>
      <c r="D438" s="275"/>
      <c r="E438" s="276"/>
      <c r="F438" s="276"/>
      <c r="G438" s="277"/>
      <c r="H438" s="276"/>
      <c r="I438" s="276"/>
      <c r="J438" s="276"/>
      <c r="K438" s="276"/>
    </row>
    <row r="439">
      <c r="A439" s="275"/>
      <c r="B439" s="275"/>
      <c r="C439" s="275"/>
      <c r="D439" s="275"/>
      <c r="E439" s="276"/>
      <c r="F439" s="276"/>
      <c r="G439" s="277"/>
      <c r="H439" s="276"/>
      <c r="I439" s="276"/>
      <c r="J439" s="276"/>
      <c r="K439" s="276"/>
    </row>
    <row r="440">
      <c r="A440" s="275"/>
      <c r="B440" s="275"/>
      <c r="C440" s="275"/>
      <c r="D440" s="275"/>
      <c r="E440" s="276"/>
      <c r="F440" s="276"/>
      <c r="G440" s="277"/>
      <c r="H440" s="276"/>
      <c r="I440" s="276"/>
      <c r="J440" s="276"/>
      <c r="K440" s="276"/>
    </row>
    <row r="441">
      <c r="A441" s="275"/>
      <c r="B441" s="275"/>
      <c r="C441" s="275"/>
      <c r="D441" s="275"/>
      <c r="E441" s="276"/>
      <c r="F441" s="276"/>
      <c r="G441" s="277"/>
      <c r="H441" s="276"/>
      <c r="I441" s="276"/>
      <c r="J441" s="276"/>
      <c r="K441" s="276"/>
    </row>
    <row r="442">
      <c r="A442" s="275"/>
      <c r="B442" s="275"/>
      <c r="C442" s="275"/>
      <c r="D442" s="275"/>
      <c r="E442" s="276"/>
      <c r="F442" s="276"/>
      <c r="G442" s="277"/>
      <c r="H442" s="276"/>
      <c r="I442" s="276"/>
      <c r="J442" s="276"/>
      <c r="K442" s="276"/>
    </row>
    <row r="443">
      <c r="A443" s="275"/>
      <c r="B443" s="275"/>
      <c r="C443" s="275"/>
      <c r="D443" s="275"/>
      <c r="E443" s="276"/>
      <c r="F443" s="276"/>
      <c r="G443" s="277"/>
      <c r="H443" s="276"/>
      <c r="I443" s="276"/>
      <c r="J443" s="276"/>
      <c r="K443" s="276"/>
    </row>
    <row r="444">
      <c r="A444" s="275"/>
      <c r="B444" s="275"/>
      <c r="C444" s="275"/>
      <c r="D444" s="275"/>
      <c r="E444" s="276"/>
      <c r="F444" s="276"/>
      <c r="G444" s="277"/>
      <c r="H444" s="276"/>
      <c r="I444" s="276"/>
      <c r="J444" s="276"/>
      <c r="K444" s="276"/>
    </row>
    <row r="445">
      <c r="A445" s="275"/>
      <c r="B445" s="275"/>
      <c r="C445" s="275"/>
      <c r="D445" s="275"/>
      <c r="E445" s="276"/>
      <c r="F445" s="276"/>
      <c r="G445" s="277"/>
      <c r="H445" s="276"/>
      <c r="I445" s="276"/>
      <c r="J445" s="276"/>
      <c r="K445" s="276"/>
    </row>
    <row r="446">
      <c r="A446" s="275"/>
      <c r="B446" s="275"/>
      <c r="C446" s="275"/>
      <c r="D446" s="275"/>
      <c r="E446" s="276"/>
      <c r="F446" s="276"/>
      <c r="G446" s="277"/>
      <c r="H446" s="276"/>
      <c r="I446" s="276"/>
      <c r="J446" s="276"/>
      <c r="K446" s="276"/>
    </row>
    <row r="447">
      <c r="A447" s="275"/>
      <c r="B447" s="275"/>
      <c r="C447" s="275"/>
      <c r="D447" s="275"/>
      <c r="E447" s="276"/>
      <c r="F447" s="276"/>
      <c r="G447" s="277"/>
      <c r="H447" s="276"/>
      <c r="I447" s="276"/>
      <c r="J447" s="276"/>
      <c r="K447" s="276"/>
    </row>
    <row r="448">
      <c r="A448" s="275"/>
      <c r="B448" s="275"/>
      <c r="C448" s="275"/>
      <c r="D448" s="275"/>
      <c r="E448" s="276"/>
      <c r="F448" s="276"/>
      <c r="G448" s="277"/>
      <c r="H448" s="276"/>
      <c r="I448" s="276"/>
      <c r="J448" s="276"/>
      <c r="K448" s="276"/>
    </row>
    <row r="449">
      <c r="A449" s="275"/>
      <c r="B449" s="275"/>
      <c r="C449" s="275"/>
      <c r="D449" s="275"/>
      <c r="E449" s="276"/>
      <c r="F449" s="276"/>
      <c r="G449" s="277"/>
      <c r="H449" s="276"/>
      <c r="I449" s="276"/>
      <c r="J449" s="276"/>
      <c r="K449" s="276"/>
    </row>
    <row r="450">
      <c r="A450" s="275"/>
      <c r="B450" s="275"/>
      <c r="C450" s="275"/>
      <c r="D450" s="275"/>
      <c r="E450" s="276"/>
      <c r="F450" s="276"/>
      <c r="G450" s="277"/>
      <c r="H450" s="276"/>
      <c r="I450" s="276"/>
      <c r="J450" s="276"/>
      <c r="K450" s="276"/>
    </row>
    <row r="451">
      <c r="A451" s="275"/>
      <c r="B451" s="275"/>
      <c r="C451" s="275"/>
      <c r="D451" s="275"/>
      <c r="E451" s="276"/>
      <c r="F451" s="276"/>
      <c r="G451" s="277"/>
      <c r="H451" s="276"/>
      <c r="I451" s="276"/>
      <c r="J451" s="276"/>
      <c r="K451" s="276"/>
    </row>
    <row r="452">
      <c r="A452" s="275"/>
      <c r="B452" s="275"/>
      <c r="C452" s="275"/>
      <c r="D452" s="275"/>
      <c r="E452" s="276"/>
      <c r="F452" s="276"/>
      <c r="G452" s="277"/>
      <c r="H452" s="276"/>
      <c r="I452" s="276"/>
      <c r="J452" s="276"/>
      <c r="K452" s="276"/>
    </row>
    <row r="453">
      <c r="A453" s="275"/>
      <c r="B453" s="275"/>
      <c r="C453" s="275"/>
      <c r="D453" s="275"/>
      <c r="E453" s="276"/>
      <c r="F453" s="276"/>
      <c r="G453" s="277"/>
      <c r="H453" s="276"/>
      <c r="I453" s="276"/>
      <c r="J453" s="276"/>
      <c r="K453" s="276"/>
    </row>
    <row r="454">
      <c r="A454" s="275"/>
      <c r="B454" s="275"/>
      <c r="C454" s="275"/>
      <c r="D454" s="275"/>
      <c r="E454" s="276"/>
      <c r="F454" s="276"/>
      <c r="G454" s="277"/>
      <c r="H454" s="276"/>
      <c r="I454" s="276"/>
      <c r="J454" s="276"/>
      <c r="K454" s="276"/>
    </row>
    <row r="455">
      <c r="A455" s="275"/>
      <c r="B455" s="275"/>
      <c r="C455" s="275"/>
      <c r="D455" s="275"/>
      <c r="E455" s="276"/>
      <c r="F455" s="276"/>
      <c r="G455" s="277"/>
      <c r="H455" s="276"/>
      <c r="I455" s="276"/>
      <c r="J455" s="276"/>
      <c r="K455" s="276"/>
    </row>
    <row r="456">
      <c r="A456" s="275"/>
      <c r="B456" s="275"/>
      <c r="C456" s="275"/>
      <c r="D456" s="275"/>
      <c r="E456" s="276"/>
      <c r="F456" s="276"/>
      <c r="G456" s="277"/>
      <c r="H456" s="276"/>
      <c r="I456" s="276"/>
      <c r="J456" s="276"/>
      <c r="K456" s="276"/>
    </row>
    <row r="457">
      <c r="A457" s="275"/>
      <c r="B457" s="275"/>
      <c r="C457" s="275"/>
      <c r="D457" s="275"/>
      <c r="E457" s="276"/>
      <c r="F457" s="276"/>
      <c r="G457" s="277"/>
      <c r="H457" s="276"/>
      <c r="I457" s="276"/>
      <c r="J457" s="276"/>
      <c r="K457" s="276"/>
    </row>
    <row r="458">
      <c r="A458" s="275"/>
      <c r="B458" s="275"/>
      <c r="C458" s="275"/>
      <c r="D458" s="275"/>
      <c r="E458" s="276"/>
      <c r="F458" s="276"/>
      <c r="G458" s="277"/>
      <c r="H458" s="276"/>
      <c r="I458" s="276"/>
      <c r="J458" s="276"/>
      <c r="K458" s="276"/>
    </row>
    <row r="459">
      <c r="A459" s="275"/>
      <c r="B459" s="275"/>
      <c r="C459" s="275"/>
      <c r="D459" s="275"/>
      <c r="E459" s="276"/>
      <c r="F459" s="276"/>
      <c r="G459" s="277"/>
      <c r="H459" s="276"/>
      <c r="I459" s="276"/>
      <c r="J459" s="276"/>
      <c r="K459" s="276"/>
    </row>
    <row r="460">
      <c r="A460" s="275"/>
      <c r="B460" s="275"/>
      <c r="C460" s="275"/>
      <c r="D460" s="275"/>
      <c r="E460" s="276"/>
      <c r="F460" s="276"/>
      <c r="G460" s="277"/>
      <c r="H460" s="276"/>
      <c r="I460" s="276"/>
      <c r="J460" s="276"/>
      <c r="K460" s="276"/>
    </row>
    <row r="461">
      <c r="A461" s="275"/>
      <c r="B461" s="275"/>
      <c r="C461" s="275"/>
      <c r="D461" s="275"/>
      <c r="E461" s="276"/>
      <c r="F461" s="276"/>
      <c r="G461" s="277"/>
      <c r="H461" s="276"/>
      <c r="I461" s="276"/>
      <c r="J461" s="276"/>
      <c r="K461" s="276"/>
    </row>
    <row r="462">
      <c r="A462" s="275"/>
      <c r="B462" s="275"/>
      <c r="C462" s="275"/>
      <c r="D462" s="275"/>
      <c r="E462" s="276"/>
      <c r="F462" s="276"/>
      <c r="G462" s="277"/>
      <c r="H462" s="276"/>
      <c r="I462" s="276"/>
      <c r="J462" s="276"/>
      <c r="K462" s="276"/>
    </row>
    <row r="463">
      <c r="A463" s="275"/>
      <c r="B463" s="275"/>
      <c r="C463" s="275"/>
      <c r="D463" s="275"/>
      <c r="E463" s="276"/>
      <c r="F463" s="276"/>
      <c r="G463" s="277"/>
      <c r="H463" s="276"/>
      <c r="I463" s="276"/>
      <c r="J463" s="276"/>
      <c r="K463" s="276"/>
    </row>
    <row r="464">
      <c r="A464" s="275"/>
      <c r="B464" s="275"/>
      <c r="C464" s="275"/>
      <c r="D464" s="275"/>
      <c r="E464" s="276"/>
      <c r="F464" s="276"/>
      <c r="G464" s="277"/>
      <c r="H464" s="276"/>
      <c r="I464" s="276"/>
      <c r="J464" s="276"/>
      <c r="K464" s="276"/>
    </row>
    <row r="465">
      <c r="A465" s="275"/>
      <c r="B465" s="275"/>
      <c r="C465" s="275"/>
      <c r="D465" s="275"/>
      <c r="E465" s="276"/>
      <c r="F465" s="276"/>
      <c r="G465" s="277"/>
      <c r="H465" s="276"/>
      <c r="I465" s="276"/>
      <c r="J465" s="276"/>
      <c r="K465" s="276"/>
    </row>
    <row r="466">
      <c r="A466" s="275"/>
      <c r="B466" s="275"/>
      <c r="C466" s="275"/>
      <c r="D466" s="275"/>
      <c r="E466" s="276"/>
      <c r="F466" s="276"/>
      <c r="G466" s="277"/>
      <c r="H466" s="276"/>
      <c r="I466" s="276"/>
      <c r="J466" s="276"/>
      <c r="K466" s="276"/>
    </row>
    <row r="467">
      <c r="A467" s="275"/>
      <c r="B467" s="275"/>
      <c r="C467" s="275"/>
      <c r="D467" s="275"/>
      <c r="E467" s="276"/>
      <c r="F467" s="276"/>
      <c r="G467" s="277"/>
      <c r="H467" s="276"/>
      <c r="I467" s="276"/>
      <c r="J467" s="276"/>
      <c r="K467" s="276"/>
    </row>
    <row r="468">
      <c r="A468" s="275"/>
      <c r="B468" s="275"/>
      <c r="C468" s="275"/>
      <c r="D468" s="275"/>
      <c r="E468" s="276"/>
      <c r="F468" s="276"/>
      <c r="G468" s="277"/>
      <c r="H468" s="276"/>
      <c r="I468" s="276"/>
      <c r="J468" s="276"/>
      <c r="K468" s="276"/>
    </row>
    <row r="469">
      <c r="A469" s="275"/>
      <c r="B469" s="275"/>
      <c r="C469" s="275"/>
      <c r="D469" s="275"/>
      <c r="E469" s="276"/>
      <c r="F469" s="276"/>
      <c r="G469" s="277"/>
      <c r="H469" s="276"/>
      <c r="I469" s="276"/>
      <c r="J469" s="276"/>
      <c r="K469" s="276"/>
    </row>
    <row r="470">
      <c r="A470" s="275"/>
      <c r="B470" s="275"/>
      <c r="C470" s="275"/>
      <c r="D470" s="275"/>
      <c r="E470" s="276"/>
      <c r="F470" s="276"/>
      <c r="G470" s="277"/>
      <c r="H470" s="276"/>
      <c r="I470" s="276"/>
      <c r="J470" s="276"/>
      <c r="K470" s="276"/>
    </row>
    <row r="471">
      <c r="A471" s="275"/>
      <c r="B471" s="275"/>
      <c r="C471" s="275"/>
      <c r="D471" s="275"/>
      <c r="E471" s="276"/>
      <c r="F471" s="276"/>
      <c r="G471" s="277"/>
      <c r="H471" s="276"/>
      <c r="I471" s="276"/>
      <c r="J471" s="276"/>
      <c r="K471" s="276"/>
    </row>
    <row r="472">
      <c r="A472" s="275"/>
      <c r="B472" s="275"/>
      <c r="C472" s="275"/>
      <c r="D472" s="275"/>
      <c r="E472" s="276"/>
      <c r="F472" s="276"/>
      <c r="G472" s="277"/>
      <c r="H472" s="276"/>
      <c r="I472" s="276"/>
      <c r="J472" s="276"/>
      <c r="K472" s="276"/>
    </row>
    <row r="473">
      <c r="A473" s="275"/>
      <c r="B473" s="275"/>
      <c r="C473" s="275"/>
      <c r="D473" s="275"/>
      <c r="E473" s="276"/>
      <c r="F473" s="276"/>
      <c r="G473" s="277"/>
      <c r="H473" s="276"/>
      <c r="I473" s="276"/>
      <c r="J473" s="276"/>
      <c r="K473" s="276"/>
    </row>
    <row r="474">
      <c r="A474" s="275"/>
      <c r="B474" s="275"/>
      <c r="C474" s="275"/>
      <c r="D474" s="275"/>
      <c r="E474" s="276"/>
      <c r="F474" s="276"/>
      <c r="G474" s="277"/>
      <c r="H474" s="276"/>
      <c r="I474" s="276"/>
      <c r="J474" s="276"/>
      <c r="K474" s="276"/>
    </row>
    <row r="475">
      <c r="A475" s="275"/>
      <c r="B475" s="275"/>
      <c r="C475" s="275"/>
      <c r="D475" s="275"/>
      <c r="E475" s="276"/>
      <c r="F475" s="276"/>
      <c r="G475" s="277"/>
      <c r="H475" s="276"/>
      <c r="I475" s="276"/>
      <c r="J475" s="276"/>
      <c r="K475" s="276"/>
    </row>
    <row r="476">
      <c r="A476" s="275"/>
      <c r="B476" s="275"/>
      <c r="C476" s="275"/>
      <c r="D476" s="275"/>
      <c r="E476" s="276"/>
      <c r="F476" s="276"/>
      <c r="G476" s="277"/>
      <c r="H476" s="276"/>
      <c r="I476" s="276"/>
      <c r="J476" s="276"/>
      <c r="K476" s="276"/>
    </row>
    <row r="477">
      <c r="A477" s="275"/>
      <c r="B477" s="275"/>
      <c r="C477" s="275"/>
      <c r="D477" s="275"/>
      <c r="E477" s="276"/>
      <c r="F477" s="276"/>
      <c r="G477" s="277"/>
      <c r="H477" s="276"/>
      <c r="I477" s="276"/>
      <c r="J477" s="276"/>
      <c r="K477" s="276"/>
    </row>
    <row r="478">
      <c r="A478" s="275"/>
      <c r="B478" s="275"/>
      <c r="C478" s="275"/>
      <c r="D478" s="275"/>
      <c r="E478" s="276"/>
      <c r="F478" s="276"/>
      <c r="G478" s="277"/>
      <c r="H478" s="276"/>
      <c r="I478" s="276"/>
      <c r="J478" s="276"/>
      <c r="K478" s="276"/>
    </row>
    <row r="479">
      <c r="A479" s="275"/>
      <c r="B479" s="275"/>
      <c r="C479" s="275"/>
      <c r="D479" s="275"/>
      <c r="E479" s="276"/>
      <c r="F479" s="276"/>
      <c r="G479" s="277"/>
      <c r="H479" s="276"/>
      <c r="I479" s="276"/>
      <c r="J479" s="276"/>
      <c r="K479" s="276"/>
    </row>
    <row r="480">
      <c r="A480" s="275"/>
      <c r="B480" s="275"/>
      <c r="C480" s="275"/>
      <c r="D480" s="275"/>
      <c r="E480" s="276"/>
      <c r="F480" s="276"/>
      <c r="G480" s="277"/>
      <c r="H480" s="276"/>
      <c r="I480" s="276"/>
      <c r="J480" s="276"/>
      <c r="K480" s="276"/>
    </row>
    <row r="481">
      <c r="A481" s="275"/>
      <c r="B481" s="275"/>
      <c r="C481" s="275"/>
      <c r="D481" s="275"/>
      <c r="E481" s="276"/>
      <c r="F481" s="276"/>
      <c r="G481" s="277"/>
      <c r="H481" s="276"/>
      <c r="I481" s="276"/>
      <c r="J481" s="276"/>
      <c r="K481" s="276"/>
    </row>
    <row r="482">
      <c r="A482" s="275"/>
      <c r="B482" s="275"/>
      <c r="C482" s="275"/>
      <c r="D482" s="275"/>
      <c r="E482" s="276"/>
      <c r="F482" s="276"/>
      <c r="G482" s="277"/>
      <c r="H482" s="276"/>
      <c r="I482" s="276"/>
      <c r="J482" s="276"/>
      <c r="K482" s="276"/>
    </row>
    <row r="483">
      <c r="A483" s="275"/>
      <c r="B483" s="275"/>
      <c r="C483" s="275"/>
      <c r="D483" s="275"/>
      <c r="E483" s="276"/>
      <c r="F483" s="276"/>
      <c r="G483" s="277"/>
      <c r="H483" s="276"/>
      <c r="I483" s="276"/>
      <c r="J483" s="276"/>
      <c r="K483" s="276"/>
    </row>
    <row r="484">
      <c r="A484" s="275"/>
      <c r="B484" s="275"/>
      <c r="C484" s="275"/>
      <c r="D484" s="275"/>
      <c r="E484" s="276"/>
      <c r="F484" s="276"/>
      <c r="G484" s="277"/>
      <c r="H484" s="276"/>
      <c r="I484" s="276"/>
      <c r="J484" s="276"/>
      <c r="K484" s="276"/>
    </row>
    <row r="485">
      <c r="A485" s="275"/>
      <c r="B485" s="275"/>
      <c r="C485" s="275"/>
      <c r="D485" s="275"/>
      <c r="E485" s="276"/>
      <c r="F485" s="276"/>
      <c r="G485" s="277"/>
      <c r="H485" s="276"/>
      <c r="I485" s="276"/>
      <c r="J485" s="276"/>
      <c r="K485" s="276"/>
    </row>
    <row r="486">
      <c r="A486" s="275"/>
      <c r="B486" s="275"/>
      <c r="C486" s="275"/>
      <c r="D486" s="275"/>
      <c r="E486" s="276"/>
      <c r="F486" s="276"/>
      <c r="G486" s="277"/>
      <c r="H486" s="276"/>
      <c r="I486" s="276"/>
      <c r="J486" s="276"/>
      <c r="K486" s="276"/>
    </row>
    <row r="487">
      <c r="A487" s="275"/>
      <c r="B487" s="275"/>
      <c r="C487" s="275"/>
      <c r="D487" s="275"/>
      <c r="E487" s="276"/>
      <c r="F487" s="276"/>
      <c r="G487" s="277"/>
      <c r="H487" s="276"/>
      <c r="I487" s="276"/>
      <c r="J487" s="276"/>
      <c r="K487" s="276"/>
    </row>
    <row r="488">
      <c r="A488" s="275"/>
      <c r="B488" s="275"/>
      <c r="C488" s="275"/>
      <c r="D488" s="275"/>
      <c r="E488" s="276"/>
      <c r="F488" s="276"/>
      <c r="G488" s="277"/>
      <c r="H488" s="276"/>
      <c r="I488" s="276"/>
      <c r="J488" s="276"/>
      <c r="K488" s="276"/>
    </row>
    <row r="489">
      <c r="A489" s="275"/>
      <c r="B489" s="275"/>
      <c r="C489" s="275"/>
      <c r="D489" s="275"/>
      <c r="E489" s="276"/>
      <c r="F489" s="276"/>
      <c r="G489" s="277"/>
      <c r="H489" s="276"/>
      <c r="I489" s="276"/>
      <c r="J489" s="276"/>
      <c r="K489" s="276"/>
    </row>
    <row r="490">
      <c r="A490" s="275"/>
      <c r="B490" s="275"/>
      <c r="C490" s="275"/>
      <c r="D490" s="275"/>
      <c r="E490" s="276"/>
      <c r="F490" s="276"/>
      <c r="G490" s="277"/>
      <c r="H490" s="276"/>
      <c r="I490" s="276"/>
      <c r="J490" s="276"/>
      <c r="K490" s="276"/>
    </row>
    <row r="491">
      <c r="A491" s="275"/>
      <c r="B491" s="275"/>
      <c r="C491" s="275"/>
      <c r="D491" s="275"/>
      <c r="E491" s="276"/>
      <c r="F491" s="276"/>
      <c r="G491" s="277"/>
      <c r="H491" s="276"/>
      <c r="I491" s="276"/>
      <c r="J491" s="276"/>
      <c r="K491" s="276"/>
    </row>
    <row r="492">
      <c r="A492" s="275"/>
      <c r="B492" s="275"/>
      <c r="C492" s="275"/>
      <c r="D492" s="275"/>
      <c r="E492" s="276"/>
      <c r="F492" s="276"/>
      <c r="G492" s="277"/>
      <c r="H492" s="276"/>
      <c r="I492" s="276"/>
      <c r="J492" s="276"/>
      <c r="K492" s="276"/>
    </row>
    <row r="493">
      <c r="A493" s="275"/>
      <c r="B493" s="275"/>
      <c r="C493" s="275"/>
      <c r="D493" s="275"/>
      <c r="E493" s="276"/>
      <c r="F493" s="276"/>
      <c r="G493" s="277"/>
      <c r="H493" s="276"/>
      <c r="I493" s="276"/>
      <c r="J493" s="276"/>
      <c r="K493" s="276"/>
    </row>
    <row r="494">
      <c r="A494" s="275"/>
      <c r="B494" s="275"/>
      <c r="C494" s="275"/>
      <c r="D494" s="275"/>
      <c r="E494" s="276"/>
      <c r="F494" s="276"/>
      <c r="G494" s="277"/>
      <c r="H494" s="276"/>
      <c r="I494" s="276"/>
      <c r="J494" s="276"/>
      <c r="K494" s="276"/>
    </row>
    <row r="495">
      <c r="A495" s="275"/>
      <c r="B495" s="275"/>
      <c r="C495" s="275"/>
      <c r="D495" s="275"/>
      <c r="E495" s="276"/>
      <c r="F495" s="276"/>
      <c r="G495" s="277"/>
      <c r="H495" s="276"/>
      <c r="I495" s="276"/>
      <c r="J495" s="276"/>
      <c r="K495" s="276"/>
    </row>
    <row r="496">
      <c r="A496" s="275"/>
      <c r="B496" s="275"/>
      <c r="C496" s="275"/>
      <c r="D496" s="275"/>
      <c r="E496" s="276"/>
      <c r="F496" s="276"/>
      <c r="G496" s="277"/>
      <c r="H496" s="276"/>
      <c r="I496" s="276"/>
      <c r="J496" s="276"/>
      <c r="K496" s="276"/>
    </row>
    <row r="497">
      <c r="A497" s="275"/>
      <c r="B497" s="275"/>
      <c r="C497" s="275"/>
      <c r="D497" s="275"/>
      <c r="E497" s="276"/>
      <c r="F497" s="276"/>
      <c r="G497" s="277"/>
      <c r="H497" s="276"/>
      <c r="I497" s="276"/>
      <c r="J497" s="276"/>
      <c r="K497" s="276"/>
    </row>
    <row r="498">
      <c r="A498" s="275"/>
      <c r="B498" s="275"/>
      <c r="C498" s="275"/>
      <c r="D498" s="275"/>
      <c r="E498" s="276"/>
      <c r="F498" s="276"/>
      <c r="G498" s="277"/>
      <c r="H498" s="276"/>
      <c r="I498" s="276"/>
      <c r="J498" s="276"/>
      <c r="K498" s="276"/>
    </row>
    <row r="499">
      <c r="A499" s="275"/>
      <c r="B499" s="275"/>
      <c r="C499" s="275"/>
      <c r="D499" s="275"/>
      <c r="E499" s="276"/>
      <c r="F499" s="276"/>
      <c r="G499" s="277"/>
      <c r="H499" s="276"/>
      <c r="I499" s="276"/>
      <c r="J499" s="276"/>
      <c r="K499" s="276"/>
    </row>
    <row r="500">
      <c r="A500" s="275"/>
      <c r="B500" s="275"/>
      <c r="C500" s="275"/>
      <c r="D500" s="275"/>
      <c r="E500" s="276"/>
      <c r="F500" s="276"/>
      <c r="G500" s="277"/>
      <c r="H500" s="276"/>
      <c r="I500" s="276"/>
      <c r="J500" s="276"/>
      <c r="K500" s="276"/>
    </row>
    <row r="501">
      <c r="A501" s="275"/>
      <c r="B501" s="275"/>
      <c r="C501" s="275"/>
      <c r="D501" s="275"/>
      <c r="E501" s="276"/>
      <c r="F501" s="276"/>
      <c r="G501" s="277"/>
      <c r="H501" s="276"/>
      <c r="I501" s="276"/>
      <c r="J501" s="276"/>
      <c r="K501" s="276"/>
    </row>
    <row r="502">
      <c r="A502" s="275"/>
      <c r="B502" s="275"/>
      <c r="C502" s="275"/>
      <c r="D502" s="275"/>
      <c r="E502" s="276"/>
      <c r="F502" s="276"/>
      <c r="G502" s="277"/>
      <c r="H502" s="276"/>
      <c r="I502" s="276"/>
      <c r="J502" s="276"/>
      <c r="K502" s="276"/>
    </row>
    <row r="503">
      <c r="A503" s="275"/>
      <c r="B503" s="275"/>
      <c r="C503" s="275"/>
      <c r="D503" s="275"/>
      <c r="E503" s="276"/>
      <c r="F503" s="276"/>
      <c r="G503" s="277"/>
      <c r="H503" s="276"/>
      <c r="I503" s="276"/>
      <c r="J503" s="276"/>
      <c r="K503" s="276"/>
    </row>
    <row r="504">
      <c r="A504" s="275"/>
      <c r="B504" s="275"/>
      <c r="C504" s="275"/>
      <c r="D504" s="275"/>
      <c r="E504" s="276"/>
      <c r="F504" s="276"/>
      <c r="G504" s="277"/>
      <c r="H504" s="276"/>
      <c r="I504" s="276"/>
      <c r="J504" s="276"/>
      <c r="K504" s="276"/>
    </row>
    <row r="505">
      <c r="A505" s="275"/>
      <c r="B505" s="275"/>
      <c r="C505" s="275"/>
      <c r="D505" s="275"/>
      <c r="E505" s="276"/>
      <c r="F505" s="276"/>
      <c r="G505" s="277"/>
      <c r="H505" s="276"/>
      <c r="I505" s="276"/>
      <c r="J505" s="276"/>
      <c r="K505" s="276"/>
    </row>
    <row r="506">
      <c r="A506" s="275"/>
      <c r="B506" s="275"/>
      <c r="C506" s="275"/>
      <c r="D506" s="275"/>
      <c r="E506" s="276"/>
      <c r="F506" s="276"/>
      <c r="G506" s="277"/>
      <c r="H506" s="276"/>
      <c r="I506" s="276"/>
      <c r="J506" s="276"/>
      <c r="K506" s="276"/>
    </row>
    <row r="507">
      <c r="A507" s="275"/>
      <c r="B507" s="275"/>
      <c r="C507" s="275"/>
      <c r="D507" s="275"/>
      <c r="E507" s="276"/>
      <c r="F507" s="276"/>
      <c r="G507" s="277"/>
      <c r="H507" s="276"/>
      <c r="I507" s="276"/>
      <c r="J507" s="276"/>
      <c r="K507" s="276"/>
    </row>
    <row r="508">
      <c r="A508" s="275"/>
      <c r="B508" s="275"/>
      <c r="C508" s="275"/>
      <c r="D508" s="275"/>
      <c r="E508" s="276"/>
      <c r="F508" s="276"/>
      <c r="G508" s="277"/>
      <c r="H508" s="276"/>
      <c r="I508" s="276"/>
      <c r="J508" s="276"/>
      <c r="K508" s="276"/>
    </row>
    <row r="509">
      <c r="A509" s="275"/>
      <c r="B509" s="275"/>
      <c r="C509" s="275"/>
      <c r="D509" s="275"/>
      <c r="E509" s="276"/>
      <c r="F509" s="276"/>
      <c r="G509" s="277"/>
      <c r="H509" s="276"/>
      <c r="I509" s="276"/>
      <c r="J509" s="276"/>
      <c r="K509" s="276"/>
    </row>
    <row r="510">
      <c r="A510" s="275"/>
      <c r="B510" s="275"/>
      <c r="C510" s="275"/>
      <c r="D510" s="275"/>
      <c r="E510" s="276"/>
      <c r="F510" s="276"/>
      <c r="G510" s="277"/>
      <c r="H510" s="276"/>
      <c r="I510" s="276"/>
      <c r="J510" s="276"/>
      <c r="K510" s="276"/>
    </row>
    <row r="511">
      <c r="A511" s="275"/>
      <c r="B511" s="275"/>
      <c r="C511" s="275"/>
      <c r="D511" s="275"/>
      <c r="E511" s="276"/>
      <c r="F511" s="276"/>
      <c r="G511" s="277"/>
      <c r="H511" s="276"/>
      <c r="I511" s="276"/>
      <c r="J511" s="276"/>
      <c r="K511" s="276"/>
    </row>
    <row r="512">
      <c r="A512" s="275"/>
      <c r="B512" s="275"/>
      <c r="C512" s="275"/>
      <c r="D512" s="275"/>
      <c r="E512" s="276"/>
      <c r="F512" s="276"/>
      <c r="G512" s="277"/>
      <c r="H512" s="276"/>
      <c r="I512" s="276"/>
      <c r="J512" s="276"/>
      <c r="K512" s="276"/>
    </row>
    <row r="513">
      <c r="A513" s="275"/>
      <c r="B513" s="275"/>
      <c r="C513" s="275"/>
      <c r="D513" s="275"/>
      <c r="E513" s="276"/>
      <c r="F513" s="276"/>
      <c r="G513" s="277"/>
      <c r="H513" s="276"/>
      <c r="I513" s="276"/>
      <c r="J513" s="276"/>
      <c r="K513" s="276"/>
    </row>
    <row r="514">
      <c r="A514" s="275"/>
      <c r="B514" s="275"/>
      <c r="C514" s="275"/>
      <c r="D514" s="275"/>
      <c r="E514" s="276"/>
      <c r="F514" s="276"/>
      <c r="G514" s="277"/>
      <c r="H514" s="276"/>
      <c r="I514" s="276"/>
      <c r="J514" s="276"/>
      <c r="K514" s="276"/>
    </row>
    <row r="515">
      <c r="A515" s="275"/>
      <c r="B515" s="275"/>
      <c r="C515" s="275"/>
      <c r="D515" s="275"/>
      <c r="E515" s="276"/>
      <c r="F515" s="276"/>
      <c r="G515" s="277"/>
      <c r="H515" s="276"/>
      <c r="I515" s="276"/>
      <c r="J515" s="276"/>
      <c r="K515" s="276"/>
    </row>
    <row r="516">
      <c r="A516" s="275"/>
      <c r="B516" s="275"/>
      <c r="C516" s="275"/>
      <c r="D516" s="275"/>
      <c r="E516" s="276"/>
      <c r="F516" s="276"/>
      <c r="G516" s="277"/>
      <c r="H516" s="276"/>
      <c r="I516" s="276"/>
      <c r="J516" s="276"/>
      <c r="K516" s="276"/>
    </row>
    <row r="517">
      <c r="A517" s="275"/>
      <c r="B517" s="275"/>
      <c r="C517" s="275"/>
      <c r="D517" s="275"/>
      <c r="E517" s="276"/>
      <c r="F517" s="276"/>
      <c r="G517" s="277"/>
      <c r="H517" s="276"/>
      <c r="I517" s="276"/>
      <c r="J517" s="276"/>
      <c r="K517" s="276"/>
    </row>
    <row r="518">
      <c r="A518" s="275"/>
      <c r="B518" s="275"/>
      <c r="C518" s="275"/>
      <c r="D518" s="275"/>
      <c r="E518" s="276"/>
      <c r="F518" s="276"/>
      <c r="G518" s="277"/>
      <c r="H518" s="276"/>
      <c r="I518" s="276"/>
      <c r="J518" s="276"/>
      <c r="K518" s="276"/>
    </row>
    <row r="519">
      <c r="A519" s="275"/>
      <c r="B519" s="275"/>
      <c r="C519" s="275"/>
      <c r="D519" s="275"/>
      <c r="E519" s="276"/>
      <c r="F519" s="276"/>
      <c r="G519" s="277"/>
      <c r="H519" s="276"/>
      <c r="I519" s="276"/>
      <c r="J519" s="276"/>
      <c r="K519" s="276"/>
    </row>
    <row r="520">
      <c r="A520" s="275"/>
      <c r="B520" s="275"/>
      <c r="C520" s="275"/>
      <c r="D520" s="275"/>
      <c r="E520" s="276"/>
      <c r="F520" s="276"/>
      <c r="G520" s="277"/>
      <c r="H520" s="276"/>
      <c r="I520" s="276"/>
      <c r="J520" s="276"/>
      <c r="K520" s="276"/>
    </row>
    <row r="521">
      <c r="A521" s="275"/>
      <c r="B521" s="275"/>
      <c r="C521" s="275"/>
      <c r="D521" s="275"/>
      <c r="E521" s="276"/>
      <c r="F521" s="276"/>
      <c r="G521" s="277"/>
      <c r="H521" s="276"/>
      <c r="I521" s="276"/>
      <c r="J521" s="276"/>
      <c r="K521" s="276"/>
    </row>
    <row r="522">
      <c r="A522" s="275"/>
      <c r="B522" s="275"/>
      <c r="C522" s="275"/>
      <c r="D522" s="275"/>
      <c r="E522" s="276"/>
      <c r="F522" s="276"/>
      <c r="G522" s="277"/>
      <c r="H522" s="276"/>
      <c r="I522" s="276"/>
      <c r="J522" s="276"/>
      <c r="K522" s="276"/>
    </row>
    <row r="523">
      <c r="A523" s="275"/>
      <c r="B523" s="275"/>
      <c r="C523" s="275"/>
      <c r="D523" s="275"/>
      <c r="E523" s="276"/>
      <c r="F523" s="276"/>
      <c r="G523" s="277"/>
      <c r="H523" s="276"/>
      <c r="I523" s="276"/>
      <c r="J523" s="276"/>
      <c r="K523" s="276"/>
    </row>
    <row r="524">
      <c r="A524" s="275"/>
      <c r="B524" s="275"/>
      <c r="C524" s="275"/>
      <c r="D524" s="275"/>
      <c r="E524" s="276"/>
      <c r="F524" s="276"/>
      <c r="G524" s="277"/>
      <c r="H524" s="276"/>
      <c r="I524" s="276"/>
      <c r="J524" s="276"/>
      <c r="K524" s="276"/>
    </row>
    <row r="525">
      <c r="A525" s="275"/>
      <c r="B525" s="275"/>
      <c r="C525" s="275"/>
      <c r="D525" s="275"/>
      <c r="E525" s="276"/>
      <c r="F525" s="276"/>
      <c r="G525" s="277"/>
      <c r="H525" s="276"/>
      <c r="I525" s="276"/>
      <c r="J525" s="276"/>
      <c r="K525" s="276"/>
    </row>
    <row r="526">
      <c r="A526" s="275"/>
      <c r="B526" s="275"/>
      <c r="C526" s="275"/>
      <c r="D526" s="275"/>
      <c r="E526" s="276"/>
      <c r="F526" s="276"/>
      <c r="G526" s="277"/>
      <c r="H526" s="276"/>
      <c r="I526" s="276"/>
      <c r="J526" s="276"/>
      <c r="K526" s="276"/>
    </row>
    <row r="527">
      <c r="A527" s="275"/>
      <c r="B527" s="275"/>
      <c r="C527" s="275"/>
      <c r="D527" s="275"/>
      <c r="E527" s="276"/>
      <c r="F527" s="276"/>
      <c r="G527" s="277"/>
      <c r="H527" s="276"/>
      <c r="I527" s="276"/>
      <c r="J527" s="276"/>
      <c r="K527" s="276"/>
    </row>
    <row r="528">
      <c r="A528" s="275"/>
      <c r="B528" s="275"/>
      <c r="C528" s="275"/>
      <c r="D528" s="275"/>
      <c r="E528" s="276"/>
      <c r="F528" s="276"/>
      <c r="G528" s="277"/>
      <c r="H528" s="276"/>
      <c r="I528" s="276"/>
      <c r="J528" s="276"/>
      <c r="K528" s="276"/>
    </row>
    <row r="529">
      <c r="A529" s="275"/>
      <c r="B529" s="275"/>
      <c r="C529" s="275"/>
      <c r="D529" s="275"/>
      <c r="E529" s="276"/>
      <c r="F529" s="276"/>
      <c r="G529" s="277"/>
      <c r="H529" s="276"/>
      <c r="I529" s="276"/>
      <c r="J529" s="276"/>
      <c r="K529" s="276"/>
    </row>
    <row r="530">
      <c r="A530" s="275"/>
      <c r="B530" s="275"/>
      <c r="C530" s="275"/>
      <c r="D530" s="275"/>
      <c r="E530" s="276"/>
      <c r="F530" s="276"/>
      <c r="G530" s="277"/>
      <c r="H530" s="276"/>
      <c r="I530" s="276"/>
      <c r="J530" s="276"/>
      <c r="K530" s="276"/>
    </row>
    <row r="531">
      <c r="A531" s="275"/>
      <c r="B531" s="275"/>
      <c r="C531" s="275"/>
      <c r="D531" s="275"/>
      <c r="E531" s="276"/>
      <c r="F531" s="276"/>
      <c r="G531" s="277"/>
      <c r="H531" s="276"/>
      <c r="I531" s="276"/>
      <c r="J531" s="276"/>
      <c r="K531" s="276"/>
    </row>
    <row r="532">
      <c r="A532" s="275"/>
      <c r="B532" s="275"/>
      <c r="C532" s="275"/>
      <c r="D532" s="275"/>
      <c r="E532" s="276"/>
      <c r="F532" s="276"/>
      <c r="G532" s="277"/>
      <c r="H532" s="276"/>
      <c r="I532" s="276"/>
      <c r="J532" s="276"/>
      <c r="K532" s="276"/>
    </row>
    <row r="533">
      <c r="A533" s="275"/>
      <c r="B533" s="275"/>
      <c r="C533" s="275"/>
      <c r="D533" s="275"/>
      <c r="E533" s="276"/>
      <c r="F533" s="276"/>
      <c r="G533" s="277"/>
      <c r="H533" s="276"/>
      <c r="I533" s="276"/>
      <c r="J533" s="276"/>
      <c r="K533" s="276"/>
    </row>
    <row r="534">
      <c r="A534" s="275"/>
      <c r="B534" s="275"/>
      <c r="C534" s="275"/>
      <c r="D534" s="275"/>
      <c r="E534" s="276"/>
      <c r="F534" s="276"/>
      <c r="G534" s="277"/>
      <c r="H534" s="276"/>
      <c r="I534" s="276"/>
      <c r="J534" s="276"/>
      <c r="K534" s="276"/>
    </row>
    <row r="535">
      <c r="A535" s="275"/>
      <c r="B535" s="275"/>
      <c r="C535" s="275"/>
      <c r="D535" s="275"/>
      <c r="E535" s="276"/>
      <c r="F535" s="276"/>
      <c r="G535" s="277"/>
      <c r="H535" s="276"/>
      <c r="I535" s="276"/>
      <c r="J535" s="276"/>
      <c r="K535" s="276"/>
    </row>
    <row r="536">
      <c r="A536" s="275"/>
      <c r="B536" s="275"/>
      <c r="C536" s="275"/>
      <c r="D536" s="275"/>
      <c r="E536" s="276"/>
      <c r="F536" s="276"/>
      <c r="G536" s="277"/>
      <c r="H536" s="276"/>
      <c r="I536" s="276"/>
      <c r="J536" s="276"/>
      <c r="K536" s="276"/>
    </row>
    <row r="537">
      <c r="A537" s="275"/>
      <c r="B537" s="275"/>
      <c r="C537" s="275"/>
      <c r="D537" s="275"/>
      <c r="E537" s="276"/>
      <c r="F537" s="276"/>
      <c r="G537" s="277"/>
      <c r="H537" s="276"/>
      <c r="I537" s="276"/>
      <c r="J537" s="276"/>
      <c r="K537" s="276"/>
    </row>
    <row r="538">
      <c r="A538" s="275"/>
      <c r="B538" s="275"/>
      <c r="C538" s="275"/>
      <c r="D538" s="275"/>
      <c r="E538" s="276"/>
      <c r="F538" s="276"/>
      <c r="G538" s="277"/>
      <c r="H538" s="276"/>
      <c r="I538" s="276"/>
      <c r="J538" s="276"/>
      <c r="K538" s="276"/>
    </row>
    <row r="539">
      <c r="A539" s="275"/>
      <c r="B539" s="275"/>
      <c r="C539" s="275"/>
      <c r="D539" s="275"/>
      <c r="E539" s="276"/>
      <c r="F539" s="276"/>
      <c r="G539" s="277"/>
      <c r="H539" s="276"/>
      <c r="I539" s="276"/>
      <c r="J539" s="276"/>
      <c r="K539" s="276"/>
    </row>
    <row r="540">
      <c r="A540" s="275"/>
      <c r="B540" s="275"/>
      <c r="C540" s="275"/>
      <c r="D540" s="275"/>
      <c r="E540" s="276"/>
      <c r="F540" s="276"/>
      <c r="G540" s="277"/>
      <c r="H540" s="276"/>
      <c r="I540" s="276"/>
      <c r="J540" s="276"/>
      <c r="K540" s="276"/>
    </row>
    <row r="541">
      <c r="A541" s="275"/>
      <c r="B541" s="275"/>
      <c r="C541" s="275"/>
      <c r="D541" s="275"/>
      <c r="E541" s="276"/>
      <c r="F541" s="276"/>
      <c r="G541" s="277"/>
      <c r="H541" s="276"/>
      <c r="I541" s="276"/>
      <c r="J541" s="276"/>
      <c r="K541" s="276"/>
    </row>
    <row r="542">
      <c r="A542" s="275"/>
      <c r="B542" s="275"/>
      <c r="C542" s="275"/>
      <c r="D542" s="275"/>
      <c r="E542" s="276"/>
      <c r="F542" s="276"/>
      <c r="G542" s="277"/>
      <c r="H542" s="276"/>
      <c r="I542" s="276"/>
      <c r="J542" s="276"/>
      <c r="K542" s="276"/>
    </row>
    <row r="543">
      <c r="A543" s="275"/>
      <c r="B543" s="275"/>
      <c r="C543" s="275"/>
      <c r="D543" s="275"/>
      <c r="E543" s="276"/>
      <c r="F543" s="276"/>
      <c r="G543" s="277"/>
      <c r="H543" s="276"/>
      <c r="I543" s="276"/>
      <c r="J543" s="276"/>
      <c r="K543" s="276"/>
    </row>
    <row r="544">
      <c r="A544" s="275"/>
      <c r="B544" s="275"/>
      <c r="C544" s="275"/>
      <c r="D544" s="275"/>
      <c r="E544" s="276"/>
      <c r="F544" s="276"/>
      <c r="G544" s="277"/>
      <c r="H544" s="276"/>
      <c r="I544" s="276"/>
      <c r="J544" s="276"/>
      <c r="K544" s="276"/>
    </row>
    <row r="545">
      <c r="A545" s="275"/>
      <c r="B545" s="275"/>
      <c r="C545" s="275"/>
      <c r="D545" s="275"/>
      <c r="E545" s="276"/>
      <c r="F545" s="276"/>
      <c r="G545" s="277"/>
      <c r="H545" s="276"/>
      <c r="I545" s="276"/>
      <c r="J545" s="276"/>
      <c r="K545" s="276"/>
    </row>
    <row r="546">
      <c r="A546" s="275"/>
      <c r="B546" s="275"/>
      <c r="C546" s="275"/>
      <c r="D546" s="275"/>
      <c r="E546" s="276"/>
      <c r="F546" s="276"/>
      <c r="G546" s="277"/>
      <c r="H546" s="276"/>
      <c r="I546" s="276"/>
      <c r="J546" s="276"/>
      <c r="K546" s="276"/>
    </row>
    <row r="547">
      <c r="A547" s="275"/>
      <c r="B547" s="275"/>
      <c r="C547" s="275"/>
      <c r="D547" s="275"/>
      <c r="E547" s="276"/>
      <c r="F547" s="276"/>
      <c r="G547" s="277"/>
      <c r="H547" s="276"/>
      <c r="I547" s="276"/>
      <c r="J547" s="276"/>
      <c r="K547" s="276"/>
    </row>
    <row r="548">
      <c r="A548" s="275"/>
      <c r="B548" s="275"/>
      <c r="C548" s="275"/>
      <c r="D548" s="275"/>
      <c r="E548" s="276"/>
      <c r="F548" s="276"/>
      <c r="G548" s="277"/>
      <c r="H548" s="276"/>
      <c r="I548" s="276"/>
      <c r="J548" s="276"/>
      <c r="K548" s="276"/>
    </row>
    <row r="549">
      <c r="A549" s="275"/>
      <c r="B549" s="275"/>
      <c r="C549" s="275"/>
      <c r="D549" s="275"/>
      <c r="E549" s="276"/>
      <c r="F549" s="276"/>
      <c r="G549" s="277"/>
      <c r="H549" s="276"/>
      <c r="I549" s="276"/>
      <c r="J549" s="276"/>
      <c r="K549" s="276"/>
    </row>
    <row r="550">
      <c r="A550" s="275"/>
      <c r="B550" s="275"/>
      <c r="C550" s="275"/>
      <c r="D550" s="275"/>
      <c r="E550" s="276"/>
      <c r="F550" s="276"/>
      <c r="G550" s="277"/>
      <c r="H550" s="276"/>
      <c r="I550" s="276"/>
      <c r="J550" s="276"/>
      <c r="K550" s="276"/>
    </row>
    <row r="551">
      <c r="A551" s="275"/>
      <c r="B551" s="275"/>
      <c r="C551" s="275"/>
      <c r="D551" s="275"/>
      <c r="E551" s="276"/>
      <c r="F551" s="276"/>
      <c r="G551" s="277"/>
      <c r="H551" s="276"/>
      <c r="I551" s="276"/>
      <c r="J551" s="276"/>
      <c r="K551" s="276"/>
    </row>
    <row r="552">
      <c r="A552" s="275"/>
      <c r="B552" s="275"/>
      <c r="C552" s="275"/>
      <c r="D552" s="275"/>
      <c r="E552" s="276"/>
      <c r="F552" s="276"/>
      <c r="G552" s="277"/>
      <c r="H552" s="276"/>
      <c r="I552" s="276"/>
      <c r="J552" s="276"/>
      <c r="K552" s="276"/>
    </row>
    <row r="553">
      <c r="A553" s="275"/>
      <c r="B553" s="275"/>
      <c r="C553" s="275"/>
      <c r="D553" s="275"/>
      <c r="E553" s="276"/>
      <c r="F553" s="276"/>
      <c r="G553" s="277"/>
      <c r="H553" s="276"/>
      <c r="I553" s="276"/>
      <c r="J553" s="276"/>
      <c r="K553" s="276"/>
    </row>
    <row r="554">
      <c r="A554" s="275"/>
      <c r="B554" s="275"/>
      <c r="C554" s="275"/>
      <c r="D554" s="275"/>
      <c r="E554" s="276"/>
      <c r="F554" s="276"/>
      <c r="G554" s="277"/>
      <c r="H554" s="276"/>
      <c r="I554" s="276"/>
      <c r="J554" s="276"/>
      <c r="K554" s="276"/>
    </row>
    <row r="555">
      <c r="A555" s="275"/>
      <c r="B555" s="275"/>
      <c r="C555" s="275"/>
      <c r="D555" s="275"/>
      <c r="E555" s="276"/>
      <c r="F555" s="276"/>
      <c r="G555" s="277"/>
      <c r="H555" s="276"/>
      <c r="I555" s="276"/>
      <c r="J555" s="276"/>
      <c r="K555" s="276"/>
    </row>
    <row r="556">
      <c r="A556" s="275"/>
      <c r="B556" s="275"/>
      <c r="C556" s="275"/>
      <c r="D556" s="275"/>
      <c r="E556" s="276"/>
      <c r="F556" s="276"/>
      <c r="G556" s="277"/>
      <c r="H556" s="276"/>
      <c r="I556" s="276"/>
      <c r="J556" s="276"/>
      <c r="K556" s="276"/>
    </row>
    <row r="557">
      <c r="A557" s="275"/>
      <c r="B557" s="275"/>
      <c r="C557" s="275"/>
      <c r="D557" s="275"/>
      <c r="E557" s="276"/>
      <c r="F557" s="276"/>
      <c r="G557" s="277"/>
      <c r="H557" s="276"/>
      <c r="I557" s="276"/>
      <c r="J557" s="276"/>
      <c r="K557" s="276"/>
    </row>
    <row r="558">
      <c r="A558" s="275"/>
      <c r="B558" s="275"/>
      <c r="C558" s="275"/>
      <c r="D558" s="275"/>
      <c r="E558" s="276"/>
      <c r="F558" s="276"/>
      <c r="G558" s="277"/>
      <c r="H558" s="276"/>
      <c r="I558" s="276"/>
      <c r="J558" s="276"/>
      <c r="K558" s="276"/>
    </row>
    <row r="559">
      <c r="A559" s="275"/>
      <c r="B559" s="275"/>
      <c r="C559" s="275"/>
      <c r="D559" s="275"/>
      <c r="E559" s="276"/>
      <c r="F559" s="276"/>
      <c r="G559" s="277"/>
      <c r="H559" s="276"/>
      <c r="I559" s="276"/>
      <c r="J559" s="276"/>
      <c r="K559" s="276"/>
    </row>
    <row r="560">
      <c r="A560" s="275"/>
      <c r="B560" s="275"/>
      <c r="C560" s="275"/>
      <c r="D560" s="275"/>
      <c r="E560" s="276"/>
      <c r="F560" s="276"/>
      <c r="G560" s="277"/>
      <c r="H560" s="276"/>
      <c r="I560" s="276"/>
      <c r="J560" s="276"/>
      <c r="K560" s="276"/>
    </row>
    <row r="561">
      <c r="A561" s="275"/>
      <c r="B561" s="275"/>
      <c r="C561" s="275"/>
      <c r="D561" s="275"/>
      <c r="E561" s="276"/>
      <c r="F561" s="276"/>
      <c r="G561" s="277"/>
      <c r="H561" s="276"/>
      <c r="I561" s="276"/>
      <c r="J561" s="276"/>
      <c r="K561" s="276"/>
    </row>
    <row r="562">
      <c r="A562" s="275"/>
      <c r="B562" s="275"/>
      <c r="C562" s="275"/>
      <c r="D562" s="275"/>
      <c r="E562" s="276"/>
      <c r="F562" s="276"/>
      <c r="G562" s="277"/>
      <c r="H562" s="276"/>
      <c r="I562" s="276"/>
      <c r="J562" s="276"/>
      <c r="K562" s="276"/>
    </row>
    <row r="563">
      <c r="A563" s="275"/>
      <c r="B563" s="275"/>
      <c r="C563" s="275"/>
      <c r="D563" s="275"/>
      <c r="E563" s="276"/>
      <c r="F563" s="276"/>
      <c r="G563" s="277"/>
      <c r="H563" s="276"/>
      <c r="I563" s="276"/>
      <c r="J563" s="276"/>
      <c r="K563" s="276"/>
    </row>
    <row r="564">
      <c r="A564" s="275"/>
      <c r="B564" s="275"/>
      <c r="C564" s="275"/>
      <c r="D564" s="275"/>
      <c r="E564" s="276"/>
      <c r="F564" s="276"/>
      <c r="G564" s="277"/>
      <c r="H564" s="276"/>
      <c r="I564" s="276"/>
      <c r="J564" s="276"/>
      <c r="K564" s="276"/>
    </row>
    <row r="565">
      <c r="A565" s="275"/>
      <c r="B565" s="275"/>
      <c r="C565" s="275"/>
      <c r="D565" s="275"/>
      <c r="E565" s="276"/>
      <c r="F565" s="276"/>
      <c r="G565" s="277"/>
      <c r="H565" s="276"/>
      <c r="I565" s="276"/>
      <c r="J565" s="276"/>
      <c r="K565" s="276"/>
    </row>
    <row r="566">
      <c r="A566" s="275"/>
      <c r="B566" s="275"/>
      <c r="C566" s="275"/>
      <c r="D566" s="275"/>
      <c r="E566" s="276"/>
      <c r="F566" s="276"/>
      <c r="G566" s="277"/>
      <c r="H566" s="276"/>
      <c r="I566" s="276"/>
      <c r="J566" s="276"/>
      <c r="K566" s="276"/>
    </row>
    <row r="567">
      <c r="A567" s="275"/>
      <c r="B567" s="275"/>
      <c r="C567" s="275"/>
      <c r="D567" s="275"/>
      <c r="E567" s="276"/>
      <c r="F567" s="276"/>
      <c r="G567" s="277"/>
      <c r="H567" s="276"/>
      <c r="I567" s="276"/>
      <c r="J567" s="276"/>
      <c r="K567" s="276"/>
    </row>
    <row r="568">
      <c r="A568" s="275"/>
      <c r="B568" s="275"/>
      <c r="C568" s="275"/>
      <c r="D568" s="275"/>
      <c r="E568" s="276"/>
      <c r="F568" s="276"/>
      <c r="G568" s="277"/>
      <c r="H568" s="276"/>
      <c r="I568" s="276"/>
      <c r="J568" s="276"/>
      <c r="K568" s="276"/>
    </row>
    <row r="569">
      <c r="A569" s="275"/>
      <c r="B569" s="275"/>
      <c r="C569" s="275"/>
      <c r="D569" s="275"/>
      <c r="E569" s="276"/>
      <c r="F569" s="276"/>
      <c r="G569" s="277"/>
      <c r="H569" s="276"/>
      <c r="I569" s="276"/>
      <c r="J569" s="276"/>
      <c r="K569" s="276"/>
    </row>
    <row r="570">
      <c r="A570" s="275"/>
      <c r="B570" s="275"/>
      <c r="C570" s="275"/>
      <c r="D570" s="275"/>
      <c r="E570" s="276"/>
      <c r="F570" s="276"/>
      <c r="G570" s="277"/>
      <c r="H570" s="276"/>
      <c r="I570" s="276"/>
      <c r="J570" s="276"/>
      <c r="K570" s="276"/>
    </row>
    <row r="571">
      <c r="A571" s="275"/>
      <c r="B571" s="275"/>
      <c r="C571" s="275"/>
      <c r="D571" s="275"/>
      <c r="E571" s="276"/>
      <c r="F571" s="276"/>
      <c r="G571" s="277"/>
      <c r="H571" s="276"/>
      <c r="I571" s="276"/>
      <c r="J571" s="276"/>
      <c r="K571" s="276"/>
    </row>
    <row r="572">
      <c r="A572" s="275"/>
      <c r="B572" s="275"/>
      <c r="C572" s="275"/>
      <c r="D572" s="275"/>
      <c r="E572" s="276"/>
      <c r="F572" s="276"/>
      <c r="G572" s="277"/>
      <c r="H572" s="276"/>
      <c r="I572" s="276"/>
      <c r="J572" s="276"/>
      <c r="K572" s="276"/>
    </row>
    <row r="573">
      <c r="A573" s="275"/>
      <c r="B573" s="275"/>
      <c r="C573" s="275"/>
      <c r="D573" s="275"/>
      <c r="E573" s="276"/>
      <c r="F573" s="276"/>
      <c r="G573" s="277"/>
      <c r="H573" s="276"/>
      <c r="I573" s="276"/>
      <c r="J573" s="276"/>
      <c r="K573" s="276"/>
    </row>
    <row r="574">
      <c r="A574" s="275"/>
      <c r="B574" s="275"/>
      <c r="C574" s="275"/>
      <c r="D574" s="275"/>
      <c r="E574" s="276"/>
      <c r="F574" s="276"/>
      <c r="G574" s="277"/>
      <c r="H574" s="276"/>
      <c r="I574" s="276"/>
      <c r="J574" s="276"/>
      <c r="K574" s="276"/>
    </row>
    <row r="575">
      <c r="A575" s="275"/>
      <c r="B575" s="275"/>
      <c r="C575" s="275"/>
      <c r="D575" s="275"/>
      <c r="E575" s="276"/>
      <c r="F575" s="276"/>
      <c r="G575" s="277"/>
      <c r="H575" s="276"/>
      <c r="I575" s="276"/>
      <c r="J575" s="276"/>
      <c r="K575" s="276"/>
    </row>
    <row r="576">
      <c r="A576" s="275"/>
      <c r="B576" s="275"/>
      <c r="C576" s="275"/>
      <c r="D576" s="275"/>
      <c r="E576" s="276"/>
      <c r="F576" s="276"/>
      <c r="G576" s="277"/>
      <c r="H576" s="276"/>
      <c r="I576" s="276"/>
      <c r="J576" s="276"/>
      <c r="K576" s="276"/>
    </row>
    <row r="577">
      <c r="A577" s="275"/>
      <c r="B577" s="275"/>
      <c r="C577" s="275"/>
      <c r="D577" s="275"/>
      <c r="E577" s="276"/>
      <c r="F577" s="276"/>
      <c r="G577" s="277"/>
      <c r="H577" s="276"/>
      <c r="I577" s="276"/>
      <c r="J577" s="276"/>
      <c r="K577" s="276"/>
    </row>
    <row r="578">
      <c r="A578" s="275"/>
      <c r="B578" s="275"/>
      <c r="C578" s="275"/>
      <c r="D578" s="275"/>
      <c r="E578" s="276"/>
      <c r="F578" s="276"/>
      <c r="G578" s="277"/>
      <c r="H578" s="276"/>
      <c r="I578" s="276"/>
      <c r="J578" s="276"/>
      <c r="K578" s="276"/>
    </row>
    <row r="579">
      <c r="A579" s="275"/>
      <c r="B579" s="275"/>
      <c r="C579" s="275"/>
      <c r="D579" s="275"/>
      <c r="E579" s="276"/>
      <c r="F579" s="276"/>
      <c r="G579" s="277"/>
      <c r="H579" s="276"/>
      <c r="I579" s="276"/>
      <c r="J579" s="276"/>
      <c r="K579" s="276"/>
    </row>
    <row r="580">
      <c r="A580" s="275"/>
      <c r="B580" s="275"/>
      <c r="C580" s="275"/>
      <c r="D580" s="275"/>
      <c r="E580" s="276"/>
      <c r="F580" s="276"/>
      <c r="G580" s="277"/>
      <c r="H580" s="276"/>
      <c r="I580" s="276"/>
      <c r="J580" s="276"/>
      <c r="K580" s="276"/>
    </row>
    <row r="581">
      <c r="A581" s="275"/>
      <c r="B581" s="275"/>
      <c r="C581" s="275"/>
      <c r="D581" s="275"/>
      <c r="E581" s="276"/>
      <c r="F581" s="276"/>
      <c r="G581" s="277"/>
      <c r="H581" s="276"/>
      <c r="I581" s="276"/>
      <c r="J581" s="276"/>
      <c r="K581" s="276"/>
    </row>
    <row r="582">
      <c r="A582" s="275"/>
      <c r="B582" s="275"/>
      <c r="C582" s="275"/>
      <c r="D582" s="275"/>
      <c r="E582" s="276"/>
      <c r="F582" s="276"/>
      <c r="G582" s="277"/>
      <c r="H582" s="276"/>
      <c r="I582" s="276"/>
      <c r="J582" s="276"/>
      <c r="K582" s="276"/>
    </row>
    <row r="583">
      <c r="A583" s="275"/>
      <c r="B583" s="275"/>
      <c r="C583" s="275"/>
      <c r="D583" s="275"/>
      <c r="E583" s="276"/>
      <c r="F583" s="276"/>
      <c r="G583" s="277"/>
      <c r="H583" s="276"/>
      <c r="I583" s="276"/>
      <c r="J583" s="276"/>
      <c r="K583" s="276"/>
    </row>
    <row r="584">
      <c r="A584" s="275"/>
      <c r="B584" s="275"/>
      <c r="C584" s="275"/>
      <c r="D584" s="275"/>
      <c r="E584" s="276"/>
      <c r="F584" s="276"/>
      <c r="G584" s="277"/>
      <c r="H584" s="276"/>
      <c r="I584" s="276"/>
      <c r="J584" s="276"/>
      <c r="K584" s="276"/>
    </row>
    <row r="585">
      <c r="A585" s="275"/>
      <c r="B585" s="275"/>
      <c r="C585" s="275"/>
      <c r="D585" s="275"/>
      <c r="E585" s="276"/>
      <c r="F585" s="276"/>
      <c r="G585" s="277"/>
      <c r="H585" s="276"/>
      <c r="I585" s="276"/>
      <c r="J585" s="276"/>
      <c r="K585" s="276"/>
    </row>
    <row r="586">
      <c r="A586" s="275"/>
      <c r="B586" s="275"/>
      <c r="C586" s="275"/>
      <c r="D586" s="275"/>
      <c r="E586" s="276"/>
      <c r="F586" s="276"/>
      <c r="G586" s="277"/>
      <c r="H586" s="276"/>
      <c r="I586" s="276"/>
      <c r="J586" s="276"/>
      <c r="K586" s="276"/>
    </row>
    <row r="587">
      <c r="A587" s="275"/>
      <c r="B587" s="275"/>
      <c r="C587" s="275"/>
      <c r="D587" s="275"/>
      <c r="E587" s="276"/>
      <c r="F587" s="276"/>
      <c r="G587" s="277"/>
      <c r="H587" s="276"/>
      <c r="I587" s="276"/>
      <c r="J587" s="276"/>
      <c r="K587" s="276"/>
    </row>
    <row r="588">
      <c r="A588" s="275"/>
      <c r="B588" s="275"/>
      <c r="C588" s="275"/>
      <c r="D588" s="275"/>
      <c r="E588" s="276"/>
      <c r="F588" s="276"/>
      <c r="G588" s="277"/>
      <c r="H588" s="276"/>
      <c r="I588" s="276"/>
      <c r="J588" s="276"/>
      <c r="K588" s="276"/>
    </row>
    <row r="589">
      <c r="A589" s="275"/>
      <c r="B589" s="275"/>
      <c r="C589" s="275"/>
      <c r="D589" s="275"/>
      <c r="E589" s="276"/>
      <c r="F589" s="276"/>
      <c r="G589" s="277"/>
      <c r="H589" s="276"/>
      <c r="I589" s="276"/>
      <c r="J589" s="276"/>
      <c r="K589" s="276"/>
    </row>
    <row r="590">
      <c r="A590" s="275"/>
      <c r="B590" s="275"/>
      <c r="C590" s="275"/>
      <c r="D590" s="275"/>
      <c r="E590" s="276"/>
      <c r="F590" s="276"/>
      <c r="G590" s="277"/>
      <c r="H590" s="276"/>
      <c r="I590" s="276"/>
      <c r="J590" s="276"/>
      <c r="K590" s="276"/>
    </row>
    <row r="591">
      <c r="A591" s="275"/>
      <c r="B591" s="275"/>
      <c r="C591" s="275"/>
      <c r="D591" s="275"/>
      <c r="E591" s="276"/>
      <c r="F591" s="276"/>
      <c r="G591" s="277"/>
      <c r="H591" s="276"/>
      <c r="I591" s="276"/>
      <c r="J591" s="276"/>
      <c r="K591" s="276"/>
    </row>
    <row r="592">
      <c r="A592" s="275"/>
      <c r="B592" s="275"/>
      <c r="C592" s="275"/>
      <c r="D592" s="275"/>
      <c r="E592" s="276"/>
      <c r="F592" s="276"/>
      <c r="G592" s="277"/>
      <c r="H592" s="276"/>
      <c r="I592" s="276"/>
      <c r="J592" s="276"/>
      <c r="K592" s="276"/>
    </row>
    <row r="593">
      <c r="A593" s="275"/>
      <c r="B593" s="275"/>
      <c r="C593" s="275"/>
      <c r="D593" s="275"/>
      <c r="E593" s="276"/>
      <c r="F593" s="276"/>
      <c r="G593" s="277"/>
      <c r="H593" s="276"/>
      <c r="I593" s="276"/>
      <c r="J593" s="276"/>
      <c r="K593" s="276"/>
    </row>
    <row r="594">
      <c r="A594" s="275"/>
      <c r="B594" s="275"/>
      <c r="C594" s="275"/>
      <c r="D594" s="275"/>
      <c r="E594" s="276"/>
      <c r="F594" s="276"/>
      <c r="G594" s="277"/>
      <c r="H594" s="276"/>
      <c r="I594" s="276"/>
      <c r="J594" s="276"/>
      <c r="K594" s="276"/>
    </row>
    <row r="595">
      <c r="A595" s="275"/>
      <c r="B595" s="275"/>
      <c r="C595" s="275"/>
      <c r="D595" s="275"/>
      <c r="E595" s="276"/>
      <c r="F595" s="276"/>
      <c r="G595" s="277"/>
      <c r="H595" s="276"/>
      <c r="I595" s="276"/>
      <c r="J595" s="276"/>
      <c r="K595" s="276"/>
    </row>
    <row r="596">
      <c r="A596" s="275"/>
      <c r="B596" s="275"/>
      <c r="C596" s="275"/>
      <c r="D596" s="275"/>
      <c r="E596" s="276"/>
      <c r="F596" s="276"/>
      <c r="G596" s="277"/>
      <c r="H596" s="276"/>
      <c r="I596" s="276"/>
      <c r="J596" s="276"/>
      <c r="K596" s="276"/>
    </row>
    <row r="597">
      <c r="A597" s="275"/>
      <c r="B597" s="275"/>
      <c r="C597" s="275"/>
      <c r="D597" s="275"/>
      <c r="E597" s="276"/>
      <c r="F597" s="276"/>
      <c r="G597" s="277"/>
      <c r="H597" s="276"/>
      <c r="I597" s="276"/>
      <c r="J597" s="276"/>
      <c r="K597" s="276"/>
    </row>
    <row r="598">
      <c r="A598" s="275"/>
      <c r="B598" s="275"/>
      <c r="C598" s="275"/>
      <c r="D598" s="275"/>
      <c r="E598" s="276"/>
      <c r="F598" s="276"/>
      <c r="G598" s="277"/>
      <c r="H598" s="276"/>
      <c r="I598" s="276"/>
      <c r="J598" s="276"/>
      <c r="K598" s="276"/>
    </row>
    <row r="599">
      <c r="A599" s="275"/>
      <c r="B599" s="275"/>
      <c r="C599" s="275"/>
      <c r="D599" s="275"/>
      <c r="E599" s="276"/>
      <c r="F599" s="276"/>
      <c r="G599" s="277"/>
      <c r="H599" s="276"/>
      <c r="I599" s="276"/>
      <c r="J599" s="276"/>
      <c r="K599" s="276"/>
    </row>
    <row r="600">
      <c r="A600" s="275"/>
      <c r="B600" s="275"/>
      <c r="C600" s="275"/>
      <c r="D600" s="275"/>
      <c r="E600" s="276"/>
      <c r="F600" s="276"/>
      <c r="G600" s="277"/>
      <c r="H600" s="276"/>
      <c r="I600" s="276"/>
      <c r="J600" s="276"/>
      <c r="K600" s="276"/>
    </row>
    <row r="601">
      <c r="A601" s="275"/>
      <c r="B601" s="275"/>
      <c r="C601" s="275"/>
      <c r="D601" s="275"/>
      <c r="E601" s="276"/>
      <c r="F601" s="276"/>
      <c r="G601" s="277"/>
      <c r="H601" s="276"/>
      <c r="I601" s="276"/>
      <c r="J601" s="276"/>
      <c r="K601" s="276"/>
    </row>
    <row r="602">
      <c r="A602" s="275"/>
      <c r="B602" s="275"/>
      <c r="C602" s="275"/>
      <c r="D602" s="275"/>
      <c r="E602" s="276"/>
      <c r="F602" s="276"/>
      <c r="G602" s="277"/>
      <c r="H602" s="276"/>
      <c r="I602" s="276"/>
      <c r="J602" s="276"/>
      <c r="K602" s="276"/>
    </row>
    <row r="603">
      <c r="A603" s="275"/>
      <c r="B603" s="275"/>
      <c r="C603" s="275"/>
      <c r="D603" s="275"/>
      <c r="E603" s="276"/>
      <c r="F603" s="276"/>
      <c r="G603" s="277"/>
      <c r="H603" s="276"/>
      <c r="I603" s="276"/>
      <c r="J603" s="276"/>
      <c r="K603" s="276"/>
    </row>
    <row r="604">
      <c r="A604" s="275"/>
      <c r="B604" s="275"/>
      <c r="C604" s="275"/>
      <c r="D604" s="275"/>
      <c r="E604" s="276"/>
      <c r="F604" s="276"/>
      <c r="G604" s="277"/>
      <c r="H604" s="276"/>
      <c r="I604" s="276"/>
      <c r="J604" s="276"/>
      <c r="K604" s="276"/>
    </row>
    <row r="605">
      <c r="A605" s="275"/>
      <c r="B605" s="275"/>
      <c r="C605" s="275"/>
      <c r="D605" s="275"/>
      <c r="E605" s="276"/>
      <c r="F605" s="276"/>
      <c r="G605" s="277"/>
      <c r="H605" s="276"/>
      <c r="I605" s="276"/>
      <c r="J605" s="276"/>
      <c r="K605" s="276"/>
    </row>
    <row r="606">
      <c r="A606" s="275"/>
      <c r="B606" s="275"/>
      <c r="C606" s="275"/>
      <c r="D606" s="275"/>
      <c r="E606" s="276"/>
      <c r="F606" s="276"/>
      <c r="G606" s="277"/>
      <c r="H606" s="276"/>
      <c r="I606" s="276"/>
      <c r="J606" s="276"/>
      <c r="K606" s="276"/>
    </row>
    <row r="607">
      <c r="A607" s="275"/>
      <c r="B607" s="275"/>
      <c r="C607" s="275"/>
      <c r="D607" s="275"/>
      <c r="E607" s="276"/>
      <c r="F607" s="276"/>
      <c r="G607" s="277"/>
      <c r="H607" s="276"/>
      <c r="I607" s="276"/>
      <c r="J607" s="276"/>
      <c r="K607" s="276"/>
    </row>
    <row r="608">
      <c r="A608" s="275"/>
      <c r="B608" s="275"/>
      <c r="C608" s="275"/>
      <c r="D608" s="275"/>
      <c r="E608" s="276"/>
      <c r="F608" s="276"/>
      <c r="G608" s="277"/>
      <c r="H608" s="276"/>
      <c r="I608" s="276"/>
      <c r="J608" s="276"/>
      <c r="K608" s="276"/>
    </row>
    <row r="609">
      <c r="A609" s="275"/>
      <c r="B609" s="275"/>
      <c r="C609" s="275"/>
      <c r="D609" s="275"/>
      <c r="E609" s="276"/>
      <c r="F609" s="276"/>
      <c r="G609" s="277"/>
      <c r="H609" s="276"/>
      <c r="I609" s="276"/>
      <c r="J609" s="276"/>
      <c r="K609" s="276"/>
    </row>
    <row r="610">
      <c r="A610" s="275"/>
      <c r="B610" s="275"/>
      <c r="C610" s="275"/>
      <c r="D610" s="275"/>
      <c r="E610" s="276"/>
      <c r="F610" s="276"/>
      <c r="G610" s="277"/>
      <c r="H610" s="276"/>
      <c r="I610" s="276"/>
      <c r="J610" s="276"/>
      <c r="K610" s="276"/>
    </row>
    <row r="611">
      <c r="A611" s="275"/>
      <c r="B611" s="275"/>
      <c r="C611" s="275"/>
      <c r="D611" s="275"/>
      <c r="E611" s="276"/>
      <c r="F611" s="276"/>
      <c r="G611" s="277"/>
      <c r="H611" s="276"/>
      <c r="I611" s="276"/>
      <c r="J611" s="276"/>
      <c r="K611" s="276"/>
    </row>
    <row r="612">
      <c r="A612" s="275"/>
      <c r="B612" s="275"/>
      <c r="C612" s="275"/>
      <c r="D612" s="275"/>
      <c r="E612" s="276"/>
      <c r="F612" s="276"/>
      <c r="G612" s="277"/>
      <c r="H612" s="276"/>
      <c r="I612" s="276"/>
      <c r="J612" s="276"/>
      <c r="K612" s="276"/>
    </row>
    <row r="613">
      <c r="A613" s="275"/>
      <c r="B613" s="275"/>
      <c r="C613" s="275"/>
      <c r="D613" s="275"/>
      <c r="E613" s="276"/>
      <c r="F613" s="276"/>
      <c r="G613" s="277"/>
      <c r="H613" s="276"/>
      <c r="I613" s="276"/>
      <c r="J613" s="276"/>
      <c r="K613" s="276"/>
    </row>
    <row r="614">
      <c r="A614" s="275"/>
      <c r="B614" s="275"/>
      <c r="C614" s="275"/>
      <c r="D614" s="275"/>
      <c r="E614" s="276"/>
      <c r="F614" s="276"/>
      <c r="G614" s="277"/>
      <c r="H614" s="276"/>
      <c r="I614" s="276"/>
      <c r="J614" s="276"/>
      <c r="K614" s="276"/>
    </row>
    <row r="615">
      <c r="A615" s="275"/>
      <c r="B615" s="275"/>
      <c r="C615" s="275"/>
      <c r="D615" s="275"/>
      <c r="E615" s="276"/>
      <c r="F615" s="276"/>
      <c r="G615" s="277"/>
      <c r="H615" s="276"/>
      <c r="I615" s="276"/>
      <c r="J615" s="276"/>
      <c r="K615" s="276"/>
    </row>
    <row r="616">
      <c r="A616" s="275"/>
      <c r="B616" s="275"/>
      <c r="C616" s="275"/>
      <c r="D616" s="275"/>
      <c r="E616" s="276"/>
      <c r="F616" s="276"/>
      <c r="G616" s="277"/>
      <c r="H616" s="276"/>
      <c r="I616" s="276"/>
      <c r="J616" s="276"/>
      <c r="K616" s="276"/>
    </row>
    <row r="617">
      <c r="A617" s="275"/>
      <c r="B617" s="275"/>
      <c r="C617" s="275"/>
      <c r="D617" s="275"/>
      <c r="E617" s="276"/>
      <c r="F617" s="276"/>
      <c r="G617" s="277"/>
      <c r="H617" s="276"/>
      <c r="I617" s="276"/>
      <c r="J617" s="276"/>
      <c r="K617" s="276"/>
    </row>
    <row r="618">
      <c r="A618" s="275"/>
      <c r="B618" s="275"/>
      <c r="C618" s="275"/>
      <c r="D618" s="275"/>
      <c r="E618" s="276"/>
      <c r="F618" s="276"/>
      <c r="G618" s="277"/>
      <c r="H618" s="276"/>
      <c r="I618" s="276"/>
      <c r="J618" s="276"/>
      <c r="K618" s="276"/>
    </row>
    <row r="619">
      <c r="A619" s="275"/>
      <c r="B619" s="275"/>
      <c r="C619" s="275"/>
      <c r="D619" s="275"/>
      <c r="E619" s="276"/>
      <c r="F619" s="276"/>
      <c r="G619" s="277"/>
      <c r="H619" s="276"/>
      <c r="I619" s="276"/>
      <c r="J619" s="276"/>
      <c r="K619" s="276"/>
    </row>
    <row r="620">
      <c r="A620" s="275"/>
      <c r="B620" s="275"/>
      <c r="C620" s="275"/>
      <c r="D620" s="275"/>
      <c r="E620" s="276"/>
      <c r="F620" s="276"/>
      <c r="G620" s="277"/>
      <c r="H620" s="276"/>
      <c r="I620" s="276"/>
      <c r="J620" s="276"/>
      <c r="K620" s="276"/>
    </row>
    <row r="621">
      <c r="A621" s="275"/>
      <c r="B621" s="275"/>
      <c r="C621" s="275"/>
      <c r="D621" s="275"/>
      <c r="E621" s="276"/>
      <c r="F621" s="276"/>
      <c r="G621" s="277"/>
      <c r="H621" s="276"/>
      <c r="I621" s="276"/>
      <c r="J621" s="276"/>
      <c r="K621" s="276"/>
    </row>
    <row r="622">
      <c r="A622" s="275"/>
      <c r="B622" s="275"/>
      <c r="C622" s="275"/>
      <c r="D622" s="275"/>
      <c r="E622" s="276"/>
      <c r="F622" s="276"/>
      <c r="G622" s="277"/>
      <c r="H622" s="276"/>
      <c r="I622" s="276"/>
      <c r="J622" s="276"/>
      <c r="K622" s="276"/>
    </row>
    <row r="623">
      <c r="A623" s="275"/>
      <c r="B623" s="275"/>
      <c r="C623" s="275"/>
      <c r="D623" s="275"/>
      <c r="E623" s="276"/>
      <c r="F623" s="276"/>
      <c r="G623" s="277"/>
      <c r="H623" s="276"/>
      <c r="I623" s="276"/>
      <c r="J623" s="276"/>
      <c r="K623" s="276"/>
    </row>
    <row r="624">
      <c r="A624" s="275"/>
      <c r="B624" s="275"/>
      <c r="C624" s="275"/>
      <c r="D624" s="275"/>
      <c r="E624" s="276"/>
      <c r="F624" s="276"/>
      <c r="G624" s="277"/>
      <c r="H624" s="276"/>
      <c r="I624" s="276"/>
      <c r="J624" s="276"/>
      <c r="K624" s="276"/>
    </row>
    <row r="625">
      <c r="A625" s="275"/>
      <c r="B625" s="275"/>
      <c r="C625" s="275"/>
      <c r="D625" s="275"/>
      <c r="E625" s="276"/>
      <c r="F625" s="276"/>
      <c r="G625" s="277"/>
      <c r="H625" s="276"/>
      <c r="I625" s="276"/>
      <c r="J625" s="276"/>
      <c r="K625" s="276"/>
    </row>
    <row r="626">
      <c r="A626" s="275"/>
      <c r="B626" s="275"/>
      <c r="C626" s="275"/>
      <c r="D626" s="275"/>
      <c r="E626" s="276"/>
      <c r="F626" s="276"/>
      <c r="G626" s="277"/>
      <c r="H626" s="276"/>
      <c r="I626" s="276"/>
      <c r="J626" s="276"/>
      <c r="K626" s="276"/>
    </row>
    <row r="627">
      <c r="A627" s="275"/>
      <c r="B627" s="275"/>
      <c r="C627" s="275"/>
      <c r="D627" s="275"/>
      <c r="E627" s="276"/>
      <c r="F627" s="276"/>
      <c r="G627" s="277"/>
      <c r="H627" s="276"/>
      <c r="I627" s="276"/>
      <c r="J627" s="276"/>
      <c r="K627" s="276"/>
    </row>
    <row r="628">
      <c r="A628" s="275"/>
      <c r="B628" s="275"/>
      <c r="C628" s="275"/>
      <c r="D628" s="275"/>
      <c r="E628" s="276"/>
      <c r="F628" s="276"/>
      <c r="G628" s="277"/>
      <c r="H628" s="276"/>
      <c r="I628" s="276"/>
      <c r="J628" s="276"/>
      <c r="K628" s="276"/>
    </row>
    <row r="629">
      <c r="A629" s="275"/>
      <c r="B629" s="275"/>
      <c r="C629" s="275"/>
      <c r="D629" s="275"/>
      <c r="E629" s="276"/>
      <c r="F629" s="276"/>
      <c r="G629" s="277"/>
      <c r="H629" s="276"/>
      <c r="I629" s="276"/>
      <c r="J629" s="276"/>
      <c r="K629" s="276"/>
    </row>
    <row r="630">
      <c r="A630" s="275"/>
      <c r="B630" s="275"/>
      <c r="C630" s="275"/>
      <c r="D630" s="275"/>
      <c r="E630" s="276"/>
      <c r="F630" s="276"/>
      <c r="G630" s="277"/>
      <c r="H630" s="276"/>
      <c r="I630" s="276"/>
      <c r="J630" s="276"/>
      <c r="K630" s="276"/>
    </row>
    <row r="631">
      <c r="A631" s="275"/>
      <c r="B631" s="275"/>
      <c r="C631" s="275"/>
      <c r="D631" s="275"/>
      <c r="E631" s="276"/>
      <c r="F631" s="276"/>
      <c r="G631" s="277"/>
      <c r="H631" s="276"/>
      <c r="I631" s="276"/>
      <c r="J631" s="276"/>
      <c r="K631" s="276"/>
    </row>
    <row r="632">
      <c r="A632" s="275"/>
      <c r="B632" s="275"/>
      <c r="C632" s="275"/>
      <c r="D632" s="275"/>
      <c r="E632" s="276"/>
      <c r="F632" s="276"/>
      <c r="G632" s="277"/>
      <c r="H632" s="276"/>
      <c r="I632" s="276"/>
      <c r="J632" s="276"/>
      <c r="K632" s="276"/>
    </row>
    <row r="633">
      <c r="A633" s="275"/>
      <c r="B633" s="275"/>
      <c r="C633" s="275"/>
      <c r="D633" s="275"/>
      <c r="E633" s="276"/>
      <c r="F633" s="276"/>
      <c r="G633" s="277"/>
      <c r="H633" s="276"/>
      <c r="I633" s="276"/>
      <c r="J633" s="276"/>
      <c r="K633" s="276"/>
    </row>
    <row r="634">
      <c r="A634" s="275"/>
      <c r="B634" s="275"/>
      <c r="C634" s="275"/>
      <c r="D634" s="275"/>
      <c r="E634" s="276"/>
      <c r="F634" s="276"/>
      <c r="G634" s="277"/>
      <c r="H634" s="276"/>
      <c r="I634" s="276"/>
      <c r="J634" s="276"/>
      <c r="K634" s="276"/>
    </row>
    <row r="635">
      <c r="A635" s="275"/>
      <c r="B635" s="275"/>
      <c r="C635" s="275"/>
      <c r="D635" s="275"/>
      <c r="E635" s="276"/>
      <c r="F635" s="276"/>
      <c r="G635" s="277"/>
      <c r="H635" s="276"/>
      <c r="I635" s="276"/>
      <c r="J635" s="276"/>
      <c r="K635" s="276"/>
    </row>
    <row r="636">
      <c r="A636" s="275"/>
      <c r="B636" s="275"/>
      <c r="C636" s="275"/>
      <c r="D636" s="275"/>
      <c r="E636" s="276"/>
      <c r="F636" s="276"/>
      <c r="G636" s="277"/>
      <c r="H636" s="276"/>
      <c r="I636" s="276"/>
      <c r="J636" s="276"/>
      <c r="K636" s="276"/>
    </row>
    <row r="637">
      <c r="A637" s="275"/>
      <c r="B637" s="275"/>
      <c r="C637" s="275"/>
      <c r="D637" s="275"/>
      <c r="E637" s="276"/>
      <c r="F637" s="276"/>
      <c r="G637" s="277"/>
      <c r="H637" s="276"/>
      <c r="I637" s="276"/>
      <c r="J637" s="276"/>
      <c r="K637" s="276"/>
    </row>
    <row r="638">
      <c r="A638" s="275"/>
      <c r="B638" s="275"/>
      <c r="C638" s="275"/>
      <c r="D638" s="275"/>
      <c r="E638" s="276"/>
      <c r="F638" s="276"/>
      <c r="G638" s="277"/>
      <c r="H638" s="276"/>
      <c r="I638" s="276"/>
      <c r="J638" s="276"/>
      <c r="K638" s="276"/>
    </row>
    <row r="639">
      <c r="A639" s="275"/>
      <c r="B639" s="275"/>
      <c r="C639" s="275"/>
      <c r="D639" s="275"/>
      <c r="E639" s="276"/>
      <c r="F639" s="276"/>
      <c r="G639" s="277"/>
      <c r="H639" s="276"/>
      <c r="I639" s="276"/>
      <c r="J639" s="276"/>
      <c r="K639" s="276"/>
    </row>
    <row r="640">
      <c r="A640" s="275"/>
      <c r="B640" s="275"/>
      <c r="C640" s="275"/>
      <c r="D640" s="275"/>
      <c r="E640" s="276"/>
      <c r="F640" s="276"/>
      <c r="G640" s="277"/>
      <c r="H640" s="276"/>
      <c r="I640" s="276"/>
      <c r="J640" s="276"/>
      <c r="K640" s="276"/>
    </row>
    <row r="641">
      <c r="A641" s="275"/>
      <c r="B641" s="275"/>
      <c r="C641" s="275"/>
      <c r="D641" s="275"/>
      <c r="E641" s="276"/>
      <c r="F641" s="276"/>
      <c r="G641" s="277"/>
      <c r="H641" s="276"/>
      <c r="I641" s="276"/>
      <c r="J641" s="276"/>
      <c r="K641" s="276"/>
    </row>
    <row r="642">
      <c r="A642" s="275"/>
      <c r="B642" s="275"/>
      <c r="C642" s="275"/>
      <c r="D642" s="275"/>
      <c r="E642" s="276"/>
      <c r="F642" s="276"/>
      <c r="G642" s="277"/>
      <c r="H642" s="276"/>
      <c r="I642" s="276"/>
      <c r="J642" s="276"/>
      <c r="K642" s="276"/>
    </row>
    <row r="643">
      <c r="A643" s="275"/>
      <c r="B643" s="275"/>
      <c r="C643" s="275"/>
      <c r="D643" s="275"/>
      <c r="E643" s="276"/>
      <c r="F643" s="276"/>
      <c r="G643" s="277"/>
      <c r="H643" s="276"/>
      <c r="I643" s="276"/>
      <c r="J643" s="276"/>
      <c r="K643" s="276"/>
    </row>
    <row r="644">
      <c r="A644" s="275"/>
      <c r="B644" s="275"/>
      <c r="C644" s="275"/>
      <c r="D644" s="275"/>
      <c r="E644" s="276"/>
      <c r="F644" s="276"/>
      <c r="G644" s="277"/>
      <c r="H644" s="276"/>
      <c r="I644" s="276"/>
      <c r="J644" s="276"/>
      <c r="K644" s="276"/>
    </row>
    <row r="645">
      <c r="A645" s="275"/>
      <c r="B645" s="275"/>
      <c r="C645" s="275"/>
      <c r="D645" s="275"/>
      <c r="E645" s="276"/>
      <c r="F645" s="276"/>
      <c r="G645" s="277"/>
      <c r="H645" s="276"/>
      <c r="I645" s="276"/>
      <c r="J645" s="276"/>
      <c r="K645" s="276"/>
    </row>
    <row r="646">
      <c r="A646" s="275"/>
      <c r="B646" s="275"/>
      <c r="C646" s="275"/>
      <c r="D646" s="275"/>
      <c r="E646" s="276"/>
      <c r="F646" s="276"/>
      <c r="G646" s="277"/>
      <c r="H646" s="276"/>
      <c r="I646" s="276"/>
      <c r="J646" s="276"/>
      <c r="K646" s="276"/>
    </row>
    <row r="647">
      <c r="A647" s="275"/>
      <c r="B647" s="275"/>
      <c r="C647" s="275"/>
      <c r="D647" s="275"/>
      <c r="E647" s="276"/>
      <c r="F647" s="276"/>
      <c r="G647" s="277"/>
      <c r="H647" s="276"/>
      <c r="I647" s="276"/>
      <c r="J647" s="276"/>
      <c r="K647" s="276"/>
    </row>
    <row r="648">
      <c r="A648" s="275"/>
      <c r="B648" s="275"/>
      <c r="C648" s="275"/>
      <c r="D648" s="275"/>
      <c r="E648" s="276"/>
      <c r="F648" s="276"/>
      <c r="G648" s="277"/>
      <c r="H648" s="276"/>
      <c r="I648" s="276"/>
      <c r="J648" s="276"/>
      <c r="K648" s="276"/>
    </row>
    <row r="649">
      <c r="A649" s="275"/>
      <c r="B649" s="275"/>
      <c r="C649" s="275"/>
      <c r="D649" s="275"/>
      <c r="E649" s="276"/>
      <c r="F649" s="276"/>
      <c r="G649" s="277"/>
      <c r="H649" s="276"/>
      <c r="I649" s="276"/>
      <c r="J649" s="276"/>
      <c r="K649" s="276"/>
    </row>
    <row r="650">
      <c r="A650" s="275"/>
      <c r="B650" s="275"/>
      <c r="C650" s="275"/>
      <c r="D650" s="275"/>
      <c r="E650" s="276"/>
      <c r="F650" s="276"/>
      <c r="G650" s="277"/>
      <c r="H650" s="276"/>
      <c r="I650" s="276"/>
      <c r="J650" s="276"/>
      <c r="K650" s="276"/>
    </row>
    <row r="651">
      <c r="A651" s="275"/>
      <c r="B651" s="275"/>
      <c r="C651" s="275"/>
      <c r="D651" s="275"/>
      <c r="E651" s="276"/>
      <c r="F651" s="276"/>
      <c r="G651" s="277"/>
      <c r="H651" s="276"/>
      <c r="I651" s="276"/>
      <c r="J651" s="276"/>
      <c r="K651" s="276"/>
    </row>
    <row r="652">
      <c r="A652" s="275"/>
      <c r="B652" s="275"/>
      <c r="C652" s="275"/>
      <c r="D652" s="275"/>
      <c r="E652" s="276"/>
      <c r="F652" s="276"/>
      <c r="G652" s="277"/>
      <c r="H652" s="276"/>
      <c r="I652" s="276"/>
      <c r="J652" s="276"/>
      <c r="K652" s="276"/>
    </row>
    <row r="653">
      <c r="A653" s="275"/>
      <c r="B653" s="275"/>
      <c r="C653" s="275"/>
      <c r="D653" s="275"/>
      <c r="E653" s="276"/>
      <c r="F653" s="276"/>
      <c r="G653" s="277"/>
      <c r="H653" s="276"/>
      <c r="I653" s="276"/>
      <c r="J653" s="276"/>
      <c r="K653" s="276"/>
    </row>
    <row r="654">
      <c r="A654" s="275"/>
      <c r="B654" s="275"/>
      <c r="C654" s="275"/>
      <c r="D654" s="275"/>
      <c r="E654" s="276"/>
      <c r="F654" s="276"/>
      <c r="G654" s="277"/>
      <c r="H654" s="276"/>
      <c r="I654" s="276"/>
      <c r="J654" s="276"/>
      <c r="K654" s="276"/>
    </row>
    <row r="655">
      <c r="A655" s="275"/>
      <c r="B655" s="275"/>
      <c r="C655" s="275"/>
      <c r="D655" s="275"/>
      <c r="E655" s="276"/>
      <c r="F655" s="276"/>
      <c r="G655" s="277"/>
      <c r="H655" s="276"/>
      <c r="I655" s="276"/>
      <c r="J655" s="276"/>
      <c r="K655" s="276"/>
    </row>
    <row r="656">
      <c r="A656" s="275"/>
      <c r="B656" s="275"/>
      <c r="C656" s="275"/>
      <c r="D656" s="275"/>
      <c r="E656" s="276"/>
      <c r="F656" s="276"/>
      <c r="G656" s="277"/>
      <c r="H656" s="276"/>
      <c r="I656" s="276"/>
      <c r="J656" s="276"/>
      <c r="K656" s="276"/>
    </row>
    <row r="657">
      <c r="A657" s="275"/>
      <c r="B657" s="275"/>
      <c r="C657" s="275"/>
      <c r="D657" s="275"/>
      <c r="E657" s="276"/>
      <c r="F657" s="276"/>
      <c r="G657" s="277"/>
      <c r="H657" s="276"/>
      <c r="I657" s="276"/>
      <c r="J657" s="276"/>
      <c r="K657" s="276"/>
    </row>
    <row r="658">
      <c r="A658" s="275"/>
      <c r="B658" s="275"/>
      <c r="C658" s="275"/>
      <c r="D658" s="275"/>
      <c r="E658" s="276"/>
      <c r="F658" s="276"/>
      <c r="G658" s="277"/>
      <c r="H658" s="276"/>
      <c r="I658" s="276"/>
      <c r="J658" s="276"/>
      <c r="K658" s="276"/>
    </row>
    <row r="659">
      <c r="A659" s="275"/>
      <c r="B659" s="275"/>
      <c r="C659" s="275"/>
      <c r="D659" s="275"/>
      <c r="E659" s="276"/>
      <c r="F659" s="276"/>
      <c r="G659" s="277"/>
      <c r="H659" s="276"/>
      <c r="I659" s="276"/>
      <c r="J659" s="276"/>
      <c r="K659" s="276"/>
    </row>
    <row r="660">
      <c r="A660" s="275"/>
      <c r="B660" s="275"/>
      <c r="C660" s="275"/>
      <c r="D660" s="275"/>
      <c r="E660" s="276"/>
      <c r="F660" s="276"/>
      <c r="G660" s="277"/>
      <c r="H660" s="276"/>
      <c r="I660" s="276"/>
      <c r="J660" s="276"/>
      <c r="K660" s="276"/>
    </row>
    <row r="661">
      <c r="A661" s="275"/>
      <c r="B661" s="275"/>
      <c r="C661" s="275"/>
      <c r="D661" s="275"/>
      <c r="E661" s="276"/>
      <c r="F661" s="276"/>
      <c r="G661" s="277"/>
      <c r="H661" s="276"/>
      <c r="I661" s="276"/>
      <c r="J661" s="276"/>
      <c r="K661" s="276"/>
    </row>
    <row r="662">
      <c r="A662" s="275"/>
      <c r="B662" s="275"/>
      <c r="C662" s="275"/>
      <c r="D662" s="275"/>
      <c r="E662" s="276"/>
      <c r="F662" s="276"/>
      <c r="G662" s="277"/>
      <c r="H662" s="276"/>
      <c r="I662" s="276"/>
      <c r="J662" s="276"/>
      <c r="K662" s="276"/>
    </row>
    <row r="663">
      <c r="A663" s="275"/>
      <c r="B663" s="275"/>
      <c r="C663" s="275"/>
      <c r="D663" s="275"/>
      <c r="E663" s="276"/>
      <c r="F663" s="276"/>
      <c r="G663" s="277"/>
      <c r="H663" s="276"/>
      <c r="I663" s="276"/>
      <c r="J663" s="276"/>
      <c r="K663" s="276"/>
    </row>
    <row r="664">
      <c r="A664" s="275"/>
      <c r="B664" s="275"/>
      <c r="C664" s="275"/>
      <c r="D664" s="275"/>
      <c r="E664" s="276"/>
      <c r="F664" s="276"/>
      <c r="G664" s="277"/>
      <c r="H664" s="276"/>
      <c r="I664" s="276"/>
      <c r="J664" s="276"/>
      <c r="K664" s="276"/>
    </row>
    <row r="665">
      <c r="A665" s="275"/>
      <c r="B665" s="275"/>
      <c r="C665" s="275"/>
      <c r="D665" s="275"/>
      <c r="E665" s="276"/>
      <c r="F665" s="276"/>
      <c r="G665" s="277"/>
      <c r="H665" s="276"/>
      <c r="I665" s="276"/>
      <c r="J665" s="276"/>
      <c r="K665" s="276"/>
    </row>
    <row r="666">
      <c r="A666" s="275"/>
      <c r="B666" s="275"/>
      <c r="C666" s="275"/>
      <c r="D666" s="275"/>
      <c r="E666" s="276"/>
      <c r="F666" s="276"/>
      <c r="G666" s="277"/>
      <c r="H666" s="276"/>
      <c r="I666" s="276"/>
      <c r="J666" s="276"/>
      <c r="K666" s="276"/>
    </row>
    <row r="667">
      <c r="A667" s="275"/>
      <c r="B667" s="275"/>
      <c r="C667" s="275"/>
      <c r="D667" s="275"/>
      <c r="E667" s="276"/>
      <c r="F667" s="276"/>
      <c r="G667" s="277"/>
      <c r="H667" s="276"/>
      <c r="I667" s="276"/>
      <c r="J667" s="276"/>
      <c r="K667" s="276"/>
    </row>
    <row r="668">
      <c r="A668" s="275"/>
      <c r="B668" s="275"/>
      <c r="C668" s="275"/>
      <c r="D668" s="275"/>
      <c r="E668" s="276"/>
      <c r="F668" s="276"/>
      <c r="G668" s="277"/>
      <c r="H668" s="276"/>
      <c r="I668" s="276"/>
      <c r="J668" s="276"/>
      <c r="K668" s="276"/>
    </row>
    <row r="669">
      <c r="A669" s="275"/>
      <c r="B669" s="275"/>
      <c r="C669" s="275"/>
      <c r="D669" s="275"/>
      <c r="E669" s="276"/>
      <c r="F669" s="276"/>
      <c r="G669" s="277"/>
      <c r="H669" s="276"/>
      <c r="I669" s="276"/>
      <c r="J669" s="276"/>
      <c r="K669" s="276"/>
    </row>
    <row r="670">
      <c r="A670" s="275"/>
      <c r="B670" s="275"/>
      <c r="C670" s="275"/>
      <c r="D670" s="275"/>
      <c r="E670" s="276"/>
      <c r="F670" s="276"/>
      <c r="G670" s="277"/>
      <c r="H670" s="276"/>
      <c r="I670" s="276"/>
      <c r="J670" s="276"/>
      <c r="K670" s="276"/>
    </row>
    <row r="671">
      <c r="A671" s="275"/>
      <c r="B671" s="275"/>
      <c r="C671" s="275"/>
      <c r="D671" s="275"/>
      <c r="E671" s="276"/>
      <c r="F671" s="276"/>
      <c r="G671" s="277"/>
      <c r="H671" s="276"/>
      <c r="I671" s="276"/>
      <c r="J671" s="276"/>
      <c r="K671" s="276"/>
    </row>
    <row r="672">
      <c r="A672" s="275"/>
      <c r="B672" s="275"/>
      <c r="C672" s="275"/>
      <c r="D672" s="275"/>
      <c r="E672" s="276"/>
      <c r="F672" s="276"/>
      <c r="G672" s="277"/>
      <c r="H672" s="276"/>
      <c r="I672" s="276"/>
      <c r="J672" s="276"/>
      <c r="K672" s="276"/>
    </row>
    <row r="673">
      <c r="A673" s="275"/>
      <c r="B673" s="275"/>
      <c r="C673" s="275"/>
      <c r="D673" s="275"/>
      <c r="E673" s="276"/>
      <c r="F673" s="276"/>
      <c r="G673" s="277"/>
      <c r="H673" s="276"/>
      <c r="I673" s="276"/>
      <c r="J673" s="276"/>
      <c r="K673" s="276"/>
    </row>
    <row r="674">
      <c r="A674" s="275"/>
      <c r="B674" s="275"/>
      <c r="C674" s="275"/>
      <c r="D674" s="275"/>
      <c r="E674" s="276"/>
      <c r="F674" s="276"/>
      <c r="G674" s="277"/>
      <c r="H674" s="276"/>
      <c r="I674" s="276"/>
      <c r="J674" s="276"/>
      <c r="K674" s="276"/>
    </row>
    <row r="675">
      <c r="A675" s="275"/>
      <c r="B675" s="275"/>
      <c r="C675" s="275"/>
      <c r="D675" s="275"/>
      <c r="E675" s="276"/>
      <c r="F675" s="276"/>
      <c r="G675" s="277"/>
      <c r="H675" s="276"/>
      <c r="I675" s="276"/>
      <c r="J675" s="276"/>
      <c r="K675" s="276"/>
    </row>
    <row r="676">
      <c r="A676" s="275"/>
      <c r="B676" s="275"/>
      <c r="C676" s="275"/>
      <c r="D676" s="275"/>
      <c r="E676" s="276"/>
      <c r="F676" s="276"/>
      <c r="G676" s="277"/>
      <c r="H676" s="276"/>
      <c r="I676" s="276"/>
      <c r="J676" s="276"/>
      <c r="K676" s="276"/>
    </row>
    <row r="677">
      <c r="A677" s="275"/>
      <c r="B677" s="275"/>
      <c r="C677" s="275"/>
      <c r="D677" s="275"/>
      <c r="E677" s="276"/>
      <c r="F677" s="276"/>
      <c r="G677" s="277"/>
      <c r="H677" s="276"/>
      <c r="I677" s="276"/>
      <c r="J677" s="276"/>
      <c r="K677" s="276"/>
    </row>
    <row r="678">
      <c r="A678" s="275"/>
      <c r="B678" s="275"/>
      <c r="C678" s="275"/>
      <c r="D678" s="275"/>
      <c r="E678" s="276"/>
      <c r="F678" s="276"/>
      <c r="G678" s="277"/>
      <c r="H678" s="276"/>
      <c r="I678" s="276"/>
      <c r="J678" s="276"/>
      <c r="K678" s="276"/>
    </row>
    <row r="679">
      <c r="A679" s="275"/>
      <c r="B679" s="275"/>
      <c r="C679" s="275"/>
      <c r="D679" s="275"/>
      <c r="E679" s="276"/>
      <c r="F679" s="276"/>
      <c r="G679" s="277"/>
      <c r="H679" s="276"/>
      <c r="I679" s="276"/>
      <c r="J679" s="276"/>
      <c r="K679" s="276"/>
    </row>
    <row r="680">
      <c r="A680" s="275"/>
      <c r="B680" s="275"/>
      <c r="C680" s="275"/>
      <c r="D680" s="275"/>
      <c r="E680" s="276"/>
      <c r="F680" s="276"/>
      <c r="G680" s="277"/>
      <c r="H680" s="276"/>
      <c r="I680" s="276"/>
      <c r="J680" s="276"/>
      <c r="K680" s="276"/>
    </row>
    <row r="681">
      <c r="A681" s="275"/>
      <c r="B681" s="275"/>
      <c r="C681" s="275"/>
      <c r="D681" s="275"/>
      <c r="E681" s="276"/>
      <c r="F681" s="276"/>
      <c r="G681" s="277"/>
      <c r="H681" s="276"/>
      <c r="I681" s="276"/>
      <c r="J681" s="276"/>
      <c r="K681" s="276"/>
    </row>
    <row r="682">
      <c r="A682" s="275"/>
      <c r="B682" s="275"/>
      <c r="C682" s="275"/>
      <c r="D682" s="275"/>
      <c r="E682" s="276"/>
      <c r="F682" s="276"/>
      <c r="G682" s="277"/>
      <c r="H682" s="276"/>
      <c r="I682" s="276"/>
      <c r="J682" s="276"/>
      <c r="K682" s="276"/>
    </row>
    <row r="683">
      <c r="A683" s="275"/>
      <c r="B683" s="275"/>
      <c r="C683" s="275"/>
      <c r="D683" s="275"/>
      <c r="E683" s="276"/>
      <c r="F683" s="276"/>
      <c r="G683" s="277"/>
      <c r="H683" s="276"/>
      <c r="I683" s="276"/>
      <c r="J683" s="276"/>
      <c r="K683" s="276"/>
    </row>
    <row r="684">
      <c r="A684" s="275"/>
      <c r="B684" s="275"/>
      <c r="C684" s="275"/>
      <c r="D684" s="275"/>
      <c r="E684" s="276"/>
      <c r="F684" s="276"/>
      <c r="G684" s="277"/>
      <c r="H684" s="276"/>
      <c r="I684" s="276"/>
      <c r="J684" s="276"/>
      <c r="K684" s="276"/>
    </row>
    <row r="685">
      <c r="A685" s="275"/>
      <c r="B685" s="275"/>
      <c r="C685" s="275"/>
      <c r="D685" s="275"/>
      <c r="E685" s="276"/>
      <c r="F685" s="276"/>
      <c r="G685" s="277"/>
      <c r="H685" s="276"/>
      <c r="I685" s="276"/>
      <c r="J685" s="276"/>
      <c r="K685" s="276"/>
    </row>
    <row r="686">
      <c r="A686" s="275"/>
      <c r="B686" s="275"/>
      <c r="C686" s="275"/>
      <c r="D686" s="275"/>
      <c r="E686" s="276"/>
      <c r="F686" s="276"/>
      <c r="G686" s="277"/>
      <c r="H686" s="276"/>
      <c r="I686" s="276"/>
      <c r="J686" s="276"/>
      <c r="K686" s="276"/>
    </row>
    <row r="687">
      <c r="A687" s="275"/>
      <c r="B687" s="275"/>
      <c r="C687" s="275"/>
      <c r="D687" s="275"/>
      <c r="E687" s="276"/>
      <c r="F687" s="276"/>
      <c r="G687" s="277"/>
      <c r="H687" s="276"/>
      <c r="I687" s="276"/>
      <c r="J687" s="276"/>
      <c r="K687" s="276"/>
    </row>
    <row r="688">
      <c r="A688" s="275"/>
      <c r="B688" s="275"/>
      <c r="C688" s="275"/>
      <c r="D688" s="275"/>
      <c r="E688" s="276"/>
      <c r="F688" s="276"/>
      <c r="G688" s="277"/>
      <c r="H688" s="276"/>
      <c r="I688" s="276"/>
      <c r="J688" s="276"/>
      <c r="K688" s="276"/>
    </row>
    <row r="689">
      <c r="A689" s="275"/>
      <c r="B689" s="275"/>
      <c r="C689" s="275"/>
      <c r="D689" s="275"/>
      <c r="E689" s="276"/>
      <c r="F689" s="276"/>
      <c r="G689" s="277"/>
      <c r="H689" s="276"/>
      <c r="I689" s="276"/>
      <c r="J689" s="276"/>
      <c r="K689" s="276"/>
    </row>
    <row r="690">
      <c r="A690" s="275"/>
      <c r="B690" s="275"/>
      <c r="C690" s="275"/>
      <c r="D690" s="275"/>
      <c r="E690" s="276"/>
      <c r="F690" s="276"/>
      <c r="G690" s="277"/>
      <c r="H690" s="276"/>
      <c r="I690" s="276"/>
      <c r="J690" s="276"/>
      <c r="K690" s="276"/>
    </row>
    <row r="691">
      <c r="A691" s="275"/>
      <c r="B691" s="275"/>
      <c r="C691" s="275"/>
      <c r="D691" s="275"/>
      <c r="E691" s="276"/>
      <c r="F691" s="276"/>
      <c r="G691" s="277"/>
      <c r="H691" s="276"/>
      <c r="I691" s="276"/>
      <c r="J691" s="276"/>
      <c r="K691" s="276"/>
    </row>
    <row r="692">
      <c r="A692" s="275"/>
      <c r="B692" s="275"/>
      <c r="C692" s="275"/>
      <c r="D692" s="275"/>
      <c r="E692" s="276"/>
      <c r="F692" s="276"/>
      <c r="G692" s="277"/>
      <c r="H692" s="276"/>
      <c r="I692" s="276"/>
      <c r="J692" s="276"/>
      <c r="K692" s="276"/>
    </row>
    <row r="693">
      <c r="A693" s="275"/>
      <c r="B693" s="275"/>
      <c r="C693" s="275"/>
      <c r="D693" s="275"/>
      <c r="E693" s="276"/>
      <c r="F693" s="276"/>
      <c r="G693" s="277"/>
      <c r="H693" s="276"/>
      <c r="I693" s="276"/>
      <c r="J693" s="276"/>
      <c r="K693" s="276"/>
    </row>
    <row r="694">
      <c r="A694" s="275"/>
      <c r="B694" s="275"/>
      <c r="C694" s="275"/>
      <c r="D694" s="275"/>
      <c r="E694" s="276"/>
      <c r="F694" s="276"/>
      <c r="G694" s="277"/>
      <c r="H694" s="276"/>
      <c r="I694" s="276"/>
      <c r="J694" s="276"/>
      <c r="K694" s="276"/>
    </row>
    <row r="695">
      <c r="A695" s="275"/>
      <c r="B695" s="275"/>
      <c r="C695" s="275"/>
      <c r="D695" s="275"/>
      <c r="E695" s="276"/>
      <c r="F695" s="276"/>
      <c r="G695" s="277"/>
      <c r="H695" s="276"/>
      <c r="I695" s="276"/>
      <c r="J695" s="276"/>
      <c r="K695" s="276"/>
    </row>
    <row r="696">
      <c r="A696" s="275"/>
      <c r="B696" s="275"/>
      <c r="C696" s="275"/>
      <c r="D696" s="275"/>
      <c r="E696" s="276"/>
      <c r="F696" s="276"/>
      <c r="G696" s="277"/>
      <c r="H696" s="276"/>
      <c r="I696" s="276"/>
      <c r="J696" s="276"/>
      <c r="K696" s="276"/>
    </row>
    <row r="697">
      <c r="A697" s="275"/>
      <c r="B697" s="275"/>
      <c r="C697" s="275"/>
      <c r="D697" s="275"/>
      <c r="E697" s="276"/>
      <c r="F697" s="276"/>
      <c r="G697" s="277"/>
      <c r="H697" s="276"/>
      <c r="I697" s="276"/>
      <c r="J697" s="276"/>
      <c r="K697" s="276"/>
    </row>
    <row r="698">
      <c r="A698" s="275"/>
      <c r="B698" s="275"/>
      <c r="C698" s="275"/>
      <c r="D698" s="275"/>
      <c r="E698" s="276"/>
      <c r="F698" s="276"/>
      <c r="G698" s="277"/>
      <c r="H698" s="276"/>
      <c r="I698" s="276"/>
      <c r="J698" s="276"/>
      <c r="K698" s="276"/>
    </row>
    <row r="699">
      <c r="A699" s="275"/>
      <c r="B699" s="275"/>
      <c r="C699" s="275"/>
      <c r="D699" s="275"/>
      <c r="E699" s="276"/>
      <c r="F699" s="276"/>
      <c r="G699" s="277"/>
      <c r="H699" s="276"/>
      <c r="I699" s="276"/>
      <c r="J699" s="276"/>
      <c r="K699" s="276"/>
    </row>
    <row r="700">
      <c r="A700" s="275"/>
      <c r="B700" s="275"/>
      <c r="C700" s="275"/>
      <c r="D700" s="275"/>
      <c r="E700" s="276"/>
      <c r="F700" s="276"/>
      <c r="G700" s="277"/>
      <c r="H700" s="276"/>
      <c r="I700" s="276"/>
      <c r="J700" s="276"/>
      <c r="K700" s="276"/>
    </row>
    <row r="701">
      <c r="A701" s="275"/>
      <c r="B701" s="275"/>
      <c r="C701" s="275"/>
      <c r="D701" s="275"/>
      <c r="E701" s="276"/>
      <c r="F701" s="276"/>
      <c r="G701" s="277"/>
      <c r="H701" s="276"/>
      <c r="I701" s="276"/>
      <c r="J701" s="276"/>
      <c r="K701" s="276"/>
    </row>
    <row r="702">
      <c r="A702" s="275"/>
      <c r="B702" s="275"/>
      <c r="C702" s="275"/>
      <c r="D702" s="275"/>
      <c r="E702" s="276"/>
      <c r="F702" s="276"/>
      <c r="G702" s="277"/>
      <c r="H702" s="276"/>
      <c r="I702" s="276"/>
      <c r="J702" s="276"/>
      <c r="K702" s="276"/>
    </row>
    <row r="703">
      <c r="A703" s="275"/>
      <c r="B703" s="275"/>
      <c r="C703" s="275"/>
      <c r="D703" s="275"/>
      <c r="E703" s="276"/>
      <c r="F703" s="276"/>
      <c r="G703" s="277"/>
      <c r="H703" s="276"/>
      <c r="I703" s="276"/>
      <c r="J703" s="276"/>
      <c r="K703" s="276"/>
    </row>
    <row r="704">
      <c r="A704" s="275"/>
      <c r="B704" s="275"/>
      <c r="C704" s="275"/>
      <c r="D704" s="275"/>
      <c r="E704" s="276"/>
      <c r="F704" s="276"/>
      <c r="G704" s="277"/>
      <c r="H704" s="276"/>
      <c r="I704" s="276"/>
      <c r="J704" s="276"/>
      <c r="K704" s="276"/>
    </row>
    <row r="705">
      <c r="A705" s="275"/>
      <c r="B705" s="275"/>
      <c r="C705" s="275"/>
      <c r="D705" s="275"/>
      <c r="E705" s="276"/>
      <c r="F705" s="276"/>
      <c r="G705" s="277"/>
      <c r="H705" s="276"/>
      <c r="I705" s="276"/>
      <c r="J705" s="276"/>
      <c r="K705" s="276"/>
    </row>
    <row r="706">
      <c r="A706" s="275"/>
      <c r="B706" s="275"/>
      <c r="C706" s="275"/>
      <c r="D706" s="275"/>
      <c r="E706" s="276"/>
      <c r="F706" s="276"/>
      <c r="G706" s="277"/>
      <c r="H706" s="276"/>
      <c r="I706" s="276"/>
      <c r="J706" s="276"/>
      <c r="K706" s="276"/>
    </row>
    <row r="707">
      <c r="A707" s="275"/>
      <c r="B707" s="275"/>
      <c r="C707" s="275"/>
      <c r="D707" s="275"/>
      <c r="E707" s="276"/>
      <c r="F707" s="276"/>
      <c r="G707" s="277"/>
      <c r="H707" s="276"/>
      <c r="I707" s="276"/>
      <c r="J707" s="276"/>
      <c r="K707" s="276"/>
    </row>
    <row r="708">
      <c r="A708" s="275"/>
      <c r="B708" s="275"/>
      <c r="C708" s="275"/>
      <c r="D708" s="275"/>
      <c r="E708" s="276"/>
      <c r="F708" s="276"/>
      <c r="G708" s="277"/>
      <c r="H708" s="276"/>
      <c r="I708" s="276"/>
      <c r="J708" s="276"/>
      <c r="K708" s="276"/>
    </row>
    <row r="709">
      <c r="A709" s="275"/>
      <c r="B709" s="275"/>
      <c r="C709" s="275"/>
      <c r="D709" s="275"/>
      <c r="E709" s="276"/>
      <c r="F709" s="276"/>
      <c r="G709" s="277"/>
      <c r="H709" s="276"/>
      <c r="I709" s="276"/>
      <c r="J709" s="276"/>
      <c r="K709" s="276"/>
    </row>
    <row r="710">
      <c r="A710" s="275"/>
      <c r="B710" s="275"/>
      <c r="C710" s="275"/>
      <c r="D710" s="275"/>
      <c r="E710" s="276"/>
      <c r="F710" s="276"/>
      <c r="G710" s="277"/>
      <c r="H710" s="276"/>
      <c r="I710" s="276"/>
      <c r="J710" s="276"/>
      <c r="K710" s="276"/>
    </row>
    <row r="711">
      <c r="A711" s="275"/>
      <c r="B711" s="275"/>
      <c r="C711" s="275"/>
      <c r="D711" s="275"/>
      <c r="E711" s="276"/>
      <c r="F711" s="276"/>
      <c r="G711" s="277"/>
      <c r="H711" s="276"/>
      <c r="I711" s="276"/>
      <c r="J711" s="276"/>
      <c r="K711" s="276"/>
    </row>
    <row r="712">
      <c r="A712" s="275"/>
      <c r="B712" s="275"/>
      <c r="C712" s="275"/>
      <c r="D712" s="275"/>
      <c r="E712" s="276"/>
      <c r="F712" s="276"/>
      <c r="G712" s="277"/>
      <c r="H712" s="276"/>
      <c r="I712" s="276"/>
      <c r="J712" s="276"/>
      <c r="K712" s="276"/>
    </row>
    <row r="713">
      <c r="A713" s="275"/>
      <c r="B713" s="275"/>
      <c r="C713" s="275"/>
      <c r="D713" s="275"/>
      <c r="E713" s="276"/>
      <c r="F713" s="276"/>
      <c r="G713" s="277"/>
      <c r="H713" s="276"/>
      <c r="I713" s="276"/>
      <c r="J713" s="276"/>
      <c r="K713" s="276"/>
    </row>
    <row r="714">
      <c r="A714" s="275"/>
      <c r="B714" s="275"/>
      <c r="C714" s="275"/>
      <c r="D714" s="275"/>
      <c r="E714" s="276"/>
      <c r="F714" s="276"/>
      <c r="G714" s="277"/>
      <c r="H714" s="276"/>
      <c r="I714" s="276"/>
      <c r="J714" s="276"/>
      <c r="K714" s="276"/>
    </row>
    <row r="715">
      <c r="A715" s="275"/>
      <c r="B715" s="275"/>
      <c r="C715" s="275"/>
      <c r="D715" s="275"/>
      <c r="E715" s="276"/>
      <c r="F715" s="276"/>
      <c r="G715" s="277"/>
      <c r="H715" s="276"/>
      <c r="I715" s="276"/>
      <c r="J715" s="276"/>
      <c r="K715" s="276"/>
    </row>
    <row r="716">
      <c r="A716" s="275"/>
      <c r="B716" s="275"/>
      <c r="C716" s="275"/>
      <c r="D716" s="275"/>
      <c r="E716" s="276"/>
      <c r="F716" s="276"/>
      <c r="G716" s="277"/>
      <c r="H716" s="276"/>
      <c r="I716" s="276"/>
      <c r="J716" s="276"/>
      <c r="K716" s="276"/>
    </row>
    <row r="717">
      <c r="A717" s="275"/>
      <c r="B717" s="275"/>
      <c r="C717" s="275"/>
      <c r="D717" s="275"/>
      <c r="E717" s="276"/>
      <c r="F717" s="276"/>
      <c r="G717" s="277"/>
      <c r="H717" s="276"/>
      <c r="I717" s="276"/>
      <c r="J717" s="276"/>
      <c r="K717" s="276"/>
    </row>
    <row r="718">
      <c r="A718" s="275"/>
      <c r="B718" s="275"/>
      <c r="C718" s="275"/>
      <c r="D718" s="275"/>
      <c r="E718" s="276"/>
      <c r="F718" s="276"/>
      <c r="G718" s="277"/>
      <c r="H718" s="276"/>
      <c r="I718" s="276"/>
      <c r="J718" s="276"/>
      <c r="K718" s="276"/>
    </row>
    <row r="719">
      <c r="A719" s="275"/>
      <c r="B719" s="275"/>
      <c r="C719" s="275"/>
      <c r="D719" s="275"/>
      <c r="E719" s="276"/>
      <c r="F719" s="276"/>
      <c r="G719" s="277"/>
      <c r="H719" s="276"/>
      <c r="I719" s="276"/>
      <c r="J719" s="276"/>
      <c r="K719" s="276"/>
    </row>
    <row r="720">
      <c r="A720" s="275"/>
      <c r="B720" s="275"/>
      <c r="C720" s="275"/>
      <c r="D720" s="275"/>
      <c r="E720" s="276"/>
      <c r="F720" s="276"/>
      <c r="G720" s="277"/>
      <c r="H720" s="276"/>
      <c r="I720" s="276"/>
      <c r="J720" s="276"/>
      <c r="K720" s="276"/>
    </row>
    <row r="721">
      <c r="A721" s="275"/>
      <c r="B721" s="275"/>
      <c r="C721" s="275"/>
      <c r="D721" s="275"/>
      <c r="E721" s="276"/>
      <c r="F721" s="276"/>
      <c r="G721" s="277"/>
      <c r="H721" s="276"/>
      <c r="I721" s="276"/>
      <c r="J721" s="276"/>
      <c r="K721" s="276"/>
    </row>
    <row r="722">
      <c r="A722" s="275"/>
      <c r="B722" s="275"/>
      <c r="C722" s="275"/>
      <c r="D722" s="275"/>
      <c r="E722" s="276"/>
      <c r="F722" s="276"/>
      <c r="G722" s="277"/>
      <c r="H722" s="276"/>
      <c r="I722" s="276"/>
      <c r="J722" s="276"/>
      <c r="K722" s="276"/>
    </row>
    <row r="723">
      <c r="A723" s="275"/>
      <c r="B723" s="275"/>
      <c r="C723" s="275"/>
      <c r="D723" s="275"/>
      <c r="E723" s="276"/>
      <c r="F723" s="276"/>
      <c r="G723" s="277"/>
      <c r="H723" s="276"/>
      <c r="I723" s="276"/>
      <c r="J723" s="276"/>
      <c r="K723" s="276"/>
    </row>
    <row r="724">
      <c r="A724" s="275"/>
      <c r="B724" s="275"/>
      <c r="C724" s="275"/>
      <c r="D724" s="275"/>
      <c r="E724" s="276"/>
      <c r="F724" s="276"/>
      <c r="G724" s="277"/>
      <c r="H724" s="276"/>
      <c r="I724" s="276"/>
      <c r="J724" s="276"/>
      <c r="K724" s="276"/>
    </row>
    <row r="725">
      <c r="A725" s="275"/>
      <c r="B725" s="275"/>
      <c r="C725" s="275"/>
      <c r="D725" s="275"/>
      <c r="E725" s="276"/>
      <c r="F725" s="276"/>
      <c r="G725" s="277"/>
      <c r="H725" s="276"/>
      <c r="I725" s="276"/>
      <c r="J725" s="276"/>
      <c r="K725" s="276"/>
    </row>
    <row r="726">
      <c r="A726" s="275"/>
      <c r="B726" s="275"/>
      <c r="C726" s="275"/>
      <c r="D726" s="275"/>
      <c r="E726" s="276"/>
      <c r="F726" s="276"/>
      <c r="G726" s="277"/>
      <c r="H726" s="276"/>
      <c r="I726" s="276"/>
      <c r="J726" s="276"/>
      <c r="K726" s="276"/>
    </row>
    <row r="727">
      <c r="A727" s="275"/>
      <c r="B727" s="275"/>
      <c r="C727" s="275"/>
      <c r="D727" s="275"/>
      <c r="E727" s="276"/>
      <c r="F727" s="276"/>
      <c r="G727" s="277"/>
      <c r="H727" s="276"/>
      <c r="I727" s="276"/>
      <c r="J727" s="276"/>
      <c r="K727" s="276"/>
    </row>
    <row r="728">
      <c r="A728" s="275"/>
      <c r="B728" s="275"/>
      <c r="C728" s="275"/>
      <c r="D728" s="275"/>
      <c r="E728" s="276"/>
      <c r="F728" s="276"/>
      <c r="G728" s="277"/>
      <c r="H728" s="276"/>
      <c r="I728" s="276"/>
      <c r="J728" s="276"/>
      <c r="K728" s="276"/>
    </row>
    <row r="729">
      <c r="A729" s="275"/>
      <c r="B729" s="275"/>
      <c r="C729" s="275"/>
      <c r="D729" s="275"/>
      <c r="E729" s="276"/>
      <c r="F729" s="276"/>
      <c r="G729" s="277"/>
      <c r="H729" s="276"/>
      <c r="I729" s="276"/>
      <c r="J729" s="276"/>
      <c r="K729" s="276"/>
    </row>
    <row r="730">
      <c r="A730" s="275"/>
      <c r="B730" s="275"/>
      <c r="C730" s="275"/>
      <c r="D730" s="275"/>
      <c r="E730" s="276"/>
      <c r="F730" s="276"/>
      <c r="G730" s="277"/>
      <c r="H730" s="276"/>
      <c r="I730" s="276"/>
      <c r="J730" s="276"/>
      <c r="K730" s="276"/>
    </row>
    <row r="731">
      <c r="A731" s="275"/>
      <c r="B731" s="275"/>
      <c r="C731" s="275"/>
      <c r="D731" s="275"/>
      <c r="E731" s="276"/>
      <c r="F731" s="276"/>
      <c r="G731" s="277"/>
      <c r="H731" s="276"/>
      <c r="I731" s="276"/>
      <c r="J731" s="276"/>
      <c r="K731" s="276"/>
    </row>
    <row r="732">
      <c r="A732" s="275"/>
      <c r="B732" s="275"/>
      <c r="C732" s="275"/>
      <c r="D732" s="275"/>
      <c r="E732" s="276"/>
      <c r="F732" s="276"/>
      <c r="G732" s="277"/>
      <c r="H732" s="276"/>
      <c r="I732" s="276"/>
      <c r="J732" s="276"/>
      <c r="K732" s="276"/>
    </row>
    <row r="733">
      <c r="A733" s="275"/>
      <c r="B733" s="275"/>
      <c r="C733" s="275"/>
      <c r="D733" s="275"/>
      <c r="E733" s="276"/>
      <c r="F733" s="276"/>
      <c r="G733" s="277"/>
      <c r="H733" s="276"/>
      <c r="I733" s="276"/>
      <c r="J733" s="276"/>
      <c r="K733" s="276"/>
    </row>
    <row r="734">
      <c r="A734" s="275"/>
      <c r="B734" s="275"/>
      <c r="C734" s="275"/>
      <c r="D734" s="275"/>
      <c r="E734" s="276"/>
      <c r="F734" s="276"/>
      <c r="G734" s="277"/>
      <c r="H734" s="276"/>
      <c r="I734" s="276"/>
      <c r="J734" s="276"/>
      <c r="K734" s="276"/>
    </row>
    <row r="735">
      <c r="A735" s="275"/>
      <c r="B735" s="275"/>
      <c r="C735" s="275"/>
      <c r="D735" s="275"/>
      <c r="E735" s="276"/>
      <c r="F735" s="276"/>
      <c r="G735" s="277"/>
      <c r="H735" s="276"/>
      <c r="I735" s="276"/>
      <c r="J735" s="276"/>
      <c r="K735" s="276"/>
    </row>
    <row r="736">
      <c r="A736" s="275"/>
      <c r="B736" s="275"/>
      <c r="C736" s="275"/>
      <c r="D736" s="275"/>
      <c r="E736" s="276"/>
      <c r="F736" s="276"/>
      <c r="G736" s="277"/>
      <c r="H736" s="276"/>
      <c r="I736" s="276"/>
      <c r="J736" s="276"/>
      <c r="K736" s="276"/>
    </row>
    <row r="737">
      <c r="A737" s="275"/>
      <c r="B737" s="275"/>
      <c r="C737" s="275"/>
      <c r="D737" s="275"/>
      <c r="E737" s="276"/>
      <c r="F737" s="276"/>
      <c r="G737" s="277"/>
      <c r="H737" s="276"/>
      <c r="I737" s="276"/>
      <c r="J737" s="276"/>
      <c r="K737" s="276"/>
    </row>
    <row r="738">
      <c r="A738" s="275"/>
      <c r="B738" s="275"/>
      <c r="C738" s="275"/>
      <c r="D738" s="275"/>
      <c r="E738" s="276"/>
      <c r="F738" s="276"/>
      <c r="G738" s="277"/>
      <c r="H738" s="276"/>
      <c r="I738" s="276"/>
      <c r="J738" s="276"/>
      <c r="K738" s="276"/>
    </row>
    <row r="739">
      <c r="A739" s="275"/>
      <c r="B739" s="275"/>
      <c r="C739" s="275"/>
      <c r="D739" s="275"/>
      <c r="E739" s="276"/>
      <c r="F739" s="276"/>
      <c r="G739" s="277"/>
      <c r="H739" s="276"/>
      <c r="I739" s="276"/>
      <c r="J739" s="276"/>
      <c r="K739" s="276"/>
    </row>
    <row r="740">
      <c r="A740" s="275"/>
      <c r="B740" s="275"/>
      <c r="C740" s="275"/>
      <c r="D740" s="275"/>
      <c r="E740" s="276"/>
      <c r="F740" s="276"/>
      <c r="G740" s="277"/>
      <c r="H740" s="276"/>
      <c r="I740" s="276"/>
      <c r="J740" s="276"/>
      <c r="K740" s="276"/>
    </row>
    <row r="741">
      <c r="A741" s="275"/>
      <c r="B741" s="275"/>
      <c r="C741" s="275"/>
      <c r="D741" s="275"/>
      <c r="E741" s="276"/>
      <c r="F741" s="276"/>
      <c r="G741" s="277"/>
      <c r="H741" s="276"/>
      <c r="I741" s="276"/>
      <c r="J741" s="276"/>
      <c r="K741" s="276"/>
    </row>
    <row r="742">
      <c r="A742" s="275"/>
      <c r="B742" s="275"/>
      <c r="C742" s="275"/>
      <c r="D742" s="275"/>
      <c r="E742" s="276"/>
      <c r="F742" s="276"/>
      <c r="G742" s="277"/>
      <c r="H742" s="276"/>
      <c r="I742" s="276"/>
      <c r="J742" s="276"/>
      <c r="K742" s="276"/>
    </row>
    <row r="743">
      <c r="A743" s="275"/>
      <c r="B743" s="275"/>
      <c r="C743" s="275"/>
      <c r="D743" s="275"/>
      <c r="E743" s="276"/>
      <c r="F743" s="276"/>
      <c r="G743" s="277"/>
      <c r="H743" s="276"/>
      <c r="I743" s="276"/>
      <c r="J743" s="276"/>
      <c r="K743" s="276"/>
    </row>
    <row r="744">
      <c r="A744" s="275"/>
      <c r="B744" s="275"/>
      <c r="C744" s="275"/>
      <c r="D744" s="275"/>
      <c r="E744" s="276"/>
      <c r="F744" s="276"/>
      <c r="G744" s="277"/>
      <c r="H744" s="276"/>
      <c r="I744" s="276"/>
      <c r="J744" s="276"/>
      <c r="K744" s="276"/>
    </row>
    <row r="745">
      <c r="A745" s="275"/>
      <c r="B745" s="275"/>
      <c r="C745" s="275"/>
      <c r="D745" s="275"/>
      <c r="E745" s="276"/>
      <c r="F745" s="276"/>
      <c r="G745" s="277"/>
      <c r="H745" s="276"/>
      <c r="I745" s="276"/>
      <c r="J745" s="276"/>
      <c r="K745" s="276"/>
    </row>
    <row r="746">
      <c r="A746" s="275"/>
      <c r="B746" s="275"/>
      <c r="C746" s="275"/>
      <c r="D746" s="275"/>
      <c r="E746" s="276"/>
      <c r="F746" s="276"/>
      <c r="G746" s="277"/>
      <c r="H746" s="276"/>
      <c r="I746" s="276"/>
      <c r="J746" s="276"/>
      <c r="K746" s="276"/>
    </row>
    <row r="747">
      <c r="A747" s="275"/>
      <c r="B747" s="275"/>
      <c r="C747" s="275"/>
      <c r="D747" s="275"/>
      <c r="E747" s="276"/>
      <c r="F747" s="276"/>
      <c r="G747" s="277"/>
      <c r="H747" s="276"/>
      <c r="I747" s="276"/>
      <c r="J747" s="276"/>
      <c r="K747" s="276"/>
    </row>
    <row r="748">
      <c r="A748" s="275"/>
      <c r="B748" s="275"/>
      <c r="C748" s="275"/>
      <c r="D748" s="275"/>
      <c r="E748" s="276"/>
      <c r="F748" s="276"/>
      <c r="G748" s="277"/>
      <c r="H748" s="276"/>
      <c r="I748" s="276"/>
      <c r="J748" s="276"/>
      <c r="K748" s="276"/>
    </row>
    <row r="749">
      <c r="A749" s="275"/>
      <c r="B749" s="275"/>
      <c r="C749" s="275"/>
      <c r="D749" s="275"/>
      <c r="E749" s="276"/>
      <c r="F749" s="276"/>
      <c r="G749" s="277"/>
      <c r="H749" s="276"/>
      <c r="I749" s="276"/>
      <c r="J749" s="276"/>
      <c r="K749" s="276"/>
    </row>
    <row r="750">
      <c r="A750" s="275"/>
      <c r="B750" s="275"/>
      <c r="C750" s="275"/>
      <c r="D750" s="275"/>
      <c r="E750" s="276"/>
      <c r="F750" s="276"/>
      <c r="G750" s="277"/>
      <c r="H750" s="276"/>
      <c r="I750" s="276"/>
      <c r="J750" s="276"/>
      <c r="K750" s="276"/>
    </row>
    <row r="751">
      <c r="A751" s="275"/>
      <c r="B751" s="275"/>
      <c r="C751" s="275"/>
      <c r="D751" s="275"/>
      <c r="E751" s="276"/>
      <c r="F751" s="276"/>
      <c r="G751" s="277"/>
      <c r="H751" s="276"/>
      <c r="I751" s="276"/>
      <c r="J751" s="276"/>
      <c r="K751" s="276"/>
    </row>
    <row r="752">
      <c r="A752" s="275"/>
      <c r="B752" s="275"/>
      <c r="C752" s="275"/>
      <c r="D752" s="275"/>
      <c r="E752" s="276"/>
      <c r="F752" s="276"/>
      <c r="G752" s="277"/>
      <c r="H752" s="276"/>
      <c r="I752" s="276"/>
      <c r="J752" s="276"/>
      <c r="K752" s="276"/>
    </row>
    <row r="753">
      <c r="A753" s="275"/>
      <c r="B753" s="275"/>
      <c r="C753" s="275"/>
      <c r="D753" s="275"/>
      <c r="E753" s="276"/>
      <c r="F753" s="276"/>
      <c r="G753" s="277"/>
      <c r="H753" s="276"/>
      <c r="I753" s="276"/>
      <c r="J753" s="276"/>
      <c r="K753" s="276"/>
    </row>
    <row r="754">
      <c r="A754" s="275"/>
      <c r="B754" s="275"/>
      <c r="C754" s="275"/>
      <c r="D754" s="275"/>
      <c r="E754" s="276"/>
      <c r="F754" s="276"/>
      <c r="G754" s="277"/>
      <c r="H754" s="276"/>
      <c r="I754" s="276"/>
      <c r="J754" s="276"/>
      <c r="K754" s="276"/>
    </row>
    <row r="755">
      <c r="A755" s="275"/>
      <c r="B755" s="275"/>
      <c r="C755" s="275"/>
      <c r="D755" s="275"/>
      <c r="E755" s="276"/>
      <c r="F755" s="276"/>
      <c r="G755" s="277"/>
      <c r="H755" s="276"/>
      <c r="I755" s="276"/>
      <c r="J755" s="276"/>
      <c r="K755" s="276"/>
    </row>
    <row r="756">
      <c r="A756" s="275"/>
      <c r="B756" s="275"/>
      <c r="C756" s="275"/>
      <c r="D756" s="275"/>
      <c r="E756" s="276"/>
      <c r="F756" s="276"/>
      <c r="G756" s="277"/>
      <c r="H756" s="276"/>
      <c r="I756" s="276"/>
      <c r="J756" s="276"/>
      <c r="K756" s="276"/>
    </row>
    <row r="757">
      <c r="A757" s="275"/>
      <c r="B757" s="275"/>
      <c r="C757" s="275"/>
      <c r="D757" s="275"/>
      <c r="E757" s="276"/>
      <c r="F757" s="276"/>
      <c r="G757" s="277"/>
      <c r="H757" s="276"/>
      <c r="I757" s="276"/>
      <c r="J757" s="276"/>
      <c r="K757" s="276"/>
    </row>
    <row r="758">
      <c r="A758" s="275"/>
      <c r="B758" s="275"/>
      <c r="C758" s="275"/>
      <c r="D758" s="275"/>
      <c r="E758" s="276"/>
      <c r="F758" s="276"/>
      <c r="G758" s="277"/>
      <c r="H758" s="276"/>
      <c r="I758" s="276"/>
      <c r="J758" s="276"/>
      <c r="K758" s="276"/>
    </row>
    <row r="759">
      <c r="A759" s="275"/>
      <c r="B759" s="275"/>
      <c r="C759" s="275"/>
      <c r="D759" s="275"/>
      <c r="E759" s="276"/>
      <c r="F759" s="276"/>
      <c r="G759" s="277"/>
      <c r="H759" s="276"/>
      <c r="I759" s="276"/>
      <c r="J759" s="276"/>
      <c r="K759" s="276"/>
    </row>
    <row r="760">
      <c r="A760" s="275"/>
      <c r="B760" s="275"/>
      <c r="C760" s="275"/>
      <c r="D760" s="275"/>
      <c r="E760" s="276"/>
      <c r="F760" s="276"/>
      <c r="G760" s="277"/>
      <c r="H760" s="276"/>
      <c r="I760" s="276"/>
      <c r="J760" s="276"/>
      <c r="K760" s="276"/>
    </row>
    <row r="761">
      <c r="A761" s="275"/>
      <c r="B761" s="275"/>
      <c r="C761" s="275"/>
      <c r="D761" s="275"/>
      <c r="E761" s="276"/>
      <c r="F761" s="276"/>
      <c r="G761" s="277"/>
      <c r="H761" s="276"/>
      <c r="I761" s="276"/>
      <c r="J761" s="276"/>
      <c r="K761" s="276"/>
    </row>
    <row r="762">
      <c r="A762" s="275"/>
      <c r="B762" s="275"/>
      <c r="C762" s="275"/>
      <c r="D762" s="275"/>
      <c r="E762" s="276"/>
      <c r="F762" s="276"/>
      <c r="G762" s="277"/>
      <c r="H762" s="276"/>
      <c r="I762" s="276"/>
      <c r="J762" s="276"/>
      <c r="K762" s="276"/>
    </row>
    <row r="763">
      <c r="A763" s="275"/>
      <c r="B763" s="275"/>
      <c r="C763" s="275"/>
      <c r="D763" s="275"/>
      <c r="E763" s="276"/>
      <c r="F763" s="276"/>
      <c r="G763" s="277"/>
      <c r="H763" s="276"/>
      <c r="I763" s="276"/>
      <c r="J763" s="276"/>
      <c r="K763" s="276"/>
    </row>
    <row r="764">
      <c r="A764" s="275"/>
      <c r="B764" s="275"/>
      <c r="C764" s="275"/>
      <c r="D764" s="275"/>
      <c r="E764" s="276"/>
      <c r="F764" s="276"/>
      <c r="G764" s="277"/>
      <c r="H764" s="276"/>
      <c r="I764" s="276"/>
      <c r="J764" s="276"/>
      <c r="K764" s="276"/>
    </row>
    <row r="765">
      <c r="A765" s="275"/>
      <c r="B765" s="275"/>
      <c r="C765" s="275"/>
      <c r="D765" s="275"/>
      <c r="E765" s="276"/>
      <c r="F765" s="276"/>
      <c r="G765" s="277"/>
      <c r="H765" s="276"/>
      <c r="I765" s="276"/>
      <c r="J765" s="276"/>
      <c r="K765" s="276"/>
    </row>
    <row r="766">
      <c r="A766" s="275"/>
      <c r="B766" s="275"/>
      <c r="C766" s="275"/>
      <c r="D766" s="275"/>
      <c r="E766" s="276"/>
      <c r="F766" s="276"/>
      <c r="G766" s="277"/>
      <c r="H766" s="276"/>
      <c r="I766" s="276"/>
      <c r="J766" s="276"/>
      <c r="K766" s="276"/>
    </row>
    <row r="767">
      <c r="A767" s="275"/>
      <c r="B767" s="275"/>
      <c r="C767" s="275"/>
      <c r="D767" s="275"/>
      <c r="E767" s="276"/>
      <c r="F767" s="276"/>
      <c r="G767" s="277"/>
      <c r="H767" s="276"/>
      <c r="I767" s="276"/>
      <c r="J767" s="276"/>
      <c r="K767" s="276"/>
    </row>
    <row r="768">
      <c r="A768" s="275"/>
      <c r="B768" s="275"/>
      <c r="C768" s="275"/>
      <c r="D768" s="275"/>
      <c r="E768" s="276"/>
      <c r="F768" s="276"/>
      <c r="G768" s="277"/>
      <c r="H768" s="276"/>
      <c r="I768" s="276"/>
      <c r="J768" s="276"/>
      <c r="K768" s="276"/>
    </row>
    <row r="769">
      <c r="A769" s="275"/>
      <c r="B769" s="275"/>
      <c r="C769" s="275"/>
      <c r="D769" s="275"/>
      <c r="E769" s="276"/>
      <c r="F769" s="276"/>
      <c r="G769" s="277"/>
      <c r="H769" s="276"/>
      <c r="I769" s="276"/>
      <c r="J769" s="276"/>
      <c r="K769" s="276"/>
    </row>
    <row r="770">
      <c r="A770" s="275"/>
      <c r="B770" s="275"/>
      <c r="C770" s="275"/>
      <c r="D770" s="275"/>
      <c r="E770" s="276"/>
      <c r="F770" s="276"/>
      <c r="G770" s="277"/>
      <c r="H770" s="276"/>
      <c r="I770" s="276"/>
      <c r="J770" s="276"/>
      <c r="K770" s="276"/>
    </row>
    <row r="771">
      <c r="A771" s="275"/>
      <c r="B771" s="275"/>
      <c r="C771" s="275"/>
      <c r="D771" s="275"/>
      <c r="E771" s="276"/>
      <c r="F771" s="276"/>
      <c r="G771" s="277"/>
      <c r="H771" s="276"/>
      <c r="I771" s="276"/>
      <c r="J771" s="276"/>
      <c r="K771" s="276"/>
    </row>
    <row r="772">
      <c r="A772" s="275"/>
      <c r="B772" s="275"/>
      <c r="C772" s="275"/>
      <c r="D772" s="275"/>
      <c r="E772" s="276"/>
      <c r="F772" s="276"/>
      <c r="G772" s="277"/>
      <c r="H772" s="276"/>
      <c r="I772" s="276"/>
      <c r="J772" s="276"/>
      <c r="K772" s="276"/>
    </row>
    <row r="773">
      <c r="A773" s="275"/>
      <c r="B773" s="275"/>
      <c r="C773" s="275"/>
      <c r="D773" s="275"/>
      <c r="E773" s="276"/>
      <c r="F773" s="276"/>
      <c r="G773" s="277"/>
      <c r="H773" s="276"/>
      <c r="I773" s="276"/>
      <c r="J773" s="276"/>
      <c r="K773" s="276"/>
    </row>
    <row r="774">
      <c r="A774" s="275"/>
      <c r="B774" s="275"/>
      <c r="C774" s="275"/>
      <c r="D774" s="275"/>
      <c r="E774" s="276"/>
      <c r="F774" s="276"/>
      <c r="G774" s="277"/>
      <c r="H774" s="276"/>
      <c r="I774" s="276"/>
      <c r="J774" s="276"/>
      <c r="K774" s="276"/>
    </row>
    <row r="775">
      <c r="A775" s="275"/>
      <c r="B775" s="275"/>
      <c r="C775" s="275"/>
      <c r="D775" s="275"/>
      <c r="E775" s="276"/>
      <c r="F775" s="276"/>
      <c r="G775" s="277"/>
      <c r="H775" s="276"/>
      <c r="I775" s="276"/>
      <c r="J775" s="276"/>
      <c r="K775" s="276"/>
    </row>
    <row r="776">
      <c r="A776" s="275"/>
      <c r="B776" s="275"/>
      <c r="C776" s="275"/>
      <c r="D776" s="275"/>
      <c r="E776" s="276"/>
      <c r="F776" s="276"/>
      <c r="G776" s="277"/>
      <c r="H776" s="276"/>
      <c r="I776" s="276"/>
      <c r="J776" s="276"/>
      <c r="K776" s="276"/>
    </row>
    <row r="777">
      <c r="A777" s="275"/>
      <c r="B777" s="275"/>
      <c r="C777" s="275"/>
      <c r="D777" s="275"/>
      <c r="E777" s="276"/>
      <c r="F777" s="276"/>
      <c r="G777" s="277"/>
      <c r="H777" s="276"/>
      <c r="I777" s="276"/>
      <c r="J777" s="276"/>
      <c r="K777" s="276"/>
    </row>
    <row r="778">
      <c r="A778" s="275"/>
      <c r="B778" s="275"/>
      <c r="C778" s="275"/>
      <c r="D778" s="275"/>
      <c r="E778" s="276"/>
      <c r="F778" s="276"/>
      <c r="G778" s="277"/>
      <c r="H778" s="276"/>
      <c r="I778" s="276"/>
      <c r="J778" s="276"/>
      <c r="K778" s="276"/>
    </row>
    <row r="779">
      <c r="A779" s="275"/>
      <c r="B779" s="275"/>
      <c r="C779" s="275"/>
      <c r="D779" s="275"/>
      <c r="E779" s="276"/>
      <c r="F779" s="276"/>
      <c r="G779" s="277"/>
      <c r="H779" s="276"/>
      <c r="I779" s="276"/>
      <c r="J779" s="276"/>
      <c r="K779" s="276"/>
    </row>
    <row r="780">
      <c r="A780" s="275"/>
      <c r="B780" s="275"/>
      <c r="C780" s="275"/>
      <c r="D780" s="275"/>
      <c r="E780" s="276"/>
      <c r="F780" s="276"/>
      <c r="G780" s="277"/>
      <c r="H780" s="276"/>
      <c r="I780" s="276"/>
      <c r="J780" s="276"/>
      <c r="K780" s="276"/>
    </row>
    <row r="781">
      <c r="A781" s="275"/>
      <c r="B781" s="275"/>
      <c r="C781" s="275"/>
      <c r="D781" s="275"/>
      <c r="E781" s="276"/>
      <c r="F781" s="276"/>
      <c r="G781" s="277"/>
      <c r="H781" s="276"/>
      <c r="I781" s="276"/>
      <c r="J781" s="276"/>
      <c r="K781" s="276"/>
    </row>
    <row r="782">
      <c r="A782" s="275"/>
      <c r="B782" s="275"/>
      <c r="C782" s="275"/>
      <c r="D782" s="275"/>
      <c r="E782" s="276"/>
      <c r="F782" s="276"/>
      <c r="G782" s="277"/>
      <c r="H782" s="276"/>
      <c r="I782" s="276"/>
      <c r="J782" s="276"/>
      <c r="K782" s="276"/>
    </row>
    <row r="783">
      <c r="A783" s="275"/>
      <c r="B783" s="275"/>
      <c r="C783" s="275"/>
      <c r="D783" s="275"/>
      <c r="E783" s="276"/>
      <c r="F783" s="276"/>
      <c r="G783" s="277"/>
      <c r="H783" s="276"/>
      <c r="I783" s="276"/>
      <c r="J783" s="276"/>
      <c r="K783" s="276"/>
    </row>
    <row r="784">
      <c r="A784" s="275"/>
      <c r="B784" s="275"/>
      <c r="C784" s="275"/>
      <c r="D784" s="275"/>
      <c r="E784" s="276"/>
      <c r="F784" s="276"/>
      <c r="G784" s="277"/>
      <c r="H784" s="276"/>
      <c r="I784" s="276"/>
      <c r="J784" s="276"/>
      <c r="K784" s="276"/>
    </row>
    <row r="785">
      <c r="A785" s="275"/>
      <c r="B785" s="275"/>
      <c r="C785" s="275"/>
      <c r="D785" s="275"/>
      <c r="E785" s="276"/>
      <c r="F785" s="276"/>
      <c r="G785" s="277"/>
      <c r="H785" s="276"/>
      <c r="I785" s="276"/>
      <c r="J785" s="276"/>
      <c r="K785" s="276"/>
    </row>
    <row r="786">
      <c r="A786" s="275"/>
      <c r="B786" s="275"/>
      <c r="C786" s="275"/>
      <c r="D786" s="275"/>
      <c r="E786" s="276"/>
      <c r="F786" s="276"/>
      <c r="G786" s="277"/>
      <c r="H786" s="276"/>
      <c r="I786" s="276"/>
      <c r="J786" s="276"/>
      <c r="K786" s="276"/>
    </row>
    <row r="787">
      <c r="A787" s="275"/>
      <c r="B787" s="275"/>
      <c r="C787" s="275"/>
      <c r="D787" s="275"/>
      <c r="E787" s="276"/>
      <c r="F787" s="276"/>
      <c r="G787" s="277"/>
      <c r="H787" s="276"/>
      <c r="I787" s="276"/>
      <c r="J787" s="276"/>
      <c r="K787" s="276"/>
    </row>
    <row r="788">
      <c r="A788" s="275"/>
      <c r="B788" s="275"/>
      <c r="C788" s="275"/>
      <c r="D788" s="275"/>
      <c r="E788" s="276"/>
      <c r="F788" s="276"/>
      <c r="G788" s="277"/>
      <c r="H788" s="276"/>
      <c r="I788" s="276"/>
      <c r="J788" s="276"/>
      <c r="K788" s="276"/>
    </row>
    <row r="789">
      <c r="A789" s="275"/>
      <c r="B789" s="275"/>
      <c r="C789" s="275"/>
      <c r="D789" s="275"/>
      <c r="E789" s="276"/>
      <c r="F789" s="276"/>
      <c r="G789" s="277"/>
      <c r="H789" s="276"/>
      <c r="I789" s="276"/>
      <c r="J789" s="276"/>
      <c r="K789" s="276"/>
    </row>
    <row r="790">
      <c r="A790" s="275"/>
      <c r="B790" s="275"/>
      <c r="C790" s="275"/>
      <c r="D790" s="275"/>
      <c r="E790" s="276"/>
      <c r="F790" s="276"/>
      <c r="G790" s="277"/>
      <c r="H790" s="276"/>
      <c r="I790" s="276"/>
      <c r="J790" s="276"/>
      <c r="K790" s="276"/>
    </row>
    <row r="791">
      <c r="A791" s="275"/>
      <c r="B791" s="275"/>
      <c r="C791" s="275"/>
      <c r="D791" s="275"/>
      <c r="E791" s="276"/>
      <c r="F791" s="276"/>
      <c r="G791" s="277"/>
      <c r="H791" s="276"/>
      <c r="I791" s="276"/>
      <c r="J791" s="276"/>
      <c r="K791" s="276"/>
    </row>
    <row r="792">
      <c r="A792" s="275"/>
      <c r="B792" s="275"/>
      <c r="C792" s="275"/>
      <c r="D792" s="275"/>
      <c r="E792" s="276"/>
      <c r="F792" s="276"/>
      <c r="G792" s="277"/>
      <c r="H792" s="276"/>
      <c r="I792" s="276"/>
      <c r="J792" s="276"/>
      <c r="K792" s="276"/>
    </row>
    <row r="793">
      <c r="A793" s="275"/>
      <c r="B793" s="275"/>
      <c r="C793" s="275"/>
      <c r="D793" s="275"/>
      <c r="E793" s="276"/>
      <c r="F793" s="276"/>
      <c r="G793" s="277"/>
      <c r="H793" s="276"/>
      <c r="I793" s="276"/>
      <c r="J793" s="276"/>
      <c r="K793" s="276"/>
    </row>
    <row r="794">
      <c r="A794" s="275"/>
      <c r="B794" s="275"/>
      <c r="C794" s="275"/>
      <c r="D794" s="275"/>
      <c r="E794" s="276"/>
      <c r="F794" s="276"/>
      <c r="G794" s="277"/>
      <c r="H794" s="276"/>
      <c r="I794" s="276"/>
      <c r="J794" s="276"/>
      <c r="K794" s="276"/>
    </row>
    <row r="795">
      <c r="A795" s="275"/>
      <c r="B795" s="275"/>
      <c r="C795" s="275"/>
      <c r="D795" s="275"/>
      <c r="E795" s="276"/>
      <c r="F795" s="276"/>
      <c r="G795" s="277"/>
      <c r="H795" s="276"/>
      <c r="I795" s="276"/>
      <c r="J795" s="276"/>
      <c r="K795" s="276"/>
    </row>
    <row r="796">
      <c r="A796" s="275"/>
      <c r="B796" s="275"/>
      <c r="C796" s="275"/>
      <c r="D796" s="275"/>
      <c r="E796" s="276"/>
      <c r="F796" s="276"/>
      <c r="G796" s="277"/>
      <c r="H796" s="276"/>
      <c r="I796" s="276"/>
      <c r="J796" s="276"/>
      <c r="K796" s="276"/>
    </row>
    <row r="797">
      <c r="A797" s="275"/>
      <c r="B797" s="275"/>
      <c r="C797" s="275"/>
      <c r="D797" s="275"/>
      <c r="E797" s="276"/>
      <c r="F797" s="276"/>
      <c r="G797" s="277"/>
      <c r="H797" s="276"/>
      <c r="I797" s="276"/>
      <c r="J797" s="276"/>
      <c r="K797" s="276"/>
    </row>
    <row r="798">
      <c r="A798" s="275"/>
      <c r="B798" s="275"/>
      <c r="C798" s="275"/>
      <c r="D798" s="275"/>
      <c r="E798" s="276"/>
      <c r="F798" s="276"/>
      <c r="G798" s="277"/>
      <c r="H798" s="276"/>
      <c r="I798" s="276"/>
      <c r="J798" s="276"/>
      <c r="K798" s="276"/>
    </row>
    <row r="799">
      <c r="A799" s="275"/>
      <c r="B799" s="275"/>
      <c r="C799" s="275"/>
      <c r="D799" s="275"/>
      <c r="E799" s="276"/>
      <c r="F799" s="276"/>
      <c r="G799" s="277"/>
      <c r="H799" s="276"/>
      <c r="I799" s="276"/>
      <c r="J799" s="276"/>
      <c r="K799" s="276"/>
    </row>
    <row r="800">
      <c r="A800" s="275"/>
      <c r="B800" s="275"/>
      <c r="C800" s="275"/>
      <c r="D800" s="275"/>
      <c r="E800" s="276"/>
      <c r="F800" s="276"/>
      <c r="G800" s="277"/>
      <c r="H800" s="276"/>
      <c r="I800" s="276"/>
      <c r="J800" s="276"/>
      <c r="K800" s="276"/>
    </row>
    <row r="801">
      <c r="A801" s="275"/>
      <c r="B801" s="275"/>
      <c r="C801" s="275"/>
      <c r="D801" s="275"/>
      <c r="E801" s="276"/>
      <c r="F801" s="276"/>
      <c r="G801" s="277"/>
      <c r="H801" s="276"/>
      <c r="I801" s="276"/>
      <c r="J801" s="276"/>
      <c r="K801" s="276"/>
    </row>
    <row r="802">
      <c r="A802" s="275"/>
      <c r="B802" s="275"/>
      <c r="C802" s="275"/>
      <c r="D802" s="275"/>
      <c r="E802" s="276"/>
      <c r="F802" s="276"/>
      <c r="G802" s="277"/>
      <c r="H802" s="276"/>
      <c r="I802" s="276"/>
      <c r="J802" s="276"/>
      <c r="K802" s="276"/>
    </row>
    <row r="803">
      <c r="A803" s="275"/>
      <c r="B803" s="275"/>
      <c r="C803" s="275"/>
      <c r="D803" s="275"/>
      <c r="E803" s="276"/>
      <c r="F803" s="276"/>
      <c r="G803" s="277"/>
      <c r="H803" s="276"/>
      <c r="I803" s="276"/>
      <c r="J803" s="276"/>
      <c r="K803" s="276"/>
    </row>
    <row r="804">
      <c r="A804" s="275"/>
      <c r="B804" s="275"/>
      <c r="C804" s="275"/>
      <c r="D804" s="275"/>
      <c r="E804" s="276"/>
      <c r="F804" s="276"/>
      <c r="G804" s="277"/>
      <c r="H804" s="276"/>
      <c r="I804" s="276"/>
      <c r="J804" s="276"/>
      <c r="K804" s="276"/>
    </row>
    <row r="805">
      <c r="A805" s="275"/>
      <c r="B805" s="275"/>
      <c r="C805" s="275"/>
      <c r="D805" s="275"/>
      <c r="E805" s="276"/>
      <c r="F805" s="276"/>
      <c r="G805" s="277"/>
      <c r="H805" s="276"/>
      <c r="I805" s="276"/>
      <c r="J805" s="276"/>
      <c r="K805" s="276"/>
    </row>
    <row r="806">
      <c r="A806" s="275"/>
      <c r="B806" s="275"/>
      <c r="C806" s="275"/>
      <c r="D806" s="275"/>
      <c r="E806" s="276"/>
      <c r="F806" s="276"/>
      <c r="G806" s="277"/>
      <c r="H806" s="276"/>
      <c r="I806" s="276"/>
      <c r="J806" s="276"/>
      <c r="K806" s="276"/>
    </row>
    <row r="807">
      <c r="A807" s="275"/>
      <c r="B807" s="275"/>
      <c r="C807" s="275"/>
      <c r="D807" s="275"/>
      <c r="E807" s="276"/>
      <c r="F807" s="276"/>
      <c r="G807" s="277"/>
      <c r="H807" s="276"/>
      <c r="I807" s="276"/>
      <c r="J807" s="276"/>
      <c r="K807" s="276"/>
    </row>
    <row r="808">
      <c r="A808" s="275"/>
      <c r="B808" s="275"/>
      <c r="C808" s="275"/>
      <c r="D808" s="275"/>
      <c r="E808" s="276"/>
      <c r="F808" s="276"/>
      <c r="G808" s="277"/>
      <c r="H808" s="276"/>
      <c r="I808" s="276"/>
      <c r="J808" s="276"/>
      <c r="K808" s="276"/>
    </row>
    <row r="809">
      <c r="A809" s="275"/>
      <c r="B809" s="275"/>
      <c r="C809" s="275"/>
      <c r="D809" s="275"/>
      <c r="E809" s="276"/>
      <c r="F809" s="276"/>
      <c r="G809" s="277"/>
      <c r="H809" s="276"/>
      <c r="I809" s="276"/>
      <c r="J809" s="276"/>
      <c r="K809" s="276"/>
    </row>
    <row r="810">
      <c r="A810" s="275"/>
      <c r="B810" s="275"/>
      <c r="C810" s="275"/>
      <c r="D810" s="275"/>
      <c r="E810" s="276"/>
      <c r="F810" s="276"/>
      <c r="G810" s="277"/>
      <c r="H810" s="276"/>
      <c r="I810" s="276"/>
      <c r="J810" s="276"/>
      <c r="K810" s="276"/>
    </row>
    <row r="811">
      <c r="A811" s="275"/>
      <c r="B811" s="275"/>
      <c r="C811" s="275"/>
      <c r="D811" s="275"/>
      <c r="E811" s="276"/>
      <c r="F811" s="276"/>
      <c r="G811" s="277"/>
      <c r="H811" s="276"/>
      <c r="I811" s="276"/>
      <c r="J811" s="276"/>
      <c r="K811" s="276"/>
    </row>
    <row r="812">
      <c r="A812" s="275"/>
      <c r="B812" s="275"/>
      <c r="C812" s="275"/>
      <c r="D812" s="275"/>
      <c r="E812" s="276"/>
      <c r="F812" s="276"/>
      <c r="G812" s="277"/>
      <c r="H812" s="276"/>
      <c r="I812" s="276"/>
      <c r="J812" s="276"/>
      <c r="K812" s="276"/>
    </row>
    <row r="813">
      <c r="A813" s="275"/>
      <c r="B813" s="275"/>
      <c r="C813" s="275"/>
      <c r="D813" s="275"/>
      <c r="E813" s="276"/>
      <c r="F813" s="276"/>
      <c r="G813" s="277"/>
      <c r="H813" s="276"/>
      <c r="I813" s="276"/>
      <c r="J813" s="276"/>
      <c r="K813" s="276"/>
    </row>
    <row r="814">
      <c r="A814" s="275"/>
      <c r="B814" s="275"/>
      <c r="C814" s="275"/>
      <c r="D814" s="275"/>
      <c r="E814" s="276"/>
      <c r="F814" s="276"/>
      <c r="G814" s="277"/>
      <c r="H814" s="276"/>
      <c r="I814" s="276"/>
      <c r="J814" s="276"/>
      <c r="K814" s="276"/>
    </row>
    <row r="815">
      <c r="A815" s="275"/>
      <c r="B815" s="275"/>
      <c r="C815" s="275"/>
      <c r="D815" s="275"/>
      <c r="E815" s="276"/>
      <c r="F815" s="276"/>
      <c r="G815" s="277"/>
      <c r="H815" s="276"/>
      <c r="I815" s="276"/>
      <c r="J815" s="276"/>
      <c r="K815" s="276"/>
    </row>
    <row r="816">
      <c r="A816" s="275"/>
      <c r="B816" s="275"/>
      <c r="C816" s="275"/>
      <c r="D816" s="275"/>
      <c r="E816" s="276"/>
      <c r="F816" s="276"/>
      <c r="G816" s="277"/>
      <c r="H816" s="276"/>
      <c r="I816" s="276"/>
      <c r="J816" s="276"/>
      <c r="K816" s="276"/>
    </row>
    <row r="817">
      <c r="A817" s="275"/>
      <c r="B817" s="275"/>
      <c r="C817" s="275"/>
      <c r="D817" s="275"/>
      <c r="E817" s="276"/>
      <c r="F817" s="276"/>
      <c r="G817" s="277"/>
      <c r="H817" s="276"/>
      <c r="I817" s="276"/>
      <c r="J817" s="276"/>
      <c r="K817" s="276"/>
    </row>
    <row r="818">
      <c r="A818" s="275"/>
      <c r="B818" s="275"/>
      <c r="C818" s="275"/>
      <c r="D818" s="275"/>
      <c r="E818" s="276"/>
      <c r="F818" s="276"/>
      <c r="G818" s="277"/>
      <c r="H818" s="276"/>
      <c r="I818" s="276"/>
      <c r="J818" s="276"/>
      <c r="K818" s="276"/>
    </row>
    <row r="819">
      <c r="A819" s="275"/>
      <c r="B819" s="275"/>
      <c r="C819" s="275"/>
      <c r="D819" s="275"/>
      <c r="E819" s="276"/>
      <c r="F819" s="276"/>
      <c r="G819" s="277"/>
      <c r="H819" s="276"/>
      <c r="I819" s="276"/>
      <c r="J819" s="276"/>
      <c r="K819" s="276"/>
    </row>
    <row r="820">
      <c r="A820" s="275"/>
      <c r="B820" s="275"/>
      <c r="C820" s="275"/>
      <c r="D820" s="275"/>
      <c r="E820" s="276"/>
      <c r="F820" s="276"/>
      <c r="G820" s="277"/>
      <c r="H820" s="276"/>
      <c r="I820" s="276"/>
      <c r="J820" s="276"/>
      <c r="K820" s="276"/>
    </row>
    <row r="821">
      <c r="A821" s="275"/>
      <c r="B821" s="275"/>
      <c r="C821" s="275"/>
      <c r="D821" s="275"/>
      <c r="E821" s="276"/>
      <c r="F821" s="276"/>
      <c r="G821" s="277"/>
      <c r="H821" s="276"/>
      <c r="I821" s="276"/>
      <c r="J821" s="276"/>
      <c r="K821" s="276"/>
    </row>
    <row r="822">
      <c r="A822" s="275"/>
      <c r="B822" s="275"/>
      <c r="C822" s="275"/>
      <c r="D822" s="275"/>
      <c r="E822" s="276"/>
      <c r="F822" s="276"/>
      <c r="G822" s="277"/>
      <c r="H822" s="276"/>
      <c r="I822" s="276"/>
      <c r="J822" s="276"/>
      <c r="K822" s="276"/>
    </row>
    <row r="823">
      <c r="A823" s="275"/>
      <c r="B823" s="275"/>
      <c r="C823" s="275"/>
      <c r="D823" s="275"/>
      <c r="E823" s="276"/>
      <c r="F823" s="276"/>
      <c r="G823" s="277"/>
      <c r="H823" s="276"/>
      <c r="I823" s="276"/>
      <c r="J823" s="276"/>
      <c r="K823" s="276"/>
    </row>
    <row r="824">
      <c r="A824" s="275"/>
      <c r="B824" s="275"/>
      <c r="C824" s="275"/>
      <c r="D824" s="275"/>
      <c r="E824" s="276"/>
      <c r="F824" s="276"/>
      <c r="G824" s="277"/>
      <c r="H824" s="276"/>
      <c r="I824" s="276"/>
      <c r="J824" s="276"/>
      <c r="K824" s="276"/>
    </row>
    <row r="825">
      <c r="A825" s="275"/>
      <c r="B825" s="275"/>
      <c r="C825" s="275"/>
      <c r="D825" s="275"/>
      <c r="E825" s="276"/>
      <c r="F825" s="276"/>
      <c r="G825" s="277"/>
      <c r="H825" s="276"/>
      <c r="I825" s="276"/>
      <c r="J825" s="276"/>
      <c r="K825" s="276"/>
    </row>
    <row r="826">
      <c r="A826" s="275"/>
      <c r="B826" s="275"/>
      <c r="C826" s="275"/>
      <c r="D826" s="275"/>
      <c r="E826" s="276"/>
      <c r="F826" s="276"/>
      <c r="G826" s="277"/>
      <c r="H826" s="276"/>
      <c r="I826" s="276"/>
      <c r="J826" s="276"/>
      <c r="K826" s="276"/>
    </row>
    <row r="827">
      <c r="A827" s="275"/>
      <c r="B827" s="275"/>
      <c r="C827" s="275"/>
      <c r="D827" s="275"/>
      <c r="E827" s="276"/>
      <c r="F827" s="276"/>
      <c r="G827" s="277"/>
      <c r="H827" s="276"/>
      <c r="I827" s="276"/>
      <c r="J827" s="276"/>
      <c r="K827" s="276"/>
    </row>
    <row r="828">
      <c r="A828" s="275"/>
      <c r="B828" s="275"/>
      <c r="C828" s="275"/>
      <c r="D828" s="275"/>
      <c r="E828" s="276"/>
      <c r="F828" s="276"/>
      <c r="G828" s="277"/>
      <c r="H828" s="276"/>
      <c r="I828" s="276"/>
      <c r="J828" s="276"/>
      <c r="K828" s="276"/>
    </row>
    <row r="829">
      <c r="A829" s="275"/>
      <c r="B829" s="275"/>
      <c r="C829" s="275"/>
      <c r="D829" s="275"/>
      <c r="E829" s="276"/>
      <c r="F829" s="276"/>
      <c r="G829" s="277"/>
      <c r="H829" s="276"/>
      <c r="I829" s="276"/>
      <c r="J829" s="276"/>
      <c r="K829" s="276"/>
    </row>
    <row r="830">
      <c r="A830" s="275"/>
      <c r="B830" s="275"/>
      <c r="C830" s="275"/>
      <c r="D830" s="275"/>
      <c r="E830" s="276"/>
      <c r="F830" s="276"/>
      <c r="G830" s="277"/>
      <c r="H830" s="276"/>
      <c r="I830" s="276"/>
      <c r="J830" s="276"/>
      <c r="K830" s="276"/>
    </row>
    <row r="831">
      <c r="A831" s="275"/>
      <c r="B831" s="275"/>
      <c r="C831" s="275"/>
      <c r="D831" s="275"/>
      <c r="E831" s="276"/>
      <c r="F831" s="276"/>
      <c r="G831" s="277"/>
      <c r="H831" s="276"/>
      <c r="I831" s="276"/>
      <c r="J831" s="276"/>
      <c r="K831" s="276"/>
    </row>
    <row r="832">
      <c r="A832" s="275"/>
      <c r="B832" s="275"/>
      <c r="C832" s="275"/>
      <c r="D832" s="275"/>
      <c r="E832" s="276"/>
      <c r="F832" s="276"/>
      <c r="G832" s="277"/>
      <c r="H832" s="276"/>
      <c r="I832" s="276"/>
      <c r="J832" s="276"/>
      <c r="K832" s="276"/>
    </row>
    <row r="833">
      <c r="A833" s="275"/>
      <c r="B833" s="275"/>
      <c r="C833" s="275"/>
      <c r="D833" s="275"/>
      <c r="E833" s="276"/>
      <c r="F833" s="276"/>
      <c r="G833" s="277"/>
      <c r="H833" s="276"/>
      <c r="I833" s="276"/>
      <c r="J833" s="276"/>
      <c r="K833" s="276"/>
    </row>
    <row r="834">
      <c r="A834" s="275"/>
      <c r="B834" s="275"/>
      <c r="C834" s="275"/>
      <c r="D834" s="275"/>
      <c r="E834" s="276"/>
      <c r="F834" s="276"/>
      <c r="G834" s="277"/>
      <c r="H834" s="276"/>
      <c r="I834" s="276"/>
      <c r="J834" s="276"/>
      <c r="K834" s="276"/>
    </row>
    <row r="835">
      <c r="A835" s="275"/>
      <c r="B835" s="275"/>
      <c r="C835" s="275"/>
      <c r="D835" s="275"/>
      <c r="E835" s="276"/>
      <c r="F835" s="276"/>
      <c r="G835" s="277"/>
      <c r="H835" s="276"/>
      <c r="I835" s="276"/>
      <c r="J835" s="276"/>
      <c r="K835" s="276"/>
    </row>
    <row r="836">
      <c r="A836" s="275"/>
      <c r="B836" s="275"/>
      <c r="C836" s="275"/>
      <c r="D836" s="275"/>
      <c r="E836" s="276"/>
      <c r="F836" s="276"/>
      <c r="G836" s="277"/>
      <c r="H836" s="276"/>
      <c r="I836" s="276"/>
      <c r="J836" s="276"/>
      <c r="K836" s="276"/>
    </row>
    <row r="837">
      <c r="A837" s="275"/>
      <c r="B837" s="275"/>
      <c r="C837" s="275"/>
      <c r="D837" s="275"/>
      <c r="E837" s="276"/>
      <c r="F837" s="276"/>
      <c r="G837" s="277"/>
      <c r="H837" s="276"/>
      <c r="I837" s="276"/>
      <c r="J837" s="276"/>
      <c r="K837" s="276"/>
    </row>
    <row r="838">
      <c r="A838" s="275"/>
      <c r="B838" s="275"/>
      <c r="C838" s="275"/>
      <c r="D838" s="275"/>
      <c r="E838" s="276"/>
      <c r="F838" s="276"/>
      <c r="G838" s="277"/>
      <c r="H838" s="276"/>
      <c r="I838" s="276"/>
      <c r="J838" s="276"/>
      <c r="K838" s="276"/>
    </row>
    <row r="839">
      <c r="A839" s="275"/>
      <c r="B839" s="275"/>
      <c r="C839" s="275"/>
      <c r="D839" s="275"/>
      <c r="E839" s="276"/>
      <c r="F839" s="276"/>
      <c r="G839" s="277"/>
      <c r="H839" s="276"/>
      <c r="I839" s="276"/>
      <c r="J839" s="276"/>
      <c r="K839" s="276"/>
    </row>
    <row r="840">
      <c r="A840" s="275"/>
      <c r="B840" s="275"/>
      <c r="C840" s="275"/>
      <c r="D840" s="275"/>
      <c r="E840" s="276"/>
      <c r="F840" s="276"/>
      <c r="G840" s="277"/>
      <c r="H840" s="276"/>
      <c r="I840" s="276"/>
      <c r="J840" s="276"/>
      <c r="K840" s="276"/>
    </row>
    <row r="841">
      <c r="A841" s="275"/>
      <c r="B841" s="275"/>
      <c r="C841" s="275"/>
      <c r="D841" s="275"/>
      <c r="E841" s="276"/>
      <c r="F841" s="276"/>
      <c r="G841" s="277"/>
      <c r="H841" s="276"/>
      <c r="I841" s="276"/>
      <c r="J841" s="276"/>
      <c r="K841" s="276"/>
    </row>
    <row r="842">
      <c r="A842" s="275"/>
      <c r="B842" s="275"/>
      <c r="C842" s="275"/>
      <c r="D842" s="275"/>
      <c r="E842" s="276"/>
      <c r="F842" s="276"/>
      <c r="G842" s="277"/>
      <c r="H842" s="276"/>
      <c r="I842" s="276"/>
      <c r="J842" s="276"/>
      <c r="K842" s="276"/>
    </row>
    <row r="843">
      <c r="A843" s="275"/>
      <c r="B843" s="275"/>
      <c r="C843" s="275"/>
      <c r="D843" s="275"/>
      <c r="E843" s="276"/>
      <c r="F843" s="276"/>
      <c r="G843" s="277"/>
      <c r="H843" s="276"/>
      <c r="I843" s="276"/>
      <c r="J843" s="276"/>
      <c r="K843" s="276"/>
    </row>
    <row r="844">
      <c r="A844" s="275"/>
      <c r="B844" s="275"/>
      <c r="C844" s="275"/>
      <c r="D844" s="275"/>
      <c r="E844" s="276"/>
      <c r="F844" s="276"/>
      <c r="G844" s="277"/>
      <c r="H844" s="276"/>
      <c r="I844" s="276"/>
      <c r="J844" s="276"/>
      <c r="K844" s="276"/>
    </row>
    <row r="845">
      <c r="A845" s="275"/>
      <c r="B845" s="275"/>
      <c r="C845" s="275"/>
      <c r="D845" s="275"/>
      <c r="E845" s="276"/>
      <c r="F845" s="276"/>
      <c r="G845" s="277"/>
      <c r="H845" s="276"/>
      <c r="I845" s="276"/>
      <c r="J845" s="276"/>
      <c r="K845" s="276"/>
    </row>
    <row r="846">
      <c r="A846" s="275"/>
      <c r="B846" s="275"/>
      <c r="C846" s="275"/>
      <c r="D846" s="275"/>
      <c r="E846" s="276"/>
      <c r="F846" s="276"/>
      <c r="G846" s="277"/>
      <c r="H846" s="276"/>
      <c r="I846" s="276"/>
      <c r="J846" s="276"/>
      <c r="K846" s="276"/>
    </row>
    <row r="847">
      <c r="A847" s="275"/>
      <c r="B847" s="275"/>
      <c r="C847" s="275"/>
      <c r="D847" s="275"/>
      <c r="E847" s="276"/>
      <c r="F847" s="276"/>
      <c r="G847" s="277"/>
      <c r="H847" s="276"/>
      <c r="I847" s="276"/>
      <c r="J847" s="276"/>
      <c r="K847" s="276"/>
    </row>
    <row r="848">
      <c r="A848" s="275"/>
      <c r="B848" s="275"/>
      <c r="C848" s="275"/>
      <c r="D848" s="275"/>
      <c r="E848" s="276"/>
      <c r="F848" s="276"/>
      <c r="G848" s="277"/>
      <c r="H848" s="276"/>
      <c r="I848" s="276"/>
      <c r="J848" s="276"/>
      <c r="K848" s="276"/>
    </row>
    <row r="849">
      <c r="A849" s="275"/>
      <c r="B849" s="275"/>
      <c r="C849" s="275"/>
      <c r="D849" s="275"/>
      <c r="E849" s="276"/>
      <c r="F849" s="276"/>
      <c r="G849" s="277"/>
      <c r="H849" s="276"/>
      <c r="I849" s="276"/>
      <c r="J849" s="276"/>
      <c r="K849" s="276"/>
    </row>
    <row r="850">
      <c r="A850" s="275"/>
      <c r="B850" s="275"/>
      <c r="C850" s="275"/>
      <c r="D850" s="275"/>
      <c r="E850" s="276"/>
      <c r="F850" s="276"/>
      <c r="G850" s="277"/>
      <c r="H850" s="276"/>
      <c r="I850" s="276"/>
      <c r="J850" s="276"/>
      <c r="K850" s="276"/>
    </row>
    <row r="851">
      <c r="A851" s="275"/>
      <c r="B851" s="275"/>
      <c r="C851" s="275"/>
      <c r="D851" s="275"/>
      <c r="E851" s="276"/>
      <c r="F851" s="276"/>
      <c r="G851" s="277"/>
      <c r="H851" s="276"/>
      <c r="I851" s="276"/>
      <c r="J851" s="276"/>
      <c r="K851" s="276"/>
    </row>
    <row r="852">
      <c r="A852" s="275"/>
      <c r="B852" s="275"/>
      <c r="C852" s="275"/>
      <c r="D852" s="275"/>
      <c r="E852" s="276"/>
      <c r="F852" s="276"/>
      <c r="G852" s="277"/>
      <c r="H852" s="276"/>
      <c r="I852" s="276"/>
      <c r="J852" s="276"/>
      <c r="K852" s="276"/>
    </row>
    <row r="853">
      <c r="A853" s="275"/>
      <c r="B853" s="275"/>
      <c r="C853" s="275"/>
      <c r="D853" s="275"/>
      <c r="E853" s="276"/>
      <c r="F853" s="276"/>
      <c r="G853" s="277"/>
      <c r="H853" s="276"/>
      <c r="I853" s="276"/>
      <c r="J853" s="276"/>
      <c r="K853" s="276"/>
    </row>
    <row r="854">
      <c r="A854" s="275"/>
      <c r="B854" s="275"/>
      <c r="C854" s="275"/>
      <c r="D854" s="275"/>
      <c r="E854" s="276"/>
      <c r="F854" s="276"/>
      <c r="G854" s="277"/>
      <c r="H854" s="276"/>
      <c r="I854" s="276"/>
      <c r="J854" s="276"/>
      <c r="K854" s="276"/>
    </row>
    <row r="855">
      <c r="A855" s="275"/>
      <c r="B855" s="275"/>
      <c r="C855" s="275"/>
      <c r="D855" s="275"/>
      <c r="E855" s="276"/>
      <c r="F855" s="276"/>
      <c r="G855" s="277"/>
      <c r="H855" s="276"/>
      <c r="I855" s="276"/>
      <c r="J855" s="276"/>
      <c r="K855" s="276"/>
    </row>
    <row r="856">
      <c r="A856" s="275"/>
      <c r="B856" s="275"/>
      <c r="C856" s="275"/>
      <c r="D856" s="275"/>
      <c r="E856" s="276"/>
      <c r="F856" s="276"/>
      <c r="G856" s="277"/>
      <c r="H856" s="276"/>
      <c r="I856" s="276"/>
      <c r="J856" s="276"/>
      <c r="K856" s="276"/>
    </row>
    <row r="857">
      <c r="A857" s="275"/>
      <c r="B857" s="275"/>
      <c r="C857" s="275"/>
      <c r="D857" s="275"/>
      <c r="E857" s="276"/>
      <c r="F857" s="276"/>
      <c r="G857" s="277"/>
      <c r="H857" s="276"/>
      <c r="I857" s="276"/>
      <c r="J857" s="276"/>
      <c r="K857" s="276"/>
    </row>
    <row r="858">
      <c r="A858" s="275"/>
      <c r="B858" s="275"/>
      <c r="C858" s="275"/>
      <c r="D858" s="275"/>
      <c r="E858" s="276"/>
      <c r="F858" s="276"/>
      <c r="G858" s="277"/>
      <c r="H858" s="276"/>
      <c r="I858" s="276"/>
      <c r="J858" s="276"/>
      <c r="K858" s="276"/>
    </row>
    <row r="859">
      <c r="A859" s="275"/>
      <c r="B859" s="275"/>
      <c r="C859" s="275"/>
      <c r="D859" s="275"/>
      <c r="E859" s="276"/>
      <c r="F859" s="276"/>
      <c r="G859" s="277"/>
      <c r="H859" s="276"/>
      <c r="I859" s="276"/>
      <c r="J859" s="276"/>
      <c r="K859" s="276"/>
    </row>
    <row r="860">
      <c r="A860" s="275"/>
      <c r="B860" s="275"/>
      <c r="C860" s="275"/>
      <c r="D860" s="275"/>
      <c r="E860" s="276"/>
      <c r="F860" s="276"/>
      <c r="G860" s="277"/>
      <c r="H860" s="276"/>
      <c r="I860" s="276"/>
      <c r="J860" s="276"/>
      <c r="K860" s="276"/>
    </row>
    <row r="861">
      <c r="A861" s="275"/>
      <c r="B861" s="275"/>
      <c r="C861" s="275"/>
      <c r="D861" s="275"/>
      <c r="E861" s="276"/>
      <c r="F861" s="276"/>
      <c r="G861" s="277"/>
      <c r="H861" s="276"/>
      <c r="I861" s="276"/>
      <c r="J861" s="276"/>
      <c r="K861" s="276"/>
    </row>
    <row r="862">
      <c r="A862" s="275"/>
      <c r="B862" s="275"/>
      <c r="C862" s="275"/>
      <c r="D862" s="275"/>
      <c r="E862" s="276"/>
      <c r="F862" s="276"/>
      <c r="G862" s="277"/>
      <c r="H862" s="276"/>
      <c r="I862" s="276"/>
      <c r="J862" s="276"/>
      <c r="K862" s="276"/>
    </row>
    <row r="863">
      <c r="A863" s="275"/>
      <c r="B863" s="275"/>
      <c r="C863" s="275"/>
      <c r="D863" s="275"/>
      <c r="E863" s="276"/>
      <c r="F863" s="276"/>
      <c r="G863" s="277"/>
      <c r="H863" s="276"/>
      <c r="I863" s="276"/>
      <c r="J863" s="276"/>
      <c r="K863" s="276"/>
    </row>
    <row r="864">
      <c r="A864" s="275"/>
      <c r="B864" s="275"/>
      <c r="C864" s="275"/>
      <c r="D864" s="275"/>
      <c r="E864" s="276"/>
      <c r="F864" s="276"/>
      <c r="G864" s="277"/>
      <c r="H864" s="276"/>
      <c r="I864" s="276"/>
      <c r="J864" s="276"/>
      <c r="K864" s="276"/>
    </row>
    <row r="865">
      <c r="A865" s="275"/>
      <c r="B865" s="275"/>
      <c r="C865" s="275"/>
      <c r="D865" s="275"/>
      <c r="E865" s="276"/>
      <c r="F865" s="276"/>
      <c r="G865" s="277"/>
      <c r="H865" s="276"/>
      <c r="I865" s="276"/>
      <c r="J865" s="276"/>
      <c r="K865" s="276"/>
    </row>
    <row r="866">
      <c r="A866" s="275"/>
      <c r="B866" s="275"/>
      <c r="C866" s="275"/>
      <c r="D866" s="275"/>
      <c r="E866" s="276"/>
      <c r="F866" s="276"/>
      <c r="G866" s="277"/>
      <c r="H866" s="276"/>
      <c r="I866" s="276"/>
      <c r="J866" s="276"/>
      <c r="K866" s="276"/>
    </row>
    <row r="867">
      <c r="A867" s="275"/>
      <c r="B867" s="275"/>
      <c r="C867" s="275"/>
      <c r="D867" s="275"/>
      <c r="E867" s="276"/>
      <c r="F867" s="276"/>
      <c r="G867" s="277"/>
      <c r="H867" s="276"/>
      <c r="I867" s="276"/>
      <c r="J867" s="276"/>
      <c r="K867" s="276"/>
    </row>
    <row r="868">
      <c r="A868" s="275"/>
      <c r="B868" s="275"/>
      <c r="C868" s="275"/>
      <c r="D868" s="275"/>
      <c r="E868" s="276"/>
      <c r="F868" s="276"/>
      <c r="G868" s="277"/>
      <c r="H868" s="276"/>
      <c r="I868" s="276"/>
      <c r="J868" s="276"/>
      <c r="K868" s="276"/>
    </row>
    <row r="869">
      <c r="A869" s="275"/>
      <c r="B869" s="275"/>
      <c r="C869" s="275"/>
      <c r="D869" s="275"/>
      <c r="E869" s="276"/>
      <c r="F869" s="276"/>
      <c r="G869" s="277"/>
      <c r="H869" s="276"/>
      <c r="I869" s="276"/>
      <c r="J869" s="276"/>
      <c r="K869" s="276"/>
    </row>
    <row r="870">
      <c r="A870" s="275"/>
      <c r="B870" s="275"/>
      <c r="C870" s="275"/>
      <c r="D870" s="275"/>
      <c r="E870" s="276"/>
      <c r="F870" s="276"/>
      <c r="G870" s="277"/>
      <c r="H870" s="276"/>
      <c r="I870" s="276"/>
      <c r="J870" s="276"/>
      <c r="K870" s="276"/>
    </row>
    <row r="871">
      <c r="A871" s="275"/>
      <c r="B871" s="275"/>
      <c r="C871" s="275"/>
      <c r="D871" s="275"/>
      <c r="E871" s="276"/>
      <c r="F871" s="276"/>
      <c r="G871" s="277"/>
      <c r="H871" s="276"/>
      <c r="I871" s="276"/>
      <c r="J871" s="276"/>
      <c r="K871" s="276"/>
    </row>
    <row r="872">
      <c r="A872" s="275"/>
      <c r="B872" s="275"/>
      <c r="C872" s="275"/>
      <c r="D872" s="275"/>
      <c r="E872" s="276"/>
      <c r="F872" s="276"/>
      <c r="G872" s="277"/>
      <c r="H872" s="276"/>
      <c r="I872" s="276"/>
      <c r="J872" s="276"/>
      <c r="K872" s="276"/>
    </row>
    <row r="873">
      <c r="A873" s="275"/>
      <c r="B873" s="275"/>
      <c r="C873" s="275"/>
      <c r="D873" s="275"/>
      <c r="E873" s="276"/>
      <c r="F873" s="276"/>
      <c r="G873" s="277"/>
      <c r="H873" s="276"/>
      <c r="I873" s="276"/>
      <c r="J873" s="276"/>
      <c r="K873" s="276"/>
    </row>
    <row r="874">
      <c r="A874" s="275"/>
      <c r="B874" s="275"/>
      <c r="C874" s="275"/>
      <c r="D874" s="275"/>
      <c r="E874" s="276"/>
      <c r="F874" s="276"/>
      <c r="G874" s="277"/>
      <c r="H874" s="276"/>
      <c r="I874" s="276"/>
      <c r="J874" s="276"/>
      <c r="K874" s="276"/>
    </row>
    <row r="875">
      <c r="A875" s="275"/>
      <c r="B875" s="275"/>
      <c r="C875" s="275"/>
      <c r="D875" s="275"/>
      <c r="E875" s="276"/>
      <c r="F875" s="276"/>
      <c r="G875" s="277"/>
      <c r="H875" s="276"/>
      <c r="I875" s="276"/>
      <c r="J875" s="276"/>
      <c r="K875" s="276"/>
    </row>
    <row r="876">
      <c r="A876" s="275"/>
      <c r="B876" s="275"/>
      <c r="C876" s="275"/>
      <c r="D876" s="275"/>
      <c r="E876" s="276"/>
      <c r="F876" s="276"/>
      <c r="G876" s="277"/>
      <c r="H876" s="276"/>
      <c r="I876" s="276"/>
      <c r="J876" s="276"/>
      <c r="K876" s="276"/>
    </row>
    <row r="877">
      <c r="A877" s="275"/>
      <c r="B877" s="275"/>
      <c r="C877" s="275"/>
      <c r="D877" s="275"/>
      <c r="E877" s="276"/>
      <c r="F877" s="276"/>
      <c r="G877" s="277"/>
      <c r="H877" s="276"/>
      <c r="I877" s="276"/>
      <c r="J877" s="276"/>
      <c r="K877" s="276"/>
    </row>
    <row r="878">
      <c r="A878" s="275"/>
      <c r="B878" s="275"/>
      <c r="C878" s="275"/>
      <c r="D878" s="275"/>
      <c r="E878" s="276"/>
      <c r="F878" s="276"/>
      <c r="G878" s="277"/>
      <c r="H878" s="276"/>
      <c r="I878" s="276"/>
      <c r="J878" s="276"/>
      <c r="K878" s="276"/>
    </row>
    <row r="879">
      <c r="A879" s="275"/>
      <c r="B879" s="275"/>
      <c r="C879" s="275"/>
      <c r="D879" s="275"/>
      <c r="E879" s="276"/>
      <c r="F879" s="276"/>
      <c r="G879" s="277"/>
      <c r="H879" s="276"/>
      <c r="I879" s="276"/>
      <c r="J879" s="276"/>
      <c r="K879" s="276"/>
    </row>
    <row r="880">
      <c r="A880" s="275"/>
      <c r="B880" s="275"/>
      <c r="C880" s="275"/>
      <c r="D880" s="275"/>
      <c r="E880" s="276"/>
      <c r="F880" s="276"/>
      <c r="G880" s="277"/>
      <c r="H880" s="276"/>
      <c r="I880" s="276"/>
      <c r="J880" s="276"/>
      <c r="K880" s="276"/>
    </row>
    <row r="881">
      <c r="A881" s="275"/>
      <c r="B881" s="275"/>
      <c r="C881" s="275"/>
      <c r="D881" s="275"/>
      <c r="E881" s="276"/>
      <c r="F881" s="276"/>
      <c r="G881" s="277"/>
      <c r="H881" s="276"/>
      <c r="I881" s="276"/>
      <c r="J881" s="276"/>
      <c r="K881" s="276"/>
    </row>
    <row r="882">
      <c r="A882" s="275"/>
      <c r="B882" s="275"/>
      <c r="C882" s="275"/>
      <c r="D882" s="275"/>
      <c r="E882" s="276"/>
      <c r="F882" s="276"/>
      <c r="G882" s="277"/>
      <c r="H882" s="276"/>
      <c r="I882" s="276"/>
      <c r="J882" s="276"/>
      <c r="K882" s="276"/>
    </row>
    <row r="883">
      <c r="A883" s="275"/>
      <c r="B883" s="275"/>
      <c r="C883" s="275"/>
      <c r="D883" s="275"/>
      <c r="E883" s="276"/>
      <c r="F883" s="276"/>
      <c r="G883" s="277"/>
      <c r="H883" s="276"/>
      <c r="I883" s="276"/>
      <c r="J883" s="276"/>
      <c r="K883" s="276"/>
    </row>
    <row r="884">
      <c r="A884" s="275"/>
      <c r="B884" s="275"/>
      <c r="C884" s="275"/>
      <c r="D884" s="275"/>
      <c r="E884" s="276"/>
      <c r="F884" s="276"/>
      <c r="G884" s="277"/>
      <c r="H884" s="276"/>
      <c r="I884" s="276"/>
      <c r="J884" s="276"/>
      <c r="K884" s="276"/>
    </row>
    <row r="885">
      <c r="A885" s="275"/>
      <c r="B885" s="275"/>
      <c r="C885" s="275"/>
      <c r="D885" s="275"/>
      <c r="E885" s="276"/>
      <c r="F885" s="276"/>
      <c r="G885" s="277"/>
      <c r="H885" s="276"/>
      <c r="I885" s="276"/>
      <c r="J885" s="276"/>
      <c r="K885" s="276"/>
    </row>
    <row r="886">
      <c r="A886" s="275"/>
      <c r="B886" s="275"/>
      <c r="C886" s="275"/>
      <c r="D886" s="275"/>
      <c r="E886" s="276"/>
      <c r="F886" s="276"/>
      <c r="G886" s="277"/>
      <c r="H886" s="276"/>
      <c r="I886" s="276"/>
      <c r="J886" s="276"/>
      <c r="K886" s="276"/>
    </row>
    <row r="887">
      <c r="A887" s="275"/>
      <c r="B887" s="275"/>
      <c r="C887" s="275"/>
      <c r="D887" s="275"/>
      <c r="E887" s="276"/>
      <c r="F887" s="276"/>
      <c r="G887" s="277"/>
      <c r="H887" s="276"/>
      <c r="I887" s="276"/>
      <c r="J887" s="276"/>
      <c r="K887" s="276"/>
    </row>
    <row r="888">
      <c r="A888" s="275"/>
      <c r="B888" s="275"/>
      <c r="C888" s="275"/>
      <c r="D888" s="275"/>
      <c r="E888" s="276"/>
      <c r="F888" s="276"/>
      <c r="G888" s="277"/>
      <c r="H888" s="276"/>
      <c r="I888" s="276"/>
      <c r="J888" s="276"/>
      <c r="K888" s="276"/>
    </row>
    <row r="889">
      <c r="A889" s="275"/>
      <c r="B889" s="275"/>
      <c r="C889" s="275"/>
      <c r="D889" s="275"/>
      <c r="E889" s="276"/>
      <c r="F889" s="276"/>
      <c r="G889" s="277"/>
      <c r="H889" s="276"/>
      <c r="I889" s="276"/>
      <c r="J889" s="276"/>
      <c r="K889" s="276"/>
    </row>
    <row r="890">
      <c r="A890" s="275"/>
      <c r="B890" s="275"/>
      <c r="C890" s="275"/>
      <c r="D890" s="275"/>
      <c r="E890" s="276"/>
      <c r="F890" s="276"/>
      <c r="G890" s="277"/>
      <c r="H890" s="276"/>
      <c r="I890" s="276"/>
      <c r="J890" s="276"/>
      <c r="K890" s="276"/>
    </row>
    <row r="891">
      <c r="A891" s="275"/>
      <c r="B891" s="275"/>
      <c r="C891" s="275"/>
      <c r="D891" s="275"/>
      <c r="E891" s="276"/>
      <c r="F891" s="276"/>
      <c r="G891" s="277"/>
      <c r="H891" s="276"/>
      <c r="I891" s="276"/>
      <c r="J891" s="276"/>
      <c r="K891" s="276"/>
    </row>
    <row r="892">
      <c r="A892" s="275"/>
      <c r="B892" s="275"/>
      <c r="C892" s="275"/>
      <c r="D892" s="275"/>
      <c r="E892" s="276"/>
      <c r="F892" s="276"/>
      <c r="G892" s="277"/>
      <c r="H892" s="276"/>
      <c r="I892" s="276"/>
      <c r="J892" s="276"/>
      <c r="K892" s="276"/>
    </row>
    <row r="893">
      <c r="A893" s="275"/>
      <c r="B893" s="275"/>
      <c r="C893" s="275"/>
      <c r="D893" s="275"/>
      <c r="E893" s="276"/>
      <c r="F893" s="276"/>
      <c r="G893" s="277"/>
      <c r="H893" s="276"/>
      <c r="I893" s="276"/>
      <c r="J893" s="276"/>
      <c r="K893" s="276"/>
    </row>
    <row r="894">
      <c r="A894" s="275"/>
      <c r="B894" s="275"/>
      <c r="C894" s="275"/>
      <c r="D894" s="275"/>
      <c r="E894" s="276"/>
      <c r="F894" s="276"/>
      <c r="G894" s="277"/>
      <c r="H894" s="276"/>
      <c r="I894" s="276"/>
      <c r="J894" s="276"/>
      <c r="K894" s="276"/>
    </row>
    <row r="895">
      <c r="A895" s="275"/>
      <c r="B895" s="275"/>
      <c r="C895" s="275"/>
      <c r="D895" s="275"/>
      <c r="E895" s="276"/>
      <c r="F895" s="276"/>
      <c r="G895" s="277"/>
      <c r="H895" s="276"/>
      <c r="I895" s="276"/>
      <c r="J895" s="276"/>
      <c r="K895" s="276"/>
    </row>
    <row r="896">
      <c r="A896" s="275"/>
      <c r="B896" s="275"/>
      <c r="C896" s="275"/>
      <c r="D896" s="275"/>
      <c r="E896" s="276"/>
      <c r="F896" s="276"/>
      <c r="G896" s="277"/>
      <c r="H896" s="276"/>
      <c r="I896" s="276"/>
      <c r="J896" s="276"/>
      <c r="K896" s="276"/>
    </row>
    <row r="897">
      <c r="A897" s="275"/>
      <c r="B897" s="275"/>
      <c r="C897" s="275"/>
      <c r="D897" s="275"/>
      <c r="E897" s="276"/>
      <c r="F897" s="276"/>
      <c r="G897" s="277"/>
      <c r="H897" s="276"/>
      <c r="I897" s="276"/>
      <c r="J897" s="276"/>
      <c r="K897" s="276"/>
    </row>
    <row r="898">
      <c r="A898" s="275"/>
      <c r="B898" s="275"/>
      <c r="C898" s="275"/>
      <c r="D898" s="275"/>
      <c r="E898" s="276"/>
      <c r="F898" s="276"/>
      <c r="G898" s="277"/>
      <c r="H898" s="276"/>
      <c r="I898" s="276"/>
      <c r="J898" s="276"/>
      <c r="K898" s="276"/>
    </row>
    <row r="899">
      <c r="A899" s="275"/>
      <c r="B899" s="275"/>
      <c r="C899" s="275"/>
      <c r="D899" s="275"/>
      <c r="E899" s="276"/>
      <c r="F899" s="276"/>
      <c r="G899" s="277"/>
      <c r="H899" s="276"/>
      <c r="I899" s="276"/>
      <c r="J899" s="276"/>
      <c r="K899" s="276"/>
    </row>
    <row r="900">
      <c r="A900" s="275"/>
      <c r="B900" s="275"/>
      <c r="C900" s="275"/>
      <c r="D900" s="275"/>
      <c r="E900" s="276"/>
      <c r="F900" s="276"/>
      <c r="G900" s="277"/>
      <c r="H900" s="276"/>
      <c r="I900" s="276"/>
      <c r="J900" s="276"/>
      <c r="K900" s="276"/>
    </row>
    <row r="901">
      <c r="A901" s="275"/>
      <c r="B901" s="275"/>
      <c r="C901" s="275"/>
      <c r="D901" s="275"/>
      <c r="E901" s="276"/>
      <c r="F901" s="276"/>
      <c r="G901" s="277"/>
      <c r="H901" s="276"/>
      <c r="I901" s="276"/>
      <c r="J901" s="276"/>
      <c r="K901" s="276"/>
    </row>
    <row r="902">
      <c r="A902" s="275"/>
      <c r="B902" s="275"/>
      <c r="C902" s="275"/>
      <c r="D902" s="275"/>
      <c r="E902" s="276"/>
      <c r="F902" s="276"/>
      <c r="G902" s="277"/>
      <c r="H902" s="276"/>
      <c r="I902" s="276"/>
      <c r="J902" s="276"/>
      <c r="K902" s="276"/>
    </row>
    <row r="903">
      <c r="A903" s="275"/>
      <c r="B903" s="275"/>
      <c r="C903" s="275"/>
      <c r="D903" s="275"/>
      <c r="E903" s="276"/>
      <c r="F903" s="276"/>
      <c r="G903" s="277"/>
      <c r="H903" s="276"/>
      <c r="I903" s="276"/>
      <c r="J903" s="276"/>
      <c r="K903" s="276"/>
    </row>
    <row r="904">
      <c r="A904" s="275"/>
      <c r="B904" s="275"/>
      <c r="C904" s="275"/>
      <c r="D904" s="275"/>
      <c r="E904" s="276"/>
      <c r="F904" s="276"/>
      <c r="G904" s="277"/>
      <c r="H904" s="276"/>
      <c r="I904" s="276"/>
      <c r="J904" s="276"/>
      <c r="K904" s="276"/>
    </row>
    <row r="905">
      <c r="A905" s="275"/>
      <c r="B905" s="275"/>
      <c r="C905" s="275"/>
      <c r="D905" s="275"/>
      <c r="E905" s="276"/>
      <c r="F905" s="276"/>
      <c r="G905" s="277"/>
      <c r="H905" s="276"/>
      <c r="I905" s="276"/>
      <c r="J905" s="276"/>
      <c r="K905" s="276"/>
    </row>
    <row r="906">
      <c r="A906" s="275"/>
      <c r="B906" s="275"/>
      <c r="C906" s="275"/>
      <c r="D906" s="275"/>
      <c r="E906" s="276"/>
      <c r="F906" s="276"/>
      <c r="G906" s="277"/>
      <c r="H906" s="276"/>
      <c r="I906" s="276"/>
      <c r="J906" s="276"/>
      <c r="K906" s="276"/>
    </row>
    <row r="907">
      <c r="A907" s="275"/>
      <c r="B907" s="275"/>
      <c r="C907" s="275"/>
      <c r="D907" s="275"/>
      <c r="E907" s="276"/>
      <c r="F907" s="276"/>
      <c r="G907" s="277"/>
      <c r="H907" s="276"/>
      <c r="I907" s="276"/>
      <c r="J907" s="276"/>
      <c r="K907" s="276"/>
    </row>
    <row r="908">
      <c r="A908" s="275"/>
      <c r="B908" s="275"/>
      <c r="C908" s="275"/>
      <c r="D908" s="275"/>
      <c r="E908" s="276"/>
      <c r="F908" s="276"/>
      <c r="G908" s="277"/>
      <c r="H908" s="276"/>
      <c r="I908" s="276"/>
      <c r="J908" s="276"/>
      <c r="K908" s="276"/>
    </row>
    <row r="909">
      <c r="A909" s="275"/>
      <c r="B909" s="275"/>
      <c r="C909" s="275"/>
      <c r="D909" s="275"/>
      <c r="E909" s="276"/>
      <c r="F909" s="276"/>
      <c r="G909" s="277"/>
      <c r="H909" s="276"/>
      <c r="I909" s="276"/>
      <c r="J909" s="276"/>
      <c r="K909" s="276"/>
    </row>
    <row r="910">
      <c r="A910" s="275"/>
      <c r="B910" s="275"/>
      <c r="C910" s="275"/>
      <c r="D910" s="275"/>
      <c r="E910" s="276"/>
      <c r="F910" s="276"/>
      <c r="G910" s="277"/>
      <c r="H910" s="276"/>
      <c r="I910" s="276"/>
      <c r="J910" s="276"/>
      <c r="K910" s="276"/>
    </row>
    <row r="911">
      <c r="A911" s="275"/>
      <c r="B911" s="275"/>
      <c r="C911" s="275"/>
      <c r="D911" s="275"/>
      <c r="E911" s="276"/>
      <c r="F911" s="276"/>
      <c r="G911" s="277"/>
      <c r="H911" s="276"/>
      <c r="I911" s="276"/>
      <c r="J911" s="276"/>
      <c r="K911" s="276"/>
    </row>
    <row r="912">
      <c r="A912" s="275"/>
      <c r="B912" s="275"/>
      <c r="C912" s="275"/>
      <c r="D912" s="275"/>
      <c r="E912" s="276"/>
      <c r="F912" s="276"/>
      <c r="G912" s="277"/>
      <c r="H912" s="276"/>
      <c r="I912" s="276"/>
      <c r="J912" s="276"/>
      <c r="K912" s="276"/>
    </row>
    <row r="913">
      <c r="A913" s="275"/>
      <c r="B913" s="275"/>
      <c r="C913" s="275"/>
      <c r="D913" s="275"/>
      <c r="E913" s="276"/>
      <c r="F913" s="276"/>
      <c r="G913" s="277"/>
      <c r="H913" s="276"/>
      <c r="I913" s="276"/>
      <c r="J913" s="276"/>
      <c r="K913" s="276"/>
    </row>
    <row r="914">
      <c r="A914" s="275"/>
      <c r="B914" s="275"/>
      <c r="C914" s="275"/>
      <c r="D914" s="275"/>
      <c r="E914" s="276"/>
      <c r="F914" s="276"/>
      <c r="G914" s="277"/>
      <c r="H914" s="276"/>
      <c r="I914" s="276"/>
      <c r="J914" s="276"/>
      <c r="K914" s="276"/>
    </row>
    <row r="915">
      <c r="A915" s="275"/>
      <c r="B915" s="275"/>
      <c r="C915" s="275"/>
      <c r="D915" s="275"/>
      <c r="E915" s="276"/>
      <c r="F915" s="276"/>
      <c r="G915" s="277"/>
      <c r="H915" s="276"/>
      <c r="I915" s="276"/>
      <c r="J915" s="276"/>
      <c r="K915" s="276"/>
    </row>
    <row r="916">
      <c r="A916" s="275"/>
      <c r="B916" s="275"/>
      <c r="C916" s="275"/>
      <c r="D916" s="275"/>
      <c r="E916" s="276"/>
      <c r="F916" s="276"/>
      <c r="G916" s="277"/>
      <c r="H916" s="276"/>
      <c r="I916" s="276"/>
      <c r="J916" s="276"/>
      <c r="K916" s="276"/>
    </row>
    <row r="917">
      <c r="A917" s="275"/>
      <c r="B917" s="275"/>
      <c r="C917" s="275"/>
      <c r="D917" s="275"/>
      <c r="E917" s="276"/>
      <c r="F917" s="276"/>
      <c r="G917" s="277"/>
      <c r="H917" s="276"/>
      <c r="I917" s="276"/>
      <c r="J917" s="276"/>
      <c r="K917" s="276"/>
    </row>
    <row r="918">
      <c r="A918" s="275"/>
      <c r="B918" s="275"/>
      <c r="C918" s="275"/>
      <c r="D918" s="275"/>
      <c r="E918" s="276"/>
      <c r="F918" s="276"/>
      <c r="G918" s="277"/>
      <c r="H918" s="276"/>
      <c r="I918" s="276"/>
      <c r="J918" s="276"/>
      <c r="K918" s="276"/>
    </row>
    <row r="919">
      <c r="A919" s="275"/>
      <c r="B919" s="275"/>
      <c r="C919" s="275"/>
      <c r="D919" s="275"/>
      <c r="E919" s="276"/>
      <c r="F919" s="276"/>
      <c r="G919" s="277"/>
      <c r="H919" s="276"/>
      <c r="I919" s="276"/>
      <c r="J919" s="276"/>
      <c r="K919" s="276"/>
    </row>
    <row r="920">
      <c r="A920" s="275"/>
      <c r="B920" s="275"/>
      <c r="C920" s="275"/>
      <c r="D920" s="275"/>
      <c r="E920" s="276"/>
      <c r="F920" s="276"/>
      <c r="G920" s="277"/>
      <c r="H920" s="276"/>
      <c r="I920" s="276"/>
      <c r="J920" s="276"/>
      <c r="K920" s="276"/>
    </row>
    <row r="921">
      <c r="A921" s="275"/>
      <c r="B921" s="275"/>
      <c r="C921" s="275"/>
      <c r="D921" s="275"/>
      <c r="E921" s="276"/>
      <c r="F921" s="276"/>
      <c r="G921" s="277"/>
      <c r="H921" s="276"/>
      <c r="I921" s="276"/>
      <c r="J921" s="276"/>
      <c r="K921" s="276"/>
    </row>
    <row r="922">
      <c r="A922" s="275"/>
      <c r="B922" s="275"/>
      <c r="C922" s="275"/>
      <c r="D922" s="275"/>
      <c r="E922" s="276"/>
      <c r="F922" s="276"/>
      <c r="G922" s="277"/>
      <c r="H922" s="276"/>
      <c r="I922" s="276"/>
      <c r="J922" s="276"/>
      <c r="K922" s="276"/>
    </row>
    <row r="923">
      <c r="A923" s="275"/>
      <c r="B923" s="275"/>
      <c r="C923" s="275"/>
      <c r="D923" s="275"/>
      <c r="E923" s="276"/>
      <c r="F923" s="276"/>
      <c r="G923" s="277"/>
      <c r="H923" s="276"/>
      <c r="I923" s="276"/>
      <c r="J923" s="276"/>
      <c r="K923" s="276"/>
    </row>
    <row r="924">
      <c r="A924" s="275"/>
      <c r="B924" s="275"/>
      <c r="C924" s="275"/>
      <c r="D924" s="275"/>
      <c r="E924" s="276"/>
      <c r="F924" s="276"/>
      <c r="G924" s="277"/>
      <c r="H924" s="276"/>
      <c r="I924" s="276"/>
      <c r="J924" s="276"/>
      <c r="K924" s="276"/>
    </row>
    <row r="925">
      <c r="A925" s="275"/>
      <c r="B925" s="275"/>
      <c r="C925" s="275"/>
      <c r="D925" s="275"/>
      <c r="E925" s="276"/>
      <c r="F925" s="276"/>
      <c r="G925" s="277"/>
      <c r="H925" s="276"/>
      <c r="I925" s="276"/>
      <c r="J925" s="276"/>
      <c r="K925" s="276"/>
    </row>
    <row r="926">
      <c r="A926" s="275"/>
      <c r="B926" s="275"/>
      <c r="C926" s="275"/>
      <c r="D926" s="275"/>
      <c r="E926" s="276"/>
      <c r="F926" s="276"/>
      <c r="G926" s="277"/>
      <c r="H926" s="276"/>
      <c r="I926" s="276"/>
      <c r="J926" s="276"/>
      <c r="K926" s="276"/>
    </row>
    <row r="927">
      <c r="A927" s="275"/>
      <c r="B927" s="275"/>
      <c r="C927" s="275"/>
      <c r="D927" s="275"/>
      <c r="E927" s="276"/>
      <c r="F927" s="276"/>
      <c r="G927" s="277"/>
      <c r="H927" s="276"/>
      <c r="I927" s="276"/>
      <c r="J927" s="276"/>
      <c r="K927" s="276"/>
    </row>
    <row r="928">
      <c r="A928" s="275"/>
      <c r="B928" s="275"/>
      <c r="C928" s="275"/>
      <c r="D928" s="275"/>
      <c r="E928" s="276"/>
      <c r="F928" s="276"/>
      <c r="G928" s="277"/>
      <c r="H928" s="276"/>
      <c r="I928" s="276"/>
      <c r="J928" s="276"/>
      <c r="K928" s="276"/>
    </row>
    <row r="929">
      <c r="A929" s="275"/>
      <c r="B929" s="275"/>
      <c r="C929" s="275"/>
      <c r="D929" s="275"/>
      <c r="E929" s="276"/>
      <c r="F929" s="276"/>
      <c r="G929" s="277"/>
      <c r="H929" s="276"/>
      <c r="I929" s="276"/>
      <c r="J929" s="276"/>
      <c r="K929" s="276"/>
    </row>
    <row r="930">
      <c r="A930" s="275"/>
      <c r="B930" s="275"/>
      <c r="C930" s="275"/>
      <c r="D930" s="275"/>
      <c r="E930" s="276"/>
      <c r="F930" s="276"/>
      <c r="G930" s="277"/>
      <c r="H930" s="276"/>
      <c r="I930" s="276"/>
      <c r="J930" s="276"/>
      <c r="K930" s="276"/>
    </row>
    <row r="931">
      <c r="A931" s="275"/>
      <c r="B931" s="275"/>
      <c r="C931" s="275"/>
      <c r="D931" s="275"/>
      <c r="E931" s="276"/>
      <c r="F931" s="276"/>
      <c r="G931" s="277"/>
      <c r="H931" s="276"/>
      <c r="I931" s="276"/>
      <c r="J931" s="276"/>
      <c r="K931" s="276"/>
    </row>
    <row r="932">
      <c r="A932" s="275"/>
      <c r="B932" s="275"/>
      <c r="C932" s="275"/>
      <c r="D932" s="275"/>
      <c r="E932" s="276"/>
      <c r="F932" s="276"/>
      <c r="G932" s="277"/>
      <c r="H932" s="276"/>
      <c r="I932" s="276"/>
      <c r="J932" s="276"/>
      <c r="K932" s="276"/>
    </row>
    <row r="933">
      <c r="A933" s="275"/>
      <c r="B933" s="275"/>
      <c r="C933" s="275"/>
      <c r="D933" s="275"/>
      <c r="E933" s="276"/>
      <c r="F933" s="276"/>
      <c r="G933" s="277"/>
      <c r="H933" s="276"/>
      <c r="I933" s="276"/>
      <c r="J933" s="276"/>
      <c r="K933" s="276"/>
    </row>
    <row r="934">
      <c r="A934" s="275"/>
      <c r="B934" s="275"/>
      <c r="C934" s="275"/>
      <c r="D934" s="275"/>
      <c r="E934" s="276"/>
      <c r="F934" s="276"/>
      <c r="G934" s="277"/>
      <c r="H934" s="276"/>
      <c r="I934" s="276"/>
      <c r="J934" s="276"/>
      <c r="K934" s="276"/>
    </row>
    <row r="935">
      <c r="A935" s="275"/>
      <c r="B935" s="275"/>
      <c r="C935" s="275"/>
      <c r="D935" s="275"/>
      <c r="E935" s="276"/>
      <c r="F935" s="276"/>
      <c r="G935" s="277"/>
      <c r="H935" s="276"/>
      <c r="I935" s="276"/>
      <c r="J935" s="276"/>
      <c r="K935" s="276"/>
    </row>
    <row r="936">
      <c r="A936" s="275"/>
      <c r="B936" s="275"/>
      <c r="C936" s="275"/>
      <c r="D936" s="275"/>
      <c r="E936" s="276"/>
      <c r="F936" s="276"/>
      <c r="G936" s="277"/>
      <c r="H936" s="276"/>
      <c r="I936" s="276"/>
      <c r="J936" s="276"/>
      <c r="K936" s="276"/>
    </row>
    <row r="937">
      <c r="A937" s="275"/>
      <c r="B937" s="275"/>
      <c r="C937" s="275"/>
      <c r="D937" s="275"/>
      <c r="E937" s="276"/>
      <c r="F937" s="276"/>
      <c r="G937" s="277"/>
      <c r="H937" s="276"/>
      <c r="I937" s="276"/>
      <c r="J937" s="276"/>
      <c r="K937" s="276"/>
    </row>
    <row r="938">
      <c r="A938" s="275"/>
      <c r="B938" s="275"/>
      <c r="C938" s="275"/>
      <c r="D938" s="275"/>
      <c r="E938" s="276"/>
      <c r="F938" s="276"/>
      <c r="G938" s="277"/>
      <c r="H938" s="276"/>
      <c r="I938" s="276"/>
      <c r="J938" s="276"/>
      <c r="K938" s="276"/>
    </row>
    <row r="939">
      <c r="A939" s="275"/>
      <c r="B939" s="275"/>
      <c r="C939" s="275"/>
      <c r="D939" s="275"/>
      <c r="E939" s="276"/>
      <c r="F939" s="276"/>
      <c r="G939" s="277"/>
      <c r="H939" s="276"/>
      <c r="I939" s="276"/>
      <c r="J939" s="276"/>
      <c r="K939" s="276"/>
    </row>
    <row r="940">
      <c r="A940" s="275"/>
      <c r="B940" s="275"/>
      <c r="C940" s="275"/>
      <c r="D940" s="275"/>
      <c r="E940" s="276"/>
      <c r="F940" s="276"/>
      <c r="G940" s="277"/>
      <c r="H940" s="276"/>
      <c r="I940" s="276"/>
      <c r="J940" s="276"/>
      <c r="K940" s="276"/>
    </row>
    <row r="941">
      <c r="A941" s="275"/>
      <c r="B941" s="275"/>
      <c r="C941" s="275"/>
      <c r="D941" s="275"/>
      <c r="E941" s="276"/>
      <c r="F941" s="276"/>
      <c r="G941" s="277"/>
      <c r="H941" s="276"/>
      <c r="I941" s="276"/>
      <c r="J941" s="276"/>
      <c r="K941" s="276"/>
    </row>
    <row r="942">
      <c r="A942" s="275"/>
      <c r="B942" s="275"/>
      <c r="C942" s="275"/>
      <c r="D942" s="275"/>
      <c r="E942" s="276"/>
      <c r="F942" s="276"/>
      <c r="G942" s="277"/>
      <c r="H942" s="276"/>
      <c r="I942" s="276"/>
      <c r="J942" s="276"/>
      <c r="K942" s="276"/>
    </row>
    <row r="943">
      <c r="A943" s="275"/>
      <c r="B943" s="275"/>
      <c r="C943" s="275"/>
      <c r="D943" s="275"/>
      <c r="E943" s="276"/>
      <c r="F943" s="276"/>
      <c r="G943" s="277"/>
      <c r="H943" s="276"/>
      <c r="I943" s="276"/>
      <c r="J943" s="276"/>
      <c r="K943" s="276"/>
    </row>
    <row r="944">
      <c r="A944" s="275"/>
      <c r="B944" s="275"/>
      <c r="C944" s="275"/>
      <c r="D944" s="275"/>
      <c r="E944" s="276"/>
      <c r="F944" s="276"/>
      <c r="G944" s="277"/>
      <c r="H944" s="276"/>
      <c r="I944" s="276"/>
      <c r="J944" s="276"/>
      <c r="K944" s="276"/>
    </row>
    <row r="945">
      <c r="A945" s="275"/>
      <c r="B945" s="275"/>
      <c r="C945" s="275"/>
      <c r="D945" s="275"/>
      <c r="E945" s="276"/>
      <c r="F945" s="276"/>
      <c r="G945" s="277"/>
      <c r="H945" s="276"/>
      <c r="I945" s="276"/>
      <c r="J945" s="276"/>
      <c r="K945" s="276"/>
    </row>
    <row r="946">
      <c r="A946" s="275"/>
      <c r="B946" s="275"/>
      <c r="C946" s="275"/>
      <c r="D946" s="275"/>
      <c r="E946" s="276"/>
      <c r="F946" s="276"/>
      <c r="G946" s="277"/>
      <c r="H946" s="276"/>
      <c r="I946" s="276"/>
      <c r="J946" s="276"/>
      <c r="K946" s="276"/>
    </row>
    <row r="947">
      <c r="A947" s="275"/>
      <c r="B947" s="275"/>
      <c r="C947" s="275"/>
      <c r="D947" s="275"/>
      <c r="E947" s="276"/>
      <c r="F947" s="276"/>
      <c r="G947" s="277"/>
      <c r="H947" s="276"/>
      <c r="I947" s="276"/>
      <c r="J947" s="276"/>
      <c r="K947" s="276"/>
    </row>
    <row r="948">
      <c r="A948" s="275"/>
      <c r="B948" s="275"/>
      <c r="C948" s="275"/>
      <c r="D948" s="275"/>
      <c r="E948" s="276"/>
      <c r="F948" s="276"/>
      <c r="G948" s="277"/>
      <c r="H948" s="276"/>
      <c r="I948" s="276"/>
      <c r="J948" s="276"/>
      <c r="K948" s="276"/>
    </row>
    <row r="949">
      <c r="A949" s="275"/>
      <c r="B949" s="275"/>
      <c r="C949" s="275"/>
      <c r="D949" s="275"/>
      <c r="E949" s="276"/>
      <c r="F949" s="276"/>
      <c r="G949" s="277"/>
      <c r="H949" s="276"/>
      <c r="I949" s="276"/>
      <c r="J949" s="276"/>
      <c r="K949" s="276"/>
    </row>
    <row r="950">
      <c r="A950" s="275"/>
      <c r="B950" s="275"/>
      <c r="C950" s="275"/>
      <c r="D950" s="275"/>
      <c r="E950" s="276"/>
      <c r="F950" s="276"/>
      <c r="G950" s="277"/>
      <c r="H950" s="276"/>
      <c r="I950" s="276"/>
      <c r="J950" s="276"/>
      <c r="K950" s="276"/>
    </row>
    <row r="951">
      <c r="A951" s="275"/>
      <c r="B951" s="275"/>
      <c r="C951" s="275"/>
      <c r="D951" s="275"/>
      <c r="E951" s="276"/>
      <c r="F951" s="276"/>
      <c r="G951" s="277"/>
      <c r="H951" s="276"/>
      <c r="I951" s="276"/>
      <c r="J951" s="276"/>
      <c r="K951" s="276"/>
    </row>
    <row r="952">
      <c r="A952" s="275"/>
      <c r="B952" s="275"/>
      <c r="C952" s="275"/>
      <c r="D952" s="275"/>
      <c r="E952" s="276"/>
      <c r="F952" s="276"/>
      <c r="G952" s="277"/>
      <c r="H952" s="276"/>
      <c r="I952" s="276"/>
      <c r="J952" s="276"/>
      <c r="K952" s="276"/>
    </row>
    <row r="953">
      <c r="A953" s="275"/>
      <c r="B953" s="275"/>
      <c r="C953" s="275"/>
      <c r="D953" s="275"/>
      <c r="E953" s="276"/>
      <c r="F953" s="276"/>
      <c r="G953" s="277"/>
      <c r="H953" s="276"/>
      <c r="I953" s="276"/>
      <c r="J953" s="276"/>
      <c r="K953" s="276"/>
    </row>
    <row r="954">
      <c r="A954" s="275"/>
      <c r="B954" s="275"/>
      <c r="C954" s="275"/>
      <c r="D954" s="275"/>
      <c r="E954" s="276"/>
      <c r="F954" s="276"/>
      <c r="G954" s="277"/>
      <c r="H954" s="276"/>
      <c r="I954" s="276"/>
      <c r="J954" s="276"/>
      <c r="K954" s="276"/>
    </row>
    <row r="955">
      <c r="A955" s="275"/>
      <c r="B955" s="275"/>
      <c r="C955" s="275"/>
      <c r="D955" s="275"/>
      <c r="E955" s="276"/>
      <c r="F955" s="276"/>
      <c r="G955" s="277"/>
      <c r="H955" s="276"/>
      <c r="I955" s="276"/>
      <c r="J955" s="276"/>
      <c r="K955" s="276"/>
    </row>
    <row r="956">
      <c r="A956" s="275"/>
      <c r="B956" s="275"/>
      <c r="C956" s="275"/>
      <c r="D956" s="275"/>
      <c r="E956" s="276"/>
      <c r="F956" s="276"/>
      <c r="G956" s="277"/>
      <c r="H956" s="276"/>
      <c r="I956" s="276"/>
      <c r="J956" s="276"/>
      <c r="K956" s="276"/>
    </row>
    <row r="957">
      <c r="A957" s="275"/>
      <c r="B957" s="275"/>
      <c r="C957" s="275"/>
      <c r="D957" s="275"/>
      <c r="E957" s="276"/>
      <c r="F957" s="276"/>
      <c r="G957" s="277"/>
      <c r="H957" s="276"/>
      <c r="I957" s="276"/>
      <c r="J957" s="276"/>
      <c r="K957" s="276"/>
    </row>
    <row r="958">
      <c r="A958" s="275"/>
      <c r="B958" s="275"/>
      <c r="C958" s="275"/>
      <c r="D958" s="275"/>
      <c r="E958" s="276"/>
      <c r="F958" s="276"/>
      <c r="G958" s="277"/>
      <c r="H958" s="276"/>
      <c r="I958" s="276"/>
      <c r="J958" s="276"/>
      <c r="K958" s="276"/>
    </row>
    <row r="959">
      <c r="A959" s="275"/>
      <c r="B959" s="275"/>
      <c r="C959" s="275"/>
      <c r="D959" s="275"/>
      <c r="E959" s="276"/>
      <c r="F959" s="276"/>
      <c r="G959" s="277"/>
      <c r="H959" s="276"/>
      <c r="I959" s="276"/>
      <c r="J959" s="276"/>
      <c r="K959" s="276"/>
    </row>
    <row r="960">
      <c r="A960" s="275"/>
      <c r="B960" s="275"/>
      <c r="C960" s="275"/>
      <c r="D960" s="275"/>
      <c r="E960" s="276"/>
      <c r="F960" s="276"/>
      <c r="G960" s="277"/>
      <c r="H960" s="276"/>
      <c r="I960" s="276"/>
      <c r="J960" s="276"/>
      <c r="K960" s="276"/>
    </row>
    <row r="961">
      <c r="A961" s="275"/>
      <c r="B961" s="275"/>
      <c r="C961" s="275"/>
      <c r="D961" s="275"/>
      <c r="E961" s="276"/>
      <c r="F961" s="276"/>
      <c r="G961" s="277"/>
      <c r="H961" s="276"/>
      <c r="I961" s="276"/>
      <c r="J961" s="276"/>
      <c r="K961" s="276"/>
    </row>
    <row r="962">
      <c r="A962" s="275"/>
      <c r="B962" s="275"/>
      <c r="C962" s="275"/>
      <c r="D962" s="275"/>
      <c r="E962" s="276"/>
      <c r="F962" s="276"/>
      <c r="G962" s="277"/>
      <c r="H962" s="276"/>
      <c r="I962" s="276"/>
      <c r="J962" s="276"/>
      <c r="K962" s="276"/>
    </row>
    <row r="963">
      <c r="A963" s="275"/>
      <c r="B963" s="275"/>
      <c r="C963" s="275"/>
      <c r="D963" s="275"/>
      <c r="E963" s="276"/>
      <c r="F963" s="276"/>
      <c r="G963" s="277"/>
      <c r="H963" s="276"/>
      <c r="I963" s="276"/>
      <c r="J963" s="276"/>
      <c r="K963" s="276"/>
    </row>
    <row r="964">
      <c r="A964" s="275"/>
      <c r="B964" s="275"/>
      <c r="C964" s="275"/>
      <c r="D964" s="275"/>
      <c r="E964" s="276"/>
      <c r="F964" s="276"/>
      <c r="G964" s="277"/>
      <c r="H964" s="276"/>
      <c r="I964" s="276"/>
      <c r="J964" s="276"/>
      <c r="K964" s="276"/>
    </row>
    <row r="965">
      <c r="A965" s="275"/>
      <c r="B965" s="275"/>
      <c r="C965" s="275"/>
      <c r="D965" s="275"/>
      <c r="E965" s="276"/>
      <c r="F965" s="276"/>
      <c r="G965" s="277"/>
      <c r="H965" s="276"/>
      <c r="I965" s="276"/>
      <c r="J965" s="276"/>
      <c r="K965" s="276"/>
    </row>
    <row r="966">
      <c r="A966" s="275"/>
      <c r="B966" s="275"/>
      <c r="C966" s="275"/>
      <c r="D966" s="275"/>
      <c r="E966" s="276"/>
      <c r="F966" s="276"/>
      <c r="G966" s="277"/>
      <c r="H966" s="276"/>
      <c r="I966" s="276"/>
      <c r="J966" s="276"/>
      <c r="K966" s="276"/>
    </row>
    <row r="967">
      <c r="A967" s="275"/>
      <c r="B967" s="275"/>
      <c r="C967" s="275"/>
      <c r="D967" s="275"/>
      <c r="E967" s="276"/>
      <c r="F967" s="276"/>
      <c r="G967" s="277"/>
      <c r="H967" s="276"/>
      <c r="I967" s="276"/>
      <c r="J967" s="276"/>
      <c r="K967" s="276"/>
    </row>
    <row r="968">
      <c r="A968" s="275"/>
      <c r="B968" s="275"/>
      <c r="C968" s="275"/>
      <c r="D968" s="275"/>
      <c r="E968" s="276"/>
      <c r="F968" s="276"/>
      <c r="G968" s="277"/>
      <c r="H968" s="276"/>
      <c r="I968" s="276"/>
      <c r="J968" s="276"/>
      <c r="K968" s="276"/>
    </row>
    <row r="969">
      <c r="A969" s="275"/>
      <c r="B969" s="275"/>
      <c r="C969" s="275"/>
      <c r="D969" s="275"/>
      <c r="E969" s="276"/>
      <c r="F969" s="276"/>
      <c r="G969" s="277"/>
      <c r="H969" s="276"/>
      <c r="I969" s="276"/>
      <c r="J969" s="276"/>
      <c r="K969" s="276"/>
    </row>
    <row r="970">
      <c r="A970" s="275"/>
      <c r="B970" s="275"/>
      <c r="C970" s="275"/>
      <c r="D970" s="275"/>
      <c r="E970" s="276"/>
      <c r="F970" s="276"/>
      <c r="G970" s="277"/>
      <c r="H970" s="276"/>
      <c r="I970" s="276"/>
      <c r="J970" s="276"/>
      <c r="K970" s="276"/>
    </row>
    <row r="971">
      <c r="A971" s="275"/>
      <c r="B971" s="275"/>
      <c r="C971" s="275"/>
      <c r="D971" s="275"/>
      <c r="E971" s="276"/>
      <c r="F971" s="276"/>
      <c r="G971" s="277"/>
      <c r="H971" s="276"/>
      <c r="I971" s="276"/>
      <c r="J971" s="276"/>
      <c r="K971" s="276"/>
    </row>
    <row r="972">
      <c r="A972" s="275"/>
      <c r="B972" s="275"/>
      <c r="C972" s="275"/>
      <c r="D972" s="275"/>
      <c r="E972" s="276"/>
      <c r="F972" s="276"/>
      <c r="G972" s="277"/>
      <c r="H972" s="276"/>
      <c r="I972" s="276"/>
      <c r="J972" s="276"/>
      <c r="K972" s="276"/>
    </row>
    <row r="973">
      <c r="A973" s="275"/>
      <c r="B973" s="275"/>
      <c r="C973" s="275"/>
      <c r="D973" s="275"/>
      <c r="E973" s="276"/>
      <c r="F973" s="276"/>
      <c r="G973" s="277"/>
      <c r="H973" s="276"/>
      <c r="I973" s="276"/>
      <c r="J973" s="276"/>
      <c r="K973" s="276"/>
    </row>
    <row r="974">
      <c r="A974" s="275"/>
      <c r="B974" s="275"/>
      <c r="C974" s="275"/>
      <c r="D974" s="275"/>
      <c r="E974" s="276"/>
      <c r="F974" s="276"/>
      <c r="G974" s="277"/>
      <c r="H974" s="276"/>
      <c r="I974" s="276"/>
      <c r="J974" s="276"/>
      <c r="K974" s="276"/>
    </row>
    <row r="975">
      <c r="A975" s="275"/>
      <c r="B975" s="275"/>
      <c r="C975" s="275"/>
      <c r="D975" s="275"/>
      <c r="E975" s="276"/>
      <c r="F975" s="276"/>
      <c r="G975" s="277"/>
      <c r="H975" s="276"/>
      <c r="I975" s="276"/>
      <c r="J975" s="276"/>
      <c r="K975" s="276"/>
    </row>
    <row r="976">
      <c r="A976" s="275"/>
      <c r="B976" s="275"/>
      <c r="C976" s="275"/>
      <c r="D976" s="275"/>
      <c r="E976" s="276"/>
      <c r="F976" s="276"/>
      <c r="G976" s="277"/>
      <c r="H976" s="276"/>
      <c r="I976" s="276"/>
      <c r="J976" s="276"/>
      <c r="K976" s="276"/>
    </row>
    <row r="977">
      <c r="A977" s="275"/>
      <c r="B977" s="275"/>
      <c r="C977" s="275"/>
      <c r="D977" s="275"/>
      <c r="E977" s="276"/>
      <c r="F977" s="276"/>
      <c r="G977" s="277"/>
      <c r="H977" s="276"/>
      <c r="I977" s="276"/>
      <c r="J977" s="276"/>
      <c r="K977" s="276"/>
    </row>
    <row r="978">
      <c r="A978" s="275"/>
      <c r="B978" s="275"/>
      <c r="C978" s="275"/>
      <c r="D978" s="275"/>
      <c r="E978" s="276"/>
      <c r="F978" s="276"/>
      <c r="G978" s="277"/>
      <c r="H978" s="276"/>
      <c r="I978" s="276"/>
      <c r="J978" s="276"/>
      <c r="K978" s="276"/>
    </row>
    <row r="979">
      <c r="A979" s="275"/>
      <c r="B979" s="275"/>
      <c r="C979" s="275"/>
      <c r="D979" s="275"/>
      <c r="E979" s="276"/>
      <c r="F979" s="276"/>
      <c r="G979" s="277"/>
      <c r="H979" s="276"/>
      <c r="I979" s="276"/>
      <c r="J979" s="276"/>
      <c r="K979" s="276"/>
    </row>
    <row r="980">
      <c r="A980" s="275"/>
      <c r="B980" s="275"/>
      <c r="C980" s="275"/>
      <c r="D980" s="275"/>
      <c r="E980" s="276"/>
      <c r="F980" s="276"/>
      <c r="G980" s="277"/>
      <c r="H980" s="276"/>
      <c r="I980" s="276"/>
      <c r="J980" s="276"/>
      <c r="K980" s="276"/>
    </row>
    <row r="981">
      <c r="A981" s="275"/>
      <c r="B981" s="275"/>
      <c r="C981" s="275"/>
      <c r="D981" s="275"/>
      <c r="E981" s="276"/>
      <c r="F981" s="276"/>
      <c r="G981" s="277"/>
      <c r="H981" s="276"/>
      <c r="I981" s="276"/>
      <c r="J981" s="276"/>
      <c r="K981" s="276"/>
    </row>
    <row r="982">
      <c r="A982" s="275"/>
      <c r="B982" s="275"/>
      <c r="C982" s="275"/>
      <c r="D982" s="275"/>
      <c r="E982" s="276"/>
      <c r="F982" s="276"/>
      <c r="G982" s="277"/>
      <c r="H982" s="276"/>
      <c r="I982" s="276"/>
      <c r="J982" s="276"/>
      <c r="K982" s="276"/>
    </row>
    <row r="983">
      <c r="A983" s="275"/>
      <c r="B983" s="275"/>
      <c r="C983" s="275"/>
      <c r="D983" s="275"/>
      <c r="E983" s="276"/>
      <c r="F983" s="276"/>
      <c r="G983" s="277"/>
      <c r="H983" s="276"/>
      <c r="I983" s="276"/>
      <c r="J983" s="276"/>
      <c r="K983" s="276"/>
    </row>
    <row r="984">
      <c r="A984" s="275"/>
      <c r="B984" s="275"/>
      <c r="C984" s="275"/>
      <c r="D984" s="275"/>
      <c r="E984" s="276"/>
      <c r="F984" s="276"/>
      <c r="G984" s="277"/>
      <c r="H984" s="276"/>
      <c r="I984" s="276"/>
      <c r="J984" s="276"/>
      <c r="K984" s="276"/>
    </row>
    <row r="985">
      <c r="A985" s="275"/>
      <c r="B985" s="275"/>
      <c r="C985" s="275"/>
      <c r="D985" s="275"/>
      <c r="E985" s="276"/>
      <c r="F985" s="276"/>
      <c r="G985" s="277"/>
      <c r="H985" s="276"/>
      <c r="I985" s="276"/>
      <c r="J985" s="276"/>
      <c r="K985" s="276"/>
    </row>
    <row r="986">
      <c r="A986" s="275"/>
      <c r="B986" s="275"/>
      <c r="C986" s="275"/>
      <c r="D986" s="275"/>
      <c r="E986" s="276"/>
      <c r="F986" s="276"/>
      <c r="G986" s="277"/>
      <c r="H986" s="276"/>
      <c r="I986" s="276"/>
      <c r="J986" s="276"/>
      <c r="K986" s="276"/>
    </row>
    <row r="987">
      <c r="A987" s="275"/>
      <c r="B987" s="275"/>
      <c r="C987" s="275"/>
      <c r="D987" s="275"/>
      <c r="E987" s="276"/>
      <c r="F987" s="276"/>
      <c r="G987" s="277"/>
      <c r="H987" s="276"/>
      <c r="I987" s="276"/>
      <c r="J987" s="276"/>
      <c r="K987" s="276"/>
    </row>
    <row r="988">
      <c r="A988" s="275"/>
      <c r="B988" s="275"/>
      <c r="C988" s="275"/>
      <c r="D988" s="275"/>
      <c r="E988" s="276"/>
      <c r="F988" s="276"/>
      <c r="G988" s="277"/>
      <c r="H988" s="276"/>
      <c r="I988" s="276"/>
      <c r="J988" s="276"/>
      <c r="K988" s="276"/>
    </row>
    <row r="989">
      <c r="A989" s="275"/>
      <c r="B989" s="275"/>
      <c r="C989" s="275"/>
      <c r="D989" s="275"/>
      <c r="E989" s="276"/>
      <c r="F989" s="276"/>
      <c r="G989" s="277"/>
      <c r="H989" s="276"/>
      <c r="I989" s="276"/>
      <c r="J989" s="276"/>
      <c r="K989" s="276"/>
    </row>
    <row r="990">
      <c r="A990" s="275"/>
      <c r="B990" s="275"/>
      <c r="C990" s="275"/>
      <c r="D990" s="275"/>
      <c r="E990" s="276"/>
      <c r="F990" s="276"/>
      <c r="G990" s="277"/>
      <c r="H990" s="276"/>
      <c r="I990" s="276"/>
      <c r="J990" s="276"/>
      <c r="K990" s="276"/>
    </row>
    <row r="991">
      <c r="A991" s="275"/>
      <c r="B991" s="275"/>
      <c r="C991" s="275"/>
      <c r="D991" s="275"/>
      <c r="E991" s="276"/>
      <c r="F991" s="276"/>
      <c r="G991" s="277"/>
      <c r="H991" s="276"/>
      <c r="I991" s="276"/>
      <c r="J991" s="276"/>
      <c r="K991" s="276"/>
    </row>
    <row r="992">
      <c r="A992" s="275"/>
      <c r="B992" s="275"/>
      <c r="C992" s="275"/>
      <c r="D992" s="275"/>
      <c r="E992" s="276"/>
      <c r="F992" s="276"/>
      <c r="G992" s="277"/>
      <c r="H992" s="276"/>
      <c r="I992" s="276"/>
      <c r="J992" s="276"/>
      <c r="K992" s="276"/>
    </row>
    <row r="993">
      <c r="A993" s="275"/>
      <c r="B993" s="275"/>
      <c r="C993" s="275"/>
      <c r="D993" s="275"/>
      <c r="E993" s="276"/>
      <c r="F993" s="276"/>
      <c r="G993" s="277"/>
      <c r="H993" s="276"/>
      <c r="I993" s="276"/>
      <c r="J993" s="276"/>
      <c r="K993" s="276"/>
    </row>
    <row r="994">
      <c r="A994" s="275"/>
      <c r="B994" s="275"/>
      <c r="C994" s="275"/>
      <c r="D994" s="275"/>
      <c r="E994" s="276"/>
      <c r="F994" s="276"/>
      <c r="G994" s="277"/>
      <c r="H994" s="276"/>
      <c r="I994" s="276"/>
      <c r="J994" s="276"/>
      <c r="K994" s="276"/>
    </row>
    <row r="995">
      <c r="A995" s="275"/>
      <c r="B995" s="275"/>
      <c r="C995" s="275"/>
      <c r="D995" s="275"/>
      <c r="E995" s="276"/>
      <c r="F995" s="276"/>
      <c r="G995" s="277"/>
      <c r="H995" s="276"/>
      <c r="I995" s="276"/>
      <c r="J995" s="276"/>
      <c r="K995" s="276"/>
    </row>
    <row r="996">
      <c r="A996" s="275"/>
      <c r="B996" s="275"/>
      <c r="C996" s="275"/>
      <c r="D996" s="275"/>
      <c r="E996" s="276"/>
      <c r="F996" s="276"/>
      <c r="G996" s="277"/>
      <c r="H996" s="276"/>
      <c r="I996" s="276"/>
      <c r="J996" s="276"/>
      <c r="K996" s="276"/>
    </row>
    <row r="997">
      <c r="A997" s="275"/>
      <c r="B997" s="275"/>
      <c r="C997" s="275"/>
      <c r="D997" s="275"/>
      <c r="E997" s="276"/>
      <c r="F997" s="276"/>
      <c r="G997" s="277"/>
      <c r="H997" s="276"/>
      <c r="I997" s="276"/>
      <c r="J997" s="276"/>
      <c r="K997" s="276"/>
    </row>
    <row r="998">
      <c r="A998" s="275"/>
      <c r="B998" s="275"/>
      <c r="C998" s="275"/>
      <c r="D998" s="275"/>
      <c r="E998" s="276"/>
      <c r="F998" s="276"/>
      <c r="G998" s="277"/>
      <c r="H998" s="276"/>
      <c r="I998" s="276"/>
      <c r="J998" s="276"/>
      <c r="K998" s="276"/>
    </row>
    <row r="999">
      <c r="A999" s="275"/>
      <c r="B999" s="275"/>
      <c r="C999" s="275"/>
      <c r="D999" s="275"/>
      <c r="E999" s="276"/>
      <c r="F999" s="276"/>
      <c r="G999" s="277"/>
      <c r="H999" s="276"/>
      <c r="I999" s="276"/>
      <c r="J999" s="276"/>
      <c r="K999" s="276"/>
    </row>
    <row r="1000">
      <c r="A1000" s="275"/>
      <c r="B1000" s="275"/>
      <c r="C1000" s="275"/>
      <c r="D1000" s="275"/>
      <c r="E1000" s="276"/>
      <c r="F1000" s="276"/>
      <c r="G1000" s="277"/>
      <c r="H1000" s="276"/>
      <c r="I1000" s="276"/>
      <c r="J1000" s="276"/>
      <c r="K1000" s="276"/>
    </row>
    <row r="1001">
      <c r="A1001" s="275"/>
      <c r="B1001" s="275"/>
      <c r="C1001" s="275"/>
      <c r="D1001" s="275"/>
      <c r="E1001" s="276"/>
      <c r="F1001" s="276"/>
      <c r="G1001" s="277"/>
      <c r="H1001" s="276"/>
      <c r="I1001" s="276"/>
      <c r="J1001" s="276"/>
      <c r="K1001" s="276"/>
    </row>
    <row r="1002">
      <c r="A1002" s="275"/>
      <c r="B1002" s="275"/>
      <c r="C1002" s="275"/>
      <c r="D1002" s="275"/>
      <c r="E1002" s="276"/>
      <c r="F1002" s="276"/>
      <c r="G1002" s="277"/>
      <c r="H1002" s="276"/>
      <c r="I1002" s="276"/>
      <c r="J1002" s="276"/>
      <c r="K1002" s="276"/>
    </row>
    <row r="1003">
      <c r="A1003" s="275"/>
      <c r="B1003" s="275"/>
      <c r="C1003" s="275"/>
      <c r="D1003" s="275"/>
      <c r="E1003" s="276"/>
      <c r="F1003" s="276"/>
      <c r="G1003" s="277"/>
      <c r="H1003" s="276"/>
      <c r="I1003" s="276"/>
      <c r="J1003" s="276"/>
      <c r="K1003" s="276"/>
    </row>
    <row r="1004">
      <c r="A1004" s="275"/>
      <c r="B1004" s="275"/>
      <c r="C1004" s="275"/>
      <c r="D1004" s="275"/>
      <c r="E1004" s="276"/>
      <c r="F1004" s="276"/>
      <c r="G1004" s="277"/>
      <c r="H1004" s="276"/>
      <c r="I1004" s="276"/>
      <c r="J1004" s="276"/>
      <c r="K1004" s="276"/>
    </row>
    <row r="1005">
      <c r="A1005" s="275"/>
      <c r="B1005" s="275"/>
      <c r="C1005" s="275"/>
      <c r="D1005" s="275"/>
      <c r="E1005" s="276"/>
      <c r="F1005" s="276"/>
      <c r="G1005" s="277"/>
      <c r="H1005" s="276"/>
      <c r="I1005" s="276"/>
      <c r="J1005" s="276"/>
      <c r="K1005" s="276"/>
    </row>
    <row r="1006">
      <c r="A1006" s="275"/>
      <c r="B1006" s="275"/>
      <c r="C1006" s="275"/>
      <c r="D1006" s="275"/>
      <c r="E1006" s="276"/>
      <c r="F1006" s="276"/>
      <c r="G1006" s="277"/>
      <c r="H1006" s="276"/>
      <c r="I1006" s="276"/>
      <c r="J1006" s="276"/>
      <c r="K1006" s="276"/>
    </row>
    <row r="1007">
      <c r="A1007" s="275"/>
      <c r="B1007" s="275"/>
      <c r="C1007" s="275"/>
      <c r="D1007" s="275"/>
      <c r="E1007" s="276"/>
      <c r="F1007" s="276"/>
      <c r="G1007" s="277"/>
      <c r="H1007" s="276"/>
      <c r="I1007" s="276"/>
      <c r="J1007" s="276"/>
      <c r="K1007" s="276"/>
    </row>
    <row r="1008">
      <c r="A1008" s="275"/>
      <c r="B1008" s="275"/>
      <c r="C1008" s="275"/>
      <c r="D1008" s="275"/>
      <c r="E1008" s="276"/>
      <c r="F1008" s="276"/>
      <c r="G1008" s="277"/>
      <c r="H1008" s="276"/>
      <c r="I1008" s="276"/>
      <c r="J1008" s="276"/>
      <c r="K1008" s="276"/>
    </row>
    <row r="1009">
      <c r="A1009" s="275"/>
      <c r="B1009" s="275"/>
      <c r="C1009" s="275"/>
      <c r="D1009" s="275"/>
      <c r="E1009" s="276"/>
      <c r="F1009" s="276"/>
      <c r="G1009" s="277"/>
      <c r="H1009" s="276"/>
      <c r="I1009" s="276"/>
      <c r="J1009" s="276"/>
      <c r="K1009" s="276"/>
    </row>
    <row r="1010">
      <c r="A1010" s="275"/>
      <c r="B1010" s="275"/>
      <c r="C1010" s="275"/>
      <c r="D1010" s="275"/>
      <c r="E1010" s="276"/>
      <c r="F1010" s="276"/>
      <c r="G1010" s="277"/>
      <c r="H1010" s="276"/>
      <c r="I1010" s="276"/>
      <c r="J1010" s="276"/>
      <c r="K1010" s="276"/>
    </row>
    <row r="1011">
      <c r="A1011" s="275"/>
      <c r="B1011" s="275"/>
      <c r="C1011" s="275"/>
      <c r="D1011" s="275"/>
      <c r="E1011" s="276"/>
      <c r="F1011" s="276"/>
      <c r="G1011" s="277"/>
      <c r="H1011" s="276"/>
      <c r="I1011" s="276"/>
      <c r="J1011" s="276"/>
      <c r="K1011" s="276"/>
    </row>
    <row r="1012">
      <c r="A1012" s="275"/>
      <c r="B1012" s="275"/>
      <c r="C1012" s="275"/>
      <c r="D1012" s="275"/>
      <c r="E1012" s="276"/>
      <c r="F1012" s="276"/>
      <c r="G1012" s="277"/>
      <c r="H1012" s="276"/>
      <c r="I1012" s="276"/>
      <c r="J1012" s="276"/>
      <c r="K1012" s="276"/>
    </row>
    <row r="1013">
      <c r="A1013" s="275"/>
      <c r="B1013" s="275"/>
      <c r="C1013" s="275"/>
      <c r="D1013" s="275"/>
      <c r="E1013" s="276"/>
      <c r="F1013" s="276"/>
      <c r="G1013" s="277"/>
      <c r="H1013" s="276"/>
      <c r="I1013" s="276"/>
      <c r="J1013" s="276"/>
      <c r="K1013" s="276"/>
    </row>
    <row r="1014">
      <c r="A1014" s="275"/>
      <c r="B1014" s="275"/>
      <c r="C1014" s="275"/>
      <c r="D1014" s="275"/>
      <c r="E1014" s="276"/>
      <c r="F1014" s="276"/>
      <c r="G1014" s="277"/>
      <c r="H1014" s="276"/>
      <c r="I1014" s="276"/>
      <c r="J1014" s="276"/>
      <c r="K1014" s="276"/>
    </row>
    <row r="1015">
      <c r="A1015" s="275"/>
      <c r="B1015" s="275"/>
      <c r="C1015" s="275"/>
      <c r="D1015" s="275"/>
      <c r="E1015" s="276"/>
      <c r="F1015" s="276"/>
      <c r="G1015" s="277"/>
      <c r="H1015" s="276"/>
      <c r="I1015" s="276"/>
      <c r="J1015" s="276"/>
      <c r="K1015" s="276"/>
    </row>
    <row r="1016">
      <c r="A1016" s="275"/>
      <c r="B1016" s="275"/>
      <c r="C1016" s="275"/>
      <c r="D1016" s="275"/>
      <c r="E1016" s="276"/>
      <c r="F1016" s="276"/>
      <c r="G1016" s="277"/>
      <c r="H1016" s="276"/>
      <c r="I1016" s="276"/>
      <c r="J1016" s="276"/>
      <c r="K1016" s="276"/>
    </row>
    <row r="1017">
      <c r="A1017" s="275"/>
      <c r="B1017" s="275"/>
      <c r="C1017" s="275"/>
      <c r="D1017" s="275"/>
      <c r="E1017" s="276"/>
      <c r="F1017" s="276"/>
      <c r="G1017" s="277"/>
      <c r="H1017" s="276"/>
      <c r="I1017" s="276"/>
      <c r="J1017" s="276"/>
      <c r="K1017" s="276"/>
    </row>
    <row r="1018">
      <c r="A1018" s="275"/>
      <c r="B1018" s="275"/>
      <c r="C1018" s="275"/>
      <c r="D1018" s="275"/>
      <c r="E1018" s="276"/>
      <c r="F1018" s="276"/>
      <c r="G1018" s="277"/>
      <c r="H1018" s="276"/>
      <c r="I1018" s="276"/>
      <c r="J1018" s="276"/>
      <c r="K1018" s="276"/>
    </row>
    <row r="1019">
      <c r="A1019" s="275"/>
      <c r="B1019" s="275"/>
      <c r="C1019" s="275"/>
      <c r="D1019" s="275"/>
      <c r="E1019" s="276"/>
      <c r="F1019" s="276"/>
      <c r="G1019" s="277"/>
      <c r="H1019" s="276"/>
      <c r="I1019" s="276"/>
      <c r="J1019" s="276"/>
      <c r="K1019" s="276"/>
    </row>
    <row r="1020">
      <c r="A1020" s="275"/>
      <c r="B1020" s="275"/>
      <c r="C1020" s="275"/>
      <c r="D1020" s="275"/>
      <c r="E1020" s="276"/>
      <c r="F1020" s="276"/>
      <c r="G1020" s="277"/>
      <c r="H1020" s="276"/>
      <c r="I1020" s="276"/>
      <c r="J1020" s="276"/>
      <c r="K1020" s="276"/>
    </row>
    <row r="1021">
      <c r="A1021" s="275"/>
      <c r="B1021" s="275"/>
      <c r="C1021" s="275"/>
      <c r="D1021" s="275"/>
      <c r="E1021" s="276"/>
      <c r="F1021" s="276"/>
      <c r="G1021" s="277"/>
      <c r="H1021" s="276"/>
      <c r="I1021" s="276"/>
      <c r="J1021" s="276"/>
      <c r="K1021" s="276"/>
    </row>
    <row r="1022">
      <c r="A1022" s="275"/>
      <c r="B1022" s="275"/>
      <c r="C1022" s="275"/>
      <c r="D1022" s="275"/>
      <c r="E1022" s="276"/>
      <c r="F1022" s="276"/>
      <c r="G1022" s="277"/>
      <c r="H1022" s="276"/>
      <c r="I1022" s="276"/>
      <c r="J1022" s="276"/>
      <c r="K1022" s="276"/>
    </row>
    <row r="1023">
      <c r="A1023" s="275"/>
      <c r="B1023" s="275"/>
      <c r="C1023" s="275"/>
      <c r="D1023" s="275"/>
      <c r="E1023" s="276"/>
      <c r="F1023" s="276"/>
      <c r="G1023" s="277"/>
      <c r="H1023" s="276"/>
      <c r="I1023" s="276"/>
      <c r="J1023" s="276"/>
      <c r="K1023" s="276"/>
    </row>
    <row r="1024">
      <c r="A1024" s="275"/>
      <c r="B1024" s="275"/>
      <c r="C1024" s="275"/>
      <c r="D1024" s="275"/>
      <c r="E1024" s="276"/>
      <c r="F1024" s="276"/>
      <c r="G1024" s="277"/>
      <c r="H1024" s="276"/>
      <c r="I1024" s="276"/>
      <c r="J1024" s="276"/>
      <c r="K1024" s="276"/>
    </row>
    <row r="1025">
      <c r="A1025" s="275"/>
      <c r="B1025" s="275"/>
      <c r="C1025" s="275"/>
      <c r="D1025" s="275"/>
      <c r="E1025" s="276"/>
      <c r="F1025" s="276"/>
      <c r="G1025" s="277"/>
      <c r="H1025" s="276"/>
      <c r="I1025" s="276"/>
      <c r="J1025" s="276"/>
      <c r="K1025" s="276"/>
    </row>
    <row r="1026">
      <c r="A1026" s="275"/>
      <c r="B1026" s="275"/>
      <c r="C1026" s="275"/>
      <c r="D1026" s="275"/>
      <c r="E1026" s="276"/>
      <c r="F1026" s="276"/>
      <c r="G1026" s="277"/>
      <c r="H1026" s="276"/>
      <c r="I1026" s="276"/>
      <c r="J1026" s="276"/>
      <c r="K1026" s="276"/>
    </row>
    <row r="1027">
      <c r="A1027" s="275"/>
      <c r="B1027" s="275"/>
      <c r="C1027" s="275"/>
      <c r="D1027" s="275"/>
      <c r="E1027" s="276"/>
      <c r="F1027" s="276"/>
      <c r="G1027" s="277"/>
      <c r="H1027" s="276"/>
      <c r="I1027" s="276"/>
      <c r="J1027" s="276"/>
      <c r="K1027" s="276"/>
    </row>
    <row r="1028">
      <c r="A1028" s="275"/>
      <c r="B1028" s="275"/>
      <c r="C1028" s="275"/>
      <c r="D1028" s="275"/>
      <c r="E1028" s="276"/>
      <c r="F1028" s="276"/>
      <c r="G1028" s="277"/>
      <c r="H1028" s="276"/>
      <c r="I1028" s="276"/>
      <c r="J1028" s="276"/>
      <c r="K1028" s="276"/>
    </row>
    <row r="1029">
      <c r="A1029" s="275"/>
      <c r="B1029" s="275"/>
      <c r="C1029" s="275"/>
      <c r="D1029" s="275"/>
      <c r="E1029" s="276"/>
      <c r="F1029" s="276"/>
      <c r="G1029" s="277"/>
      <c r="H1029" s="276"/>
      <c r="I1029" s="276"/>
      <c r="J1029" s="276"/>
      <c r="K1029" s="276"/>
    </row>
    <row r="1030">
      <c r="A1030" s="275"/>
      <c r="B1030" s="275"/>
      <c r="C1030" s="275"/>
      <c r="D1030" s="275"/>
      <c r="E1030" s="276"/>
      <c r="F1030" s="276"/>
      <c r="G1030" s="277"/>
      <c r="H1030" s="276"/>
      <c r="I1030" s="276"/>
      <c r="J1030" s="276"/>
      <c r="K1030" s="276"/>
    </row>
    <row r="1031">
      <c r="A1031" s="275"/>
      <c r="B1031" s="275"/>
      <c r="C1031" s="275"/>
      <c r="D1031" s="275"/>
      <c r="E1031" s="276"/>
      <c r="F1031" s="276"/>
      <c r="G1031" s="277"/>
      <c r="H1031" s="276"/>
      <c r="I1031" s="276"/>
      <c r="J1031" s="276"/>
      <c r="K1031" s="276"/>
    </row>
    <row r="1032">
      <c r="A1032" s="275"/>
      <c r="B1032" s="275"/>
      <c r="C1032" s="275"/>
      <c r="D1032" s="275"/>
      <c r="E1032" s="276"/>
      <c r="F1032" s="276"/>
      <c r="G1032" s="277"/>
      <c r="H1032" s="276"/>
      <c r="I1032" s="276"/>
      <c r="J1032" s="276"/>
      <c r="K1032" s="276"/>
    </row>
    <row r="1033">
      <c r="A1033" s="275"/>
      <c r="B1033" s="275"/>
      <c r="C1033" s="275"/>
      <c r="D1033" s="275"/>
      <c r="E1033" s="276"/>
      <c r="F1033" s="276"/>
      <c r="G1033" s="277"/>
      <c r="H1033" s="276"/>
      <c r="I1033" s="276"/>
      <c r="J1033" s="276"/>
      <c r="K1033" s="276"/>
    </row>
    <row r="1034">
      <c r="A1034" s="275"/>
      <c r="B1034" s="275"/>
      <c r="C1034" s="275"/>
      <c r="D1034" s="275"/>
      <c r="E1034" s="276"/>
      <c r="F1034" s="276"/>
      <c r="G1034" s="277"/>
      <c r="H1034" s="276"/>
      <c r="I1034" s="276"/>
      <c r="J1034" s="276"/>
      <c r="K1034" s="276"/>
    </row>
    <row r="1035">
      <c r="A1035" s="275"/>
      <c r="B1035" s="275"/>
      <c r="C1035" s="275"/>
      <c r="D1035" s="275"/>
      <c r="E1035" s="276"/>
      <c r="F1035" s="276"/>
      <c r="G1035" s="277"/>
      <c r="H1035" s="276"/>
      <c r="I1035" s="276"/>
      <c r="J1035" s="276"/>
      <c r="K1035" s="276"/>
    </row>
    <row r="1036">
      <c r="A1036" s="275"/>
      <c r="B1036" s="275"/>
      <c r="C1036" s="275"/>
      <c r="D1036" s="275"/>
      <c r="E1036" s="276"/>
      <c r="F1036" s="276"/>
      <c r="G1036" s="277"/>
      <c r="H1036" s="276"/>
      <c r="I1036" s="276"/>
      <c r="J1036" s="276"/>
      <c r="K1036" s="276"/>
    </row>
    <row r="1037">
      <c r="A1037" s="275"/>
      <c r="B1037" s="275"/>
      <c r="C1037" s="275"/>
      <c r="D1037" s="275"/>
      <c r="E1037" s="276"/>
      <c r="F1037" s="276"/>
      <c r="G1037" s="277"/>
      <c r="H1037" s="276"/>
      <c r="I1037" s="276"/>
      <c r="J1037" s="276"/>
      <c r="K1037" s="276"/>
    </row>
    <row r="1038">
      <c r="A1038" s="275"/>
      <c r="B1038" s="275"/>
      <c r="C1038" s="275"/>
      <c r="D1038" s="275"/>
      <c r="E1038" s="276"/>
      <c r="F1038" s="276"/>
      <c r="G1038" s="277"/>
      <c r="H1038" s="276"/>
      <c r="I1038" s="276"/>
      <c r="J1038" s="276"/>
      <c r="K1038" s="276"/>
    </row>
  </sheetData>
  <autoFilter ref="$A$1:$I$1038"/>
  <mergeCells count="21">
    <mergeCell ref="A11:B11"/>
    <mergeCell ref="A21:B21"/>
    <mergeCell ref="A31:B31"/>
    <mergeCell ref="A38:B38"/>
    <mergeCell ref="A43:B43"/>
    <mergeCell ref="A49:B49"/>
    <mergeCell ref="A53:B53"/>
    <mergeCell ref="A101:B101"/>
    <mergeCell ref="A107:B107"/>
    <mergeCell ref="A116:B116"/>
    <mergeCell ref="A120:B120"/>
    <mergeCell ref="A122:B122"/>
    <mergeCell ref="A124:B124"/>
    <mergeCell ref="A131:B131"/>
    <mergeCell ref="A59:B59"/>
    <mergeCell ref="A65:B65"/>
    <mergeCell ref="A72:B72"/>
    <mergeCell ref="A81:B81"/>
    <mergeCell ref="A85:B85"/>
    <mergeCell ref="A92:B92"/>
    <mergeCell ref="A96:B96"/>
  </mergeCells>
  <hyperlinks>
    <hyperlink r:id="rId4" ref="A7"/>
    <hyperlink r:id="rId5" ref="A19"/>
    <hyperlink r:id="rId6" ref="A27"/>
  </hyperlinks>
  <drawing r:id="rId7"/>
  <legacy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9.75"/>
    <col customWidth="1" min="2" max="2" width="18.25"/>
    <col customWidth="1" min="10" max="10" width="22.13"/>
    <col customWidth="1" min="11" max="11" width="14.13"/>
    <col customWidth="1" min="12" max="12" width="27.25"/>
    <col customWidth="1" min="13" max="13" width="85.63"/>
    <col customWidth="1" min="14" max="15" width="14.13"/>
  </cols>
  <sheetData>
    <row r="1">
      <c r="A1" s="232" t="s">
        <v>0</v>
      </c>
      <c r="B1" s="5" t="s">
        <v>1</v>
      </c>
      <c r="C1" s="233" t="s">
        <v>2</v>
      </c>
      <c r="D1" s="233" t="s">
        <v>3</v>
      </c>
      <c r="E1" s="234" t="s">
        <v>5</v>
      </c>
      <c r="F1" s="8" t="s">
        <v>9</v>
      </c>
      <c r="G1" s="235" t="s">
        <v>13</v>
      </c>
      <c r="H1" s="8" t="s">
        <v>20</v>
      </c>
      <c r="I1" s="12" t="s">
        <v>21</v>
      </c>
      <c r="J1" s="236"/>
      <c r="K1" s="236"/>
      <c r="L1" s="236"/>
      <c r="M1" s="236"/>
      <c r="N1" s="236"/>
      <c r="O1" s="236"/>
    </row>
    <row r="2">
      <c r="A2" s="256" t="s">
        <v>35</v>
      </c>
      <c r="B2" s="238" t="s">
        <v>24</v>
      </c>
      <c r="C2" s="87">
        <v>1360000.0</v>
      </c>
      <c r="D2" s="21">
        <v>1201.0</v>
      </c>
      <c r="E2" s="38">
        <f t="shared" ref="E2:E9" si="1">F2/1.22</f>
        <v>356399.1148</v>
      </c>
      <c r="F2" s="38">
        <v>434806.92</v>
      </c>
      <c r="G2" s="239">
        <f t="shared" ref="G2:G9" si="2">F2*1.005</f>
        <v>436980.9546</v>
      </c>
      <c r="H2" s="38">
        <f t="shared" ref="H2:H69" si="3">E2/C2*1000</f>
        <v>262.0581726</v>
      </c>
      <c r="I2" s="49">
        <f t="shared" ref="I2:I74" si="4">E2/D2</f>
        <v>296.751969</v>
      </c>
      <c r="J2" s="240"/>
      <c r="K2" s="257">
        <v>436980.95459999994</v>
      </c>
      <c r="L2" s="240"/>
      <c r="M2" s="240"/>
      <c r="N2" s="240"/>
      <c r="O2" s="240"/>
    </row>
    <row r="3">
      <c r="A3" s="256" t="s">
        <v>54</v>
      </c>
      <c r="B3" s="238" t="s">
        <v>24</v>
      </c>
      <c r="C3" s="21">
        <v>770589.0</v>
      </c>
      <c r="D3" s="21">
        <v>825.0</v>
      </c>
      <c r="E3" s="38">
        <f t="shared" si="1"/>
        <v>247399.8525</v>
      </c>
      <c r="F3" s="44">
        <v>301827.82</v>
      </c>
      <c r="G3" s="239">
        <f t="shared" si="2"/>
        <v>303336.9591</v>
      </c>
      <c r="H3" s="38">
        <f t="shared" si="3"/>
        <v>321.052925</v>
      </c>
      <c r="I3" s="49">
        <f t="shared" si="4"/>
        <v>299.878609</v>
      </c>
      <c r="J3" s="240"/>
      <c r="K3" s="257">
        <v>303336.9591</v>
      </c>
      <c r="L3" s="240"/>
      <c r="M3" s="240"/>
      <c r="N3" s="240"/>
      <c r="O3" s="240"/>
    </row>
    <row r="4">
      <c r="A4" s="256" t="s">
        <v>39</v>
      </c>
      <c r="B4" s="238" t="s">
        <v>24</v>
      </c>
      <c r="C4" s="21">
        <v>3010000.0</v>
      </c>
      <c r="D4" s="21">
        <v>24000.0</v>
      </c>
      <c r="E4" s="38">
        <f t="shared" si="1"/>
        <v>480000</v>
      </c>
      <c r="F4" s="44">
        <v>585600.0</v>
      </c>
      <c r="G4" s="239">
        <f t="shared" si="2"/>
        <v>588528</v>
      </c>
      <c r="H4" s="38">
        <f t="shared" si="3"/>
        <v>159.4684385</v>
      </c>
      <c r="I4" s="49">
        <f t="shared" si="4"/>
        <v>20</v>
      </c>
      <c r="J4" s="240"/>
      <c r="K4" s="257">
        <v>588527.9999999999</v>
      </c>
      <c r="L4" s="240"/>
      <c r="M4" s="240"/>
      <c r="N4" s="240"/>
      <c r="O4" s="240"/>
    </row>
    <row r="5">
      <c r="A5" s="256" t="s">
        <v>76</v>
      </c>
      <c r="B5" s="238" t="s">
        <v>24</v>
      </c>
      <c r="C5" s="21">
        <v>2993776.0</v>
      </c>
      <c r="D5" s="21">
        <v>29936.0</v>
      </c>
      <c r="E5" s="38">
        <f t="shared" si="1"/>
        <v>617111.2623</v>
      </c>
      <c r="F5" s="44">
        <v>752875.74</v>
      </c>
      <c r="G5" s="239">
        <f t="shared" si="2"/>
        <v>756640.1187</v>
      </c>
      <c r="H5" s="38">
        <f t="shared" si="3"/>
        <v>206.1314081</v>
      </c>
      <c r="I5" s="49">
        <f t="shared" si="4"/>
        <v>20.6143527</v>
      </c>
      <c r="J5" s="240"/>
      <c r="K5" s="257">
        <v>756640.1186999999</v>
      </c>
      <c r="L5" s="240"/>
      <c r="M5" s="240"/>
      <c r="N5" s="240"/>
      <c r="O5" s="240"/>
    </row>
    <row r="6">
      <c r="A6" s="256" t="s">
        <v>51</v>
      </c>
      <c r="B6" s="238" t="s">
        <v>24</v>
      </c>
      <c r="C6" s="21">
        <v>362724.0</v>
      </c>
      <c r="D6" s="21">
        <v>503.0</v>
      </c>
      <c r="E6" s="38">
        <f t="shared" si="1"/>
        <v>102174.4098</v>
      </c>
      <c r="F6" s="44">
        <v>124652.78</v>
      </c>
      <c r="G6" s="239">
        <f t="shared" si="2"/>
        <v>125276.0439</v>
      </c>
      <c r="H6" s="38">
        <f t="shared" si="3"/>
        <v>281.6863782</v>
      </c>
      <c r="I6" s="49">
        <f t="shared" si="4"/>
        <v>203.1300394</v>
      </c>
      <c r="J6" s="240"/>
      <c r="K6" s="257">
        <v>125276.04389999999</v>
      </c>
      <c r="L6" s="240"/>
      <c r="M6" s="240"/>
      <c r="N6" s="240"/>
      <c r="O6" s="240"/>
    </row>
    <row r="7">
      <c r="A7" s="256" t="s">
        <v>40</v>
      </c>
      <c r="B7" s="238" t="s">
        <v>24</v>
      </c>
      <c r="C7" s="21">
        <v>4855963.0</v>
      </c>
      <c r="D7" s="21">
        <v>7266.0</v>
      </c>
      <c r="E7" s="38">
        <f t="shared" si="1"/>
        <v>384722.9672</v>
      </c>
      <c r="F7" s="44">
        <v>469362.02</v>
      </c>
      <c r="G7" s="239">
        <f t="shared" si="2"/>
        <v>471708.8301</v>
      </c>
      <c r="H7" s="38">
        <f t="shared" si="3"/>
        <v>79.22691487</v>
      </c>
      <c r="I7" s="49">
        <f t="shared" si="4"/>
        <v>52.94838525</v>
      </c>
      <c r="J7" s="240"/>
      <c r="K7" s="257">
        <v>471708.83009999996</v>
      </c>
      <c r="L7" s="240"/>
      <c r="M7" s="240"/>
      <c r="N7" s="240"/>
      <c r="O7" s="240"/>
    </row>
    <row r="8">
      <c r="A8" s="256" t="s">
        <v>42</v>
      </c>
      <c r="B8" s="238" t="s">
        <v>24</v>
      </c>
      <c r="C8" s="21">
        <v>1299075.0</v>
      </c>
      <c r="D8" s="21">
        <v>7794.0</v>
      </c>
      <c r="E8" s="38">
        <f t="shared" si="1"/>
        <v>218790.2131</v>
      </c>
      <c r="F8" s="44">
        <v>266924.06</v>
      </c>
      <c r="G8" s="239">
        <f t="shared" si="2"/>
        <v>268258.6803</v>
      </c>
      <c r="H8" s="38">
        <f t="shared" si="3"/>
        <v>168.4200012</v>
      </c>
      <c r="I8" s="49">
        <f t="shared" si="4"/>
        <v>28.07162088</v>
      </c>
      <c r="J8" s="240"/>
      <c r="K8" s="257">
        <v>268258.68029999995</v>
      </c>
      <c r="L8" s="240"/>
      <c r="M8" s="240"/>
      <c r="N8" s="240"/>
      <c r="O8" s="240"/>
    </row>
    <row r="9">
      <c r="A9" s="259" t="s">
        <v>45</v>
      </c>
      <c r="B9" s="238" t="s">
        <v>24</v>
      </c>
      <c r="C9" s="21">
        <v>2069864.0</v>
      </c>
      <c r="D9" s="260">
        <v>6600.0</v>
      </c>
      <c r="E9" s="38">
        <f t="shared" si="1"/>
        <v>339673.2951</v>
      </c>
      <c r="F9" s="44">
        <v>414401.42</v>
      </c>
      <c r="G9" s="239">
        <f t="shared" si="2"/>
        <v>416473.4271</v>
      </c>
      <c r="H9" s="38">
        <f t="shared" si="3"/>
        <v>164.104161</v>
      </c>
      <c r="I9" s="49">
        <f t="shared" si="4"/>
        <v>51.46565077</v>
      </c>
      <c r="J9" s="240"/>
      <c r="K9" s="257">
        <v>416473.4270999999</v>
      </c>
      <c r="L9" s="240"/>
      <c r="M9" s="240"/>
      <c r="N9" s="240"/>
      <c r="O9" s="240"/>
    </row>
    <row r="10">
      <c r="A10" s="251" t="s">
        <v>46</v>
      </c>
      <c r="B10" s="78"/>
      <c r="C10" s="80">
        <f t="shared" ref="C10:G10" si="5">SUM(C2:C9)</f>
        <v>16721991</v>
      </c>
      <c r="D10" s="80">
        <f t="shared" si="5"/>
        <v>78125</v>
      </c>
      <c r="E10" s="81">
        <f t="shared" si="5"/>
        <v>2746271.115</v>
      </c>
      <c r="F10" s="81">
        <f t="shared" si="5"/>
        <v>3350450.76</v>
      </c>
      <c r="G10" s="252">
        <f t="shared" si="5"/>
        <v>3367203.014</v>
      </c>
      <c r="H10" s="81">
        <f t="shared" si="3"/>
        <v>164.2311083</v>
      </c>
      <c r="I10" s="84">
        <f t="shared" si="4"/>
        <v>35.15227027</v>
      </c>
      <c r="J10" s="240"/>
      <c r="K10" s="261">
        <v>3367203.0138</v>
      </c>
      <c r="L10" s="240"/>
      <c r="M10" s="240"/>
      <c r="N10" s="240"/>
      <c r="O10" s="240"/>
    </row>
    <row r="11">
      <c r="A11" s="256" t="s">
        <v>23</v>
      </c>
      <c r="B11" s="238" t="s">
        <v>62</v>
      </c>
      <c r="C11" s="21">
        <v>814156.0</v>
      </c>
      <c r="D11" s="21">
        <v>650.0</v>
      </c>
      <c r="E11" s="38">
        <f t="shared" ref="E11:E19" si="6">F11/1.22</f>
        <v>224641.8443</v>
      </c>
      <c r="F11" s="44">
        <v>274063.05</v>
      </c>
      <c r="G11" s="239">
        <f t="shared" ref="G11:G19" si="7">F11*1.005</f>
        <v>275433.3653</v>
      </c>
      <c r="H11" s="38">
        <f t="shared" si="3"/>
        <v>275.9199027</v>
      </c>
      <c r="I11" s="49">
        <f t="shared" si="4"/>
        <v>345.6028373</v>
      </c>
      <c r="J11" s="240"/>
      <c r="K11" s="257">
        <v>275433.36525</v>
      </c>
      <c r="L11" s="240"/>
      <c r="M11" s="240"/>
      <c r="N11" s="240"/>
      <c r="O11" s="240"/>
    </row>
    <row r="12">
      <c r="A12" s="256" t="s">
        <v>63</v>
      </c>
      <c r="B12" s="238" t="s">
        <v>62</v>
      </c>
      <c r="C12" s="21">
        <v>428728.0</v>
      </c>
      <c r="D12" s="21">
        <v>922.0</v>
      </c>
      <c r="E12" s="38">
        <f t="shared" si="6"/>
        <v>248662.2377</v>
      </c>
      <c r="F12" s="44">
        <v>303367.93</v>
      </c>
      <c r="G12" s="239">
        <f t="shared" si="7"/>
        <v>304884.7697</v>
      </c>
      <c r="H12" s="38">
        <f t="shared" si="3"/>
        <v>579.9999946</v>
      </c>
      <c r="I12" s="49">
        <f t="shared" si="4"/>
        <v>269.6987394</v>
      </c>
      <c r="J12" s="240"/>
      <c r="K12" s="257">
        <v>304884.76965</v>
      </c>
      <c r="L12" s="240"/>
      <c r="M12" s="240"/>
      <c r="N12" s="240"/>
      <c r="O12" s="240"/>
    </row>
    <row r="13">
      <c r="A13" s="256" t="s">
        <v>35</v>
      </c>
      <c r="B13" s="238" t="s">
        <v>62</v>
      </c>
      <c r="C13" s="21">
        <v>263297.0</v>
      </c>
      <c r="D13" s="21">
        <v>150.0</v>
      </c>
      <c r="E13" s="38">
        <f t="shared" si="6"/>
        <v>55000</v>
      </c>
      <c r="F13" s="44">
        <v>67100.0</v>
      </c>
      <c r="G13" s="239">
        <f t="shared" si="7"/>
        <v>67435.5</v>
      </c>
      <c r="H13" s="38">
        <f t="shared" si="3"/>
        <v>208.889581</v>
      </c>
      <c r="I13" s="49">
        <f t="shared" si="4"/>
        <v>366.6666667</v>
      </c>
      <c r="J13" s="240"/>
      <c r="K13" s="257">
        <v>67435.5</v>
      </c>
      <c r="L13" s="240"/>
      <c r="M13" s="240"/>
      <c r="N13" s="240"/>
      <c r="O13" s="240"/>
    </row>
    <row r="14">
      <c r="A14" s="256" t="s">
        <v>120</v>
      </c>
      <c r="B14" s="238" t="s">
        <v>62</v>
      </c>
      <c r="C14" s="21">
        <v>10181.0</v>
      </c>
      <c r="D14" s="21">
        <v>10181.0</v>
      </c>
      <c r="E14" s="38">
        <f t="shared" si="6"/>
        <v>300000</v>
      </c>
      <c r="F14" s="44">
        <v>366000.0</v>
      </c>
      <c r="G14" s="239">
        <f t="shared" si="7"/>
        <v>367830</v>
      </c>
      <c r="H14" s="38">
        <f t="shared" si="3"/>
        <v>29466.65357</v>
      </c>
      <c r="I14" s="49">
        <f t="shared" si="4"/>
        <v>29.46665357</v>
      </c>
      <c r="J14" s="240"/>
      <c r="K14" s="257">
        <v>367829.99999999994</v>
      </c>
      <c r="L14" s="240"/>
      <c r="M14" s="240"/>
      <c r="N14" s="240"/>
      <c r="O14" s="240"/>
    </row>
    <row r="15">
      <c r="A15" s="256" t="s">
        <v>57</v>
      </c>
      <c r="B15" s="238" t="s">
        <v>62</v>
      </c>
      <c r="C15" s="21">
        <v>1521955.0</v>
      </c>
      <c r="D15" s="21">
        <v>12176.0</v>
      </c>
      <c r="E15" s="38">
        <f t="shared" si="6"/>
        <v>380488.7541</v>
      </c>
      <c r="F15" s="44">
        <v>464196.28</v>
      </c>
      <c r="G15" s="239">
        <f t="shared" si="7"/>
        <v>466517.2614</v>
      </c>
      <c r="H15" s="38">
        <f t="shared" si="3"/>
        <v>250.0000027</v>
      </c>
      <c r="I15" s="49">
        <f t="shared" si="4"/>
        <v>31.24907639</v>
      </c>
      <c r="J15" s="240"/>
      <c r="K15" s="257">
        <v>466517.26139999996</v>
      </c>
      <c r="L15" s="240"/>
      <c r="M15" s="240"/>
      <c r="N15" s="240"/>
      <c r="O15" s="240"/>
    </row>
    <row r="16">
      <c r="A16" s="256" t="s">
        <v>39</v>
      </c>
      <c r="B16" s="238" t="s">
        <v>62</v>
      </c>
      <c r="C16" s="21">
        <v>3000856.0</v>
      </c>
      <c r="D16" s="21">
        <v>24672.0</v>
      </c>
      <c r="E16" s="38">
        <f t="shared" si="6"/>
        <v>480136.959</v>
      </c>
      <c r="F16" s="44">
        <v>585767.09</v>
      </c>
      <c r="G16" s="239">
        <f t="shared" si="7"/>
        <v>588695.9255</v>
      </c>
      <c r="H16" s="38">
        <f t="shared" si="3"/>
        <v>159.9999997</v>
      </c>
      <c r="I16" s="49">
        <f t="shared" si="4"/>
        <v>19.46080411</v>
      </c>
      <c r="J16" s="240"/>
      <c r="K16" s="257">
        <v>588695.9254499999</v>
      </c>
      <c r="L16" s="240"/>
      <c r="M16" s="240"/>
      <c r="N16" s="240"/>
      <c r="O16" s="240"/>
    </row>
    <row r="17" ht="16.5" customHeight="1">
      <c r="A17" s="256" t="s">
        <v>78</v>
      </c>
      <c r="B17" s="238" t="s">
        <v>62</v>
      </c>
      <c r="C17" s="21">
        <v>1352833.0</v>
      </c>
      <c r="D17" s="21">
        <v>5952.0</v>
      </c>
      <c r="E17" s="38">
        <f t="shared" si="6"/>
        <v>194267.7295</v>
      </c>
      <c r="F17" s="44">
        <v>237006.63</v>
      </c>
      <c r="G17" s="239">
        <f t="shared" si="7"/>
        <v>238191.6632</v>
      </c>
      <c r="H17" s="38">
        <f t="shared" si="3"/>
        <v>143.6006732</v>
      </c>
      <c r="I17" s="49">
        <f t="shared" si="4"/>
        <v>32.63906746</v>
      </c>
      <c r="J17" s="240"/>
      <c r="K17" s="257">
        <v>238191.66314999998</v>
      </c>
      <c r="L17" s="240"/>
      <c r="M17" s="240"/>
      <c r="N17" s="240"/>
      <c r="O17" s="240"/>
    </row>
    <row r="18">
      <c r="A18" s="256" t="s">
        <v>40</v>
      </c>
      <c r="B18" s="238" t="s">
        <v>62</v>
      </c>
      <c r="C18" s="21">
        <v>5247259.0</v>
      </c>
      <c r="D18" s="21">
        <v>7500.0</v>
      </c>
      <c r="E18" s="38">
        <f t="shared" si="6"/>
        <v>467375.1721</v>
      </c>
      <c r="F18" s="44">
        <v>570197.71</v>
      </c>
      <c r="G18" s="239">
        <f t="shared" si="7"/>
        <v>573048.6986</v>
      </c>
      <c r="H18" s="38">
        <f t="shared" si="3"/>
        <v>89.07034551</v>
      </c>
      <c r="I18" s="49">
        <f t="shared" si="4"/>
        <v>62.31668962</v>
      </c>
      <c r="J18" s="240"/>
      <c r="K18" s="257">
        <v>573048.6985499999</v>
      </c>
      <c r="L18" s="240"/>
      <c r="M18" s="240"/>
      <c r="N18" s="240"/>
      <c r="O18" s="240"/>
    </row>
    <row r="19">
      <c r="A19" s="259" t="s">
        <v>45</v>
      </c>
      <c r="B19" s="238" t="s">
        <v>62</v>
      </c>
      <c r="C19" s="21">
        <v>3352442.0</v>
      </c>
      <c r="D19" s="260">
        <v>13378.0</v>
      </c>
      <c r="E19" s="38">
        <f t="shared" si="6"/>
        <v>651815.623</v>
      </c>
      <c r="F19" s="44">
        <v>795215.06</v>
      </c>
      <c r="G19" s="239">
        <f t="shared" si="7"/>
        <v>799191.1353</v>
      </c>
      <c r="H19" s="38">
        <f t="shared" si="3"/>
        <v>194.4300969</v>
      </c>
      <c r="I19" s="49">
        <f t="shared" si="4"/>
        <v>48.72294984</v>
      </c>
      <c r="J19" s="240"/>
      <c r="K19" s="257">
        <v>799191.1353</v>
      </c>
      <c r="L19" s="240"/>
      <c r="M19" s="240"/>
      <c r="N19" s="240"/>
      <c r="O19" s="240"/>
    </row>
    <row r="20">
      <c r="A20" s="251" t="s">
        <v>46</v>
      </c>
      <c r="B20" s="78"/>
      <c r="C20" s="80">
        <f t="shared" ref="C20:G20" si="8">SUM(C11:C19)</f>
        <v>15991707</v>
      </c>
      <c r="D20" s="80">
        <f t="shared" si="8"/>
        <v>75581</v>
      </c>
      <c r="E20" s="81">
        <f t="shared" si="8"/>
        <v>3002388.32</v>
      </c>
      <c r="F20" s="81">
        <f t="shared" si="8"/>
        <v>3662913.75</v>
      </c>
      <c r="G20" s="252">
        <f t="shared" si="8"/>
        <v>3681228.319</v>
      </c>
      <c r="H20" s="81">
        <f t="shared" si="3"/>
        <v>187.7465814</v>
      </c>
      <c r="I20" s="84">
        <f t="shared" si="4"/>
        <v>39.72411479</v>
      </c>
      <c r="J20" s="240"/>
      <c r="K20" s="261">
        <v>3681228.3187499996</v>
      </c>
      <c r="L20" s="240"/>
      <c r="M20" s="240"/>
      <c r="N20" s="240"/>
      <c r="O20" s="240"/>
    </row>
    <row r="21">
      <c r="A21" s="256" t="s">
        <v>35</v>
      </c>
      <c r="B21" s="238" t="s">
        <v>65</v>
      </c>
      <c r="C21" s="87">
        <v>570825.0</v>
      </c>
      <c r="D21" s="21">
        <v>454.0</v>
      </c>
      <c r="E21" s="38">
        <f t="shared" ref="E21:E25" si="9">F21/1.22</f>
        <v>141899.2541</v>
      </c>
      <c r="F21" s="38">
        <v>173117.09</v>
      </c>
      <c r="G21" s="239">
        <f t="shared" ref="G21:G25" si="10">F21*1.005</f>
        <v>173982.6755</v>
      </c>
      <c r="H21" s="38">
        <f t="shared" si="3"/>
        <v>248.5862639</v>
      </c>
      <c r="I21" s="49">
        <f t="shared" si="4"/>
        <v>312.5534231</v>
      </c>
      <c r="J21" s="240"/>
      <c r="K21" s="257">
        <v>173982.67544999998</v>
      </c>
      <c r="L21" s="240"/>
      <c r="M21" s="240"/>
      <c r="N21" s="240"/>
      <c r="O21" s="240"/>
    </row>
    <row r="22">
      <c r="A22" s="256" t="s">
        <v>63</v>
      </c>
      <c r="B22" s="238" t="s">
        <v>65</v>
      </c>
      <c r="C22" s="21">
        <v>151402.0</v>
      </c>
      <c r="D22" s="21">
        <v>919.0</v>
      </c>
      <c r="E22" s="38">
        <f t="shared" si="9"/>
        <v>87813.16393</v>
      </c>
      <c r="F22" s="44">
        <v>107132.06</v>
      </c>
      <c r="G22" s="239">
        <f t="shared" si="10"/>
        <v>107667.7203</v>
      </c>
      <c r="H22" s="38">
        <f t="shared" si="3"/>
        <v>580.000026</v>
      </c>
      <c r="I22" s="49">
        <f t="shared" si="4"/>
        <v>95.55295314</v>
      </c>
      <c r="J22" s="240"/>
      <c r="K22" s="257">
        <v>107667.72029999999</v>
      </c>
      <c r="L22" s="240"/>
      <c r="M22" s="240"/>
      <c r="N22" s="240"/>
      <c r="O22" s="240"/>
    </row>
    <row r="23">
      <c r="A23" s="256" t="s">
        <v>54</v>
      </c>
      <c r="B23" s="238" t="s">
        <v>65</v>
      </c>
      <c r="C23" s="87">
        <v>1271685.0</v>
      </c>
      <c r="D23" s="21">
        <v>1380.0</v>
      </c>
      <c r="E23" s="38">
        <f t="shared" si="9"/>
        <v>413334.6885</v>
      </c>
      <c r="F23" s="38">
        <v>504268.32000000007</v>
      </c>
      <c r="G23" s="239">
        <f t="shared" si="10"/>
        <v>506789.6616</v>
      </c>
      <c r="H23" s="38">
        <f t="shared" si="3"/>
        <v>325.0291452</v>
      </c>
      <c r="I23" s="49">
        <f t="shared" si="4"/>
        <v>299.5178902</v>
      </c>
      <c r="J23" s="240"/>
      <c r="K23" s="257">
        <v>506789.6616</v>
      </c>
      <c r="L23" s="240"/>
      <c r="M23" s="240"/>
      <c r="N23" s="240"/>
      <c r="O23" s="240"/>
    </row>
    <row r="24">
      <c r="A24" s="256" t="s">
        <v>40</v>
      </c>
      <c r="B24" s="238" t="s">
        <v>65</v>
      </c>
      <c r="C24" s="21">
        <v>3636293.0</v>
      </c>
      <c r="D24" s="21">
        <v>5400.0</v>
      </c>
      <c r="E24" s="38">
        <f t="shared" si="9"/>
        <v>320513.5902</v>
      </c>
      <c r="F24" s="44">
        <v>391026.58</v>
      </c>
      <c r="G24" s="239">
        <f t="shared" si="10"/>
        <v>392981.7129</v>
      </c>
      <c r="H24" s="38">
        <f t="shared" si="3"/>
        <v>88.14294947</v>
      </c>
      <c r="I24" s="49">
        <f t="shared" si="4"/>
        <v>59.35436855</v>
      </c>
      <c r="J24" s="240"/>
      <c r="K24" s="257">
        <v>392981.7129</v>
      </c>
      <c r="L24" s="240"/>
      <c r="M24" s="240"/>
      <c r="N24" s="240"/>
      <c r="O24" s="240"/>
    </row>
    <row r="25">
      <c r="A25" s="256" t="s">
        <v>39</v>
      </c>
      <c r="B25" s="238" t="s">
        <v>65</v>
      </c>
      <c r="C25" s="21">
        <v>2940915.0</v>
      </c>
      <c r="D25" s="21">
        <v>24000.0</v>
      </c>
      <c r="E25" s="38">
        <f t="shared" si="9"/>
        <v>470546.4016</v>
      </c>
      <c r="F25" s="44">
        <v>574066.61</v>
      </c>
      <c r="G25" s="239">
        <f t="shared" si="10"/>
        <v>576936.9431</v>
      </c>
      <c r="H25" s="38">
        <f t="shared" si="3"/>
        <v>160.0000006</v>
      </c>
      <c r="I25" s="49">
        <f t="shared" si="4"/>
        <v>19.60610007</v>
      </c>
      <c r="J25" s="240"/>
      <c r="K25" s="257">
        <v>576936.9430499999</v>
      </c>
      <c r="L25" s="240"/>
      <c r="M25" s="240"/>
      <c r="N25" s="240"/>
      <c r="O25" s="240"/>
    </row>
    <row r="26">
      <c r="A26" s="251" t="s">
        <v>46</v>
      </c>
      <c r="B26" s="78"/>
      <c r="C26" s="80">
        <f t="shared" ref="C26:G26" si="11">SUM(C21:C25)</f>
        <v>8571120</v>
      </c>
      <c r="D26" s="80">
        <f t="shared" si="11"/>
        <v>32153</v>
      </c>
      <c r="E26" s="81">
        <f t="shared" si="11"/>
        <v>1434107.098</v>
      </c>
      <c r="F26" s="81">
        <f t="shared" si="11"/>
        <v>1749610.66</v>
      </c>
      <c r="G26" s="252">
        <f t="shared" si="11"/>
        <v>1758358.713</v>
      </c>
      <c r="H26" s="81">
        <f t="shared" si="3"/>
        <v>167.3185183</v>
      </c>
      <c r="I26" s="84">
        <f t="shared" si="4"/>
        <v>44.60259069</v>
      </c>
      <c r="J26" s="240"/>
      <c r="K26" s="261">
        <v>1758358.7132999997</v>
      </c>
      <c r="L26" s="240"/>
      <c r="M26" s="240"/>
      <c r="N26" s="240"/>
      <c r="O26" s="240"/>
    </row>
    <row r="27">
      <c r="A27" s="256" t="s">
        <v>35</v>
      </c>
      <c r="B27" s="238" t="s">
        <v>87</v>
      </c>
      <c r="C27" s="21">
        <v>492638.0</v>
      </c>
      <c r="D27" s="21">
        <v>313.0</v>
      </c>
      <c r="E27" s="38">
        <f t="shared" ref="E27:E32" si="12">F27/1.22</f>
        <v>132499.2459</v>
      </c>
      <c r="F27" s="38">
        <v>161649.08000000002</v>
      </c>
      <c r="G27" s="239">
        <f t="shared" ref="G27:G32" si="13">F27*1.005</f>
        <v>162457.3254</v>
      </c>
      <c r="H27" s="38">
        <f t="shared" si="3"/>
        <v>268.9586388</v>
      </c>
      <c r="I27" s="49">
        <f t="shared" si="4"/>
        <v>423.3202744</v>
      </c>
      <c r="J27" s="240"/>
      <c r="K27" s="257">
        <v>162457.3254</v>
      </c>
      <c r="L27" s="240"/>
      <c r="M27" s="240"/>
      <c r="N27" s="240"/>
      <c r="O27" s="240"/>
    </row>
    <row r="28">
      <c r="A28" s="256" t="s">
        <v>23</v>
      </c>
      <c r="B28" s="238" t="s">
        <v>87</v>
      </c>
      <c r="C28" s="21">
        <v>460875.0</v>
      </c>
      <c r="D28" s="21">
        <v>456.0</v>
      </c>
      <c r="E28" s="38">
        <f t="shared" si="12"/>
        <v>117617.877</v>
      </c>
      <c r="F28" s="38">
        <v>143493.81</v>
      </c>
      <c r="G28" s="239">
        <f t="shared" si="13"/>
        <v>144211.2791</v>
      </c>
      <c r="H28" s="38">
        <f t="shared" si="3"/>
        <v>255.2055916</v>
      </c>
      <c r="I28" s="49">
        <f t="shared" si="4"/>
        <v>257.9339409</v>
      </c>
      <c r="J28" s="240"/>
      <c r="K28" s="257">
        <v>144211.27904999998</v>
      </c>
      <c r="L28" s="240"/>
      <c r="M28" s="240"/>
      <c r="N28" s="240"/>
      <c r="O28" s="240"/>
    </row>
    <row r="29">
      <c r="A29" s="256" t="s">
        <v>51</v>
      </c>
      <c r="B29" s="238" t="s">
        <v>87</v>
      </c>
      <c r="C29" s="21">
        <v>1731784.0</v>
      </c>
      <c r="D29" s="21">
        <v>3240.0</v>
      </c>
      <c r="E29" s="38">
        <f t="shared" si="12"/>
        <v>488129.8852</v>
      </c>
      <c r="F29" s="44">
        <v>595518.46</v>
      </c>
      <c r="G29" s="239">
        <f t="shared" si="13"/>
        <v>598496.0523</v>
      </c>
      <c r="H29" s="38">
        <f t="shared" si="3"/>
        <v>281.8653396</v>
      </c>
      <c r="I29" s="49">
        <f t="shared" si="4"/>
        <v>150.657372</v>
      </c>
      <c r="J29" s="240"/>
      <c r="K29" s="257">
        <v>598496.0522999999</v>
      </c>
      <c r="L29" s="240"/>
      <c r="M29" s="240"/>
      <c r="N29" s="240"/>
      <c r="O29" s="240"/>
    </row>
    <row r="30">
      <c r="A30" s="256" t="s">
        <v>39</v>
      </c>
      <c r="B30" s="238" t="s">
        <v>87</v>
      </c>
      <c r="C30" s="21">
        <v>2368944.0</v>
      </c>
      <c r="D30" s="21">
        <v>20000.0</v>
      </c>
      <c r="E30" s="38">
        <f t="shared" si="12"/>
        <v>379031.041</v>
      </c>
      <c r="F30" s="44">
        <v>462417.87</v>
      </c>
      <c r="G30" s="239">
        <f t="shared" si="13"/>
        <v>464729.9594</v>
      </c>
      <c r="H30" s="38">
        <f t="shared" si="3"/>
        <v>160.0000004</v>
      </c>
      <c r="I30" s="49">
        <f t="shared" si="4"/>
        <v>18.95155205</v>
      </c>
      <c r="J30" s="240"/>
      <c r="K30" s="257">
        <v>464729.95934999996</v>
      </c>
      <c r="L30" s="240"/>
      <c r="M30" s="240"/>
      <c r="N30" s="240"/>
      <c r="O30" s="240"/>
    </row>
    <row r="31">
      <c r="A31" s="256" t="s">
        <v>40</v>
      </c>
      <c r="B31" s="238" t="s">
        <v>87</v>
      </c>
      <c r="C31" s="21">
        <v>2590651.0</v>
      </c>
      <c r="D31" s="21">
        <v>3750.0</v>
      </c>
      <c r="E31" s="38">
        <f t="shared" si="12"/>
        <v>199291.582</v>
      </c>
      <c r="F31" s="44">
        <v>243135.73</v>
      </c>
      <c r="G31" s="239">
        <f t="shared" si="13"/>
        <v>244351.4087</v>
      </c>
      <c r="H31" s="38">
        <f t="shared" si="3"/>
        <v>76.92722098</v>
      </c>
      <c r="I31" s="49">
        <f t="shared" si="4"/>
        <v>53.14442186</v>
      </c>
      <c r="J31" s="240"/>
      <c r="K31" s="257">
        <v>244351.40865</v>
      </c>
      <c r="L31" s="240"/>
      <c r="M31" s="240"/>
      <c r="N31" s="240"/>
      <c r="O31" s="240"/>
    </row>
    <row r="32">
      <c r="A32" s="256" t="s">
        <v>57</v>
      </c>
      <c r="B32" s="238" t="s">
        <v>87</v>
      </c>
      <c r="C32" s="21">
        <v>1000000.0</v>
      </c>
      <c r="D32" s="21">
        <v>8000.0</v>
      </c>
      <c r="E32" s="38">
        <f t="shared" si="12"/>
        <v>250000</v>
      </c>
      <c r="F32" s="44">
        <v>305000.0</v>
      </c>
      <c r="G32" s="239">
        <f t="shared" si="13"/>
        <v>306525</v>
      </c>
      <c r="H32" s="38">
        <f t="shared" si="3"/>
        <v>250</v>
      </c>
      <c r="I32" s="49">
        <f t="shared" si="4"/>
        <v>31.25</v>
      </c>
      <c r="J32" s="240"/>
      <c r="K32" s="257">
        <v>306524.99999999994</v>
      </c>
      <c r="L32" s="240"/>
      <c r="M32" s="240"/>
      <c r="N32" s="240"/>
      <c r="O32" s="240"/>
    </row>
    <row r="33">
      <c r="A33" s="251" t="s">
        <v>46</v>
      </c>
      <c r="B33" s="78"/>
      <c r="C33" s="80">
        <f t="shared" ref="C33:G33" si="14">SUM(C27:C32)</f>
        <v>8644892</v>
      </c>
      <c r="D33" s="80">
        <f t="shared" si="14"/>
        <v>35759</v>
      </c>
      <c r="E33" s="81">
        <f t="shared" si="14"/>
        <v>1566569.631</v>
      </c>
      <c r="F33" s="81">
        <f t="shared" si="14"/>
        <v>1911214.95</v>
      </c>
      <c r="G33" s="252">
        <f t="shared" si="14"/>
        <v>1920771.025</v>
      </c>
      <c r="H33" s="81">
        <f t="shared" si="3"/>
        <v>181.2133259</v>
      </c>
      <c r="I33" s="84">
        <f t="shared" si="4"/>
        <v>43.80910068</v>
      </c>
      <c r="J33" s="240"/>
      <c r="K33" s="261">
        <v>1920771.0247499999</v>
      </c>
      <c r="L33" s="240"/>
      <c r="M33" s="240"/>
      <c r="N33" s="240"/>
      <c r="O33" s="240"/>
    </row>
    <row r="34">
      <c r="A34" s="256" t="s">
        <v>35</v>
      </c>
      <c r="B34" s="238" t="s">
        <v>84</v>
      </c>
      <c r="C34" s="21">
        <v>420907.0</v>
      </c>
      <c r="D34" s="21">
        <v>240.0</v>
      </c>
      <c r="E34" s="38">
        <f t="shared" ref="E34:E37" si="15">F34/1.22</f>
        <v>88000</v>
      </c>
      <c r="F34" s="44">
        <v>107360.0</v>
      </c>
      <c r="G34" s="239">
        <f t="shared" ref="G34:G37" si="16">F34*1.005</f>
        <v>107896.8</v>
      </c>
      <c r="H34" s="38">
        <f t="shared" si="3"/>
        <v>209.0723129</v>
      </c>
      <c r="I34" s="49">
        <f t="shared" si="4"/>
        <v>366.6666667</v>
      </c>
      <c r="J34" s="240"/>
      <c r="K34" s="257">
        <v>107896.79999999999</v>
      </c>
      <c r="L34" s="240"/>
      <c r="M34" s="240"/>
      <c r="N34" s="240"/>
      <c r="O34" s="240"/>
    </row>
    <row r="35">
      <c r="A35" s="256" t="s">
        <v>121</v>
      </c>
      <c r="B35" s="238" t="s">
        <v>84</v>
      </c>
      <c r="C35" s="21">
        <v>1566576.0</v>
      </c>
      <c r="D35" s="21">
        <v>2604.0</v>
      </c>
      <c r="E35" s="38">
        <f t="shared" si="15"/>
        <v>549505.9508</v>
      </c>
      <c r="F35" s="38">
        <v>670397.26</v>
      </c>
      <c r="G35" s="239">
        <f t="shared" si="16"/>
        <v>673749.2463</v>
      </c>
      <c r="H35" s="38">
        <f t="shared" si="3"/>
        <v>350.7687791</v>
      </c>
      <c r="I35" s="49">
        <f t="shared" si="4"/>
        <v>211.0237906</v>
      </c>
      <c r="J35" s="240"/>
      <c r="K35" s="257">
        <v>673749.2462999999</v>
      </c>
      <c r="L35" s="240"/>
      <c r="M35" s="240"/>
      <c r="N35" s="240"/>
      <c r="O35" s="240"/>
    </row>
    <row r="36">
      <c r="A36" s="256" t="s">
        <v>39</v>
      </c>
      <c r="B36" s="238" t="s">
        <v>84</v>
      </c>
      <c r="C36" s="21">
        <v>2499991.0</v>
      </c>
      <c r="D36" s="21">
        <v>20000.0</v>
      </c>
      <c r="E36" s="38">
        <f t="shared" si="15"/>
        <v>399998.5574</v>
      </c>
      <c r="F36" s="44">
        <v>487998.24</v>
      </c>
      <c r="G36" s="239">
        <f t="shared" si="16"/>
        <v>490438.2312</v>
      </c>
      <c r="H36" s="38">
        <f t="shared" si="3"/>
        <v>159.999999</v>
      </c>
      <c r="I36" s="49">
        <f t="shared" si="4"/>
        <v>19.99992787</v>
      </c>
      <c r="J36" s="240">
        <f>365999.02</f>
        <v>365999.02</v>
      </c>
      <c r="K36" s="257">
        <v>490438.2311999999</v>
      </c>
      <c r="L36" s="240"/>
      <c r="M36" s="240"/>
      <c r="N36" s="240"/>
      <c r="O36" s="240"/>
    </row>
    <row r="37">
      <c r="A37" s="256" t="s">
        <v>40</v>
      </c>
      <c r="B37" s="238" t="s">
        <v>84</v>
      </c>
      <c r="C37" s="21">
        <v>3995725.0</v>
      </c>
      <c r="D37" s="21">
        <v>6000.0</v>
      </c>
      <c r="E37" s="38">
        <f t="shared" si="15"/>
        <v>317584.877</v>
      </c>
      <c r="F37" s="44">
        <v>387453.55</v>
      </c>
      <c r="G37" s="239">
        <f t="shared" si="16"/>
        <v>389390.8178</v>
      </c>
      <c r="H37" s="38">
        <f t="shared" si="3"/>
        <v>79.48116476</v>
      </c>
      <c r="I37" s="49">
        <f t="shared" si="4"/>
        <v>52.93081284</v>
      </c>
      <c r="J37" s="240"/>
      <c r="K37" s="257">
        <v>389390.81774999993</v>
      </c>
      <c r="L37" s="240"/>
      <c r="M37" s="240"/>
      <c r="N37" s="240"/>
      <c r="O37" s="240"/>
    </row>
    <row r="38">
      <c r="A38" s="251" t="s">
        <v>46</v>
      </c>
      <c r="B38" s="78"/>
      <c r="C38" s="80">
        <f t="shared" ref="C38:G38" si="17">SUM(C34:C37)</f>
        <v>8483199</v>
      </c>
      <c r="D38" s="80">
        <f t="shared" si="17"/>
        <v>28844</v>
      </c>
      <c r="E38" s="81">
        <f t="shared" si="17"/>
        <v>1355089.385</v>
      </c>
      <c r="F38" s="81">
        <f t="shared" si="17"/>
        <v>1653209.05</v>
      </c>
      <c r="G38" s="252">
        <f t="shared" si="17"/>
        <v>1661475.095</v>
      </c>
      <c r="H38" s="81">
        <f t="shared" si="3"/>
        <v>159.7380169</v>
      </c>
      <c r="I38" s="84">
        <f t="shared" si="4"/>
        <v>46.97993986</v>
      </c>
      <c r="J38" s="240"/>
      <c r="K38" s="261">
        <v>1661475.0952499998</v>
      </c>
      <c r="L38" s="240"/>
      <c r="M38" s="240"/>
      <c r="N38" s="240"/>
      <c r="O38" s="240"/>
    </row>
    <row r="39">
      <c r="A39" s="256" t="s">
        <v>39</v>
      </c>
      <c r="B39" s="238" t="s">
        <v>80</v>
      </c>
      <c r="C39" s="21">
        <v>1565017.0</v>
      </c>
      <c r="D39" s="21">
        <v>12520.0</v>
      </c>
      <c r="E39" s="38">
        <f t="shared" ref="E39:E40" si="18">F39/1.22</f>
        <v>250400</v>
      </c>
      <c r="F39" s="44">
        <v>305488.0</v>
      </c>
      <c r="G39" s="239">
        <f t="shared" ref="G39:G40" si="19">F39*1.005</f>
        <v>307015.44</v>
      </c>
      <c r="H39" s="38">
        <f t="shared" si="3"/>
        <v>159.998262</v>
      </c>
      <c r="I39" s="49">
        <f t="shared" si="4"/>
        <v>20</v>
      </c>
      <c r="J39" s="240"/>
      <c r="K39" s="257">
        <v>307015.43999999994</v>
      </c>
      <c r="L39" s="240"/>
      <c r="M39" s="240"/>
      <c r="N39" s="240"/>
      <c r="O39" s="240"/>
    </row>
    <row r="40">
      <c r="A40" s="256" t="s">
        <v>40</v>
      </c>
      <c r="B40" s="238" t="s">
        <v>80</v>
      </c>
      <c r="C40" s="21">
        <v>1724653.0</v>
      </c>
      <c r="D40" s="21">
        <v>3000.0</v>
      </c>
      <c r="E40" s="38">
        <f t="shared" si="18"/>
        <v>137184.4344</v>
      </c>
      <c r="F40" s="44">
        <v>167365.01</v>
      </c>
      <c r="G40" s="239">
        <f t="shared" si="19"/>
        <v>168201.8351</v>
      </c>
      <c r="H40" s="38">
        <f t="shared" si="3"/>
        <v>79.54320923</v>
      </c>
      <c r="I40" s="49">
        <f t="shared" si="4"/>
        <v>45.72814481</v>
      </c>
      <c r="J40" s="240"/>
      <c r="K40" s="257">
        <v>168201.83505</v>
      </c>
      <c r="L40" s="240"/>
      <c r="M40" s="240"/>
      <c r="N40" s="240"/>
      <c r="O40" s="240"/>
    </row>
    <row r="41">
      <c r="A41" s="251" t="s">
        <v>46</v>
      </c>
      <c r="B41" s="78"/>
      <c r="C41" s="80">
        <f t="shared" ref="C41:G41" si="20">SUM(C39:C40)</f>
        <v>3289670</v>
      </c>
      <c r="D41" s="80">
        <f t="shared" si="20"/>
        <v>15520</v>
      </c>
      <c r="E41" s="81">
        <f t="shared" si="20"/>
        <v>387584.4344</v>
      </c>
      <c r="F41" s="81">
        <f t="shared" si="20"/>
        <v>472853.01</v>
      </c>
      <c r="G41" s="252">
        <f t="shared" si="20"/>
        <v>475217.2751</v>
      </c>
      <c r="H41" s="81">
        <f t="shared" si="3"/>
        <v>117.8186366</v>
      </c>
      <c r="I41" s="84">
        <f t="shared" si="4"/>
        <v>24.97322387</v>
      </c>
      <c r="J41" s="240"/>
      <c r="K41" s="261">
        <v>475217.27504999994</v>
      </c>
      <c r="L41" s="240"/>
      <c r="M41" s="240"/>
      <c r="N41" s="240"/>
      <c r="O41" s="240"/>
    </row>
    <row r="42">
      <c r="A42" s="256" t="s">
        <v>35</v>
      </c>
      <c r="B42" s="238" t="s">
        <v>122</v>
      </c>
      <c r="C42" s="21">
        <v>783708.0</v>
      </c>
      <c r="D42" s="21">
        <v>596.0</v>
      </c>
      <c r="E42" s="38">
        <f t="shared" ref="E42:E44" si="21">F42/1.22</f>
        <v>163900</v>
      </c>
      <c r="F42" s="44">
        <v>199958.0</v>
      </c>
      <c r="G42" s="239">
        <f t="shared" ref="G42:G44" si="22">F42*1.005</f>
        <v>200957.79</v>
      </c>
      <c r="H42" s="38">
        <f t="shared" si="3"/>
        <v>209.1340142</v>
      </c>
      <c r="I42" s="49">
        <f t="shared" si="4"/>
        <v>275</v>
      </c>
      <c r="J42" s="240"/>
      <c r="K42" s="257">
        <v>200957.78999999998</v>
      </c>
      <c r="L42" s="240"/>
      <c r="M42" s="240"/>
      <c r="N42" s="240"/>
      <c r="O42" s="240"/>
    </row>
    <row r="43">
      <c r="A43" s="256" t="s">
        <v>54</v>
      </c>
      <c r="B43" s="238" t="s">
        <v>122</v>
      </c>
      <c r="C43" s="21">
        <v>209395.0</v>
      </c>
      <c r="D43" s="21">
        <v>287.0</v>
      </c>
      <c r="E43" s="38">
        <f t="shared" si="21"/>
        <v>66945.05738</v>
      </c>
      <c r="F43" s="44">
        <v>81672.97</v>
      </c>
      <c r="G43" s="239">
        <f t="shared" si="22"/>
        <v>82081.33485</v>
      </c>
      <c r="H43" s="38">
        <f t="shared" si="3"/>
        <v>319.7070483</v>
      </c>
      <c r="I43" s="49">
        <f t="shared" si="4"/>
        <v>233.2580396</v>
      </c>
      <c r="J43" s="240"/>
      <c r="K43" s="257">
        <v>82081.33485</v>
      </c>
      <c r="L43" s="240"/>
      <c r="M43" s="240"/>
      <c r="N43" s="240"/>
      <c r="O43" s="240"/>
    </row>
    <row r="44">
      <c r="A44" s="256" t="s">
        <v>39</v>
      </c>
      <c r="B44" s="238" t="s">
        <v>122</v>
      </c>
      <c r="C44" s="21">
        <v>1088163.0</v>
      </c>
      <c r="D44" s="21">
        <v>9426.0</v>
      </c>
      <c r="E44" s="38">
        <f t="shared" si="21"/>
        <v>174106.082</v>
      </c>
      <c r="F44" s="44">
        <v>212409.42</v>
      </c>
      <c r="G44" s="239">
        <f t="shared" si="22"/>
        <v>213471.4671</v>
      </c>
      <c r="H44" s="38">
        <f t="shared" si="3"/>
        <v>160.0000018</v>
      </c>
      <c r="I44" s="49">
        <f t="shared" si="4"/>
        <v>18.47083407</v>
      </c>
      <c r="J44" s="240"/>
      <c r="K44" s="257">
        <v>213471.46709999998</v>
      </c>
      <c r="L44" s="240"/>
      <c r="M44" s="240"/>
      <c r="N44" s="240"/>
      <c r="O44" s="240"/>
    </row>
    <row r="45">
      <c r="A45" s="251" t="s">
        <v>46</v>
      </c>
      <c r="B45" s="78"/>
      <c r="C45" s="80">
        <f t="shared" ref="C45:G45" si="23">SUM(C42:C44)</f>
        <v>2081266</v>
      </c>
      <c r="D45" s="80">
        <f t="shared" si="23"/>
        <v>10309</v>
      </c>
      <c r="E45" s="81">
        <f t="shared" si="23"/>
        <v>404951.1393</v>
      </c>
      <c r="F45" s="81">
        <f t="shared" si="23"/>
        <v>494040.39</v>
      </c>
      <c r="G45" s="252">
        <f t="shared" si="23"/>
        <v>496510.592</v>
      </c>
      <c r="H45" s="81">
        <f t="shared" si="3"/>
        <v>194.5696222</v>
      </c>
      <c r="I45" s="84">
        <f t="shared" si="4"/>
        <v>39.28132111</v>
      </c>
      <c r="J45" s="240"/>
      <c r="K45" s="261">
        <v>496510.5919499999</v>
      </c>
      <c r="L45" s="240"/>
      <c r="M45" s="240"/>
      <c r="N45" s="240"/>
      <c r="O45" s="240"/>
    </row>
    <row r="46">
      <c r="A46" s="256" t="s">
        <v>54</v>
      </c>
      <c r="B46" s="238" t="s">
        <v>81</v>
      </c>
      <c r="C46" s="21">
        <v>1576396.0</v>
      </c>
      <c r="D46" s="21">
        <v>1650.0</v>
      </c>
      <c r="E46" s="38">
        <f t="shared" ref="E46:E49" si="24">F46/1.22</f>
        <v>477964.2869</v>
      </c>
      <c r="F46" s="44">
        <v>583116.43</v>
      </c>
      <c r="G46" s="239">
        <f t="shared" ref="G46:G49" si="25">F46*1.005</f>
        <v>586032.0122</v>
      </c>
      <c r="H46" s="38">
        <f t="shared" si="3"/>
        <v>303.2006468</v>
      </c>
      <c r="I46" s="49">
        <f t="shared" si="4"/>
        <v>289.6753254</v>
      </c>
      <c r="J46" s="240"/>
      <c r="K46" s="257">
        <v>586032.01215</v>
      </c>
      <c r="L46" s="240"/>
      <c r="M46" s="240"/>
      <c r="N46" s="240"/>
      <c r="O46" s="240"/>
    </row>
    <row r="47">
      <c r="A47" s="256" t="s">
        <v>35</v>
      </c>
      <c r="B47" s="238" t="s">
        <v>81</v>
      </c>
      <c r="C47" s="21">
        <v>1259206.0</v>
      </c>
      <c r="D47" s="21">
        <v>720.0</v>
      </c>
      <c r="E47" s="38">
        <f t="shared" si="24"/>
        <v>264000</v>
      </c>
      <c r="F47" s="38">
        <v>322080.0</v>
      </c>
      <c r="G47" s="239">
        <f t="shared" si="25"/>
        <v>323690.4</v>
      </c>
      <c r="H47" s="38">
        <f t="shared" si="3"/>
        <v>209.655926</v>
      </c>
      <c r="I47" s="49">
        <f t="shared" si="4"/>
        <v>366.6666667</v>
      </c>
      <c r="J47" s="240"/>
      <c r="K47" s="257">
        <v>323690.39999999997</v>
      </c>
      <c r="L47" s="240"/>
      <c r="M47" s="240"/>
      <c r="N47" s="240"/>
      <c r="O47" s="240"/>
    </row>
    <row r="48">
      <c r="A48" s="256" t="s">
        <v>39</v>
      </c>
      <c r="B48" s="238" t="s">
        <v>81</v>
      </c>
      <c r="C48" s="21">
        <v>2399993.0</v>
      </c>
      <c r="D48" s="21">
        <v>19200.0</v>
      </c>
      <c r="E48" s="38">
        <f t="shared" si="24"/>
        <v>383998.877</v>
      </c>
      <c r="F48" s="44">
        <v>468478.63</v>
      </c>
      <c r="G48" s="239">
        <f t="shared" si="25"/>
        <v>470821.0232</v>
      </c>
      <c r="H48" s="38">
        <f t="shared" si="3"/>
        <v>159.9999988</v>
      </c>
      <c r="I48" s="49">
        <f t="shared" si="4"/>
        <v>19.99994151</v>
      </c>
      <c r="J48" s="240"/>
      <c r="K48" s="257">
        <v>470821.02314999996</v>
      </c>
      <c r="L48" s="240"/>
      <c r="M48" s="240"/>
      <c r="N48" s="240"/>
      <c r="O48" s="240"/>
    </row>
    <row r="49">
      <c r="A49" s="256" t="s">
        <v>40</v>
      </c>
      <c r="B49" s="238" t="s">
        <v>81</v>
      </c>
      <c r="C49" s="21">
        <v>4175129.0</v>
      </c>
      <c r="D49" s="21">
        <v>4000.0</v>
      </c>
      <c r="E49" s="38">
        <f t="shared" si="24"/>
        <v>318800.4426</v>
      </c>
      <c r="F49" s="44">
        <v>388936.54</v>
      </c>
      <c r="G49" s="239">
        <f t="shared" si="25"/>
        <v>390881.2227</v>
      </c>
      <c r="H49" s="38">
        <f t="shared" si="3"/>
        <v>76.35702816</v>
      </c>
      <c r="I49" s="49">
        <f t="shared" si="4"/>
        <v>79.70011066</v>
      </c>
      <c r="J49" s="240"/>
      <c r="K49" s="257">
        <v>390881.2226999999</v>
      </c>
      <c r="L49" s="240"/>
      <c r="M49" s="240"/>
      <c r="N49" s="240"/>
      <c r="O49" s="240"/>
    </row>
    <row r="50">
      <c r="A50" s="251" t="s">
        <v>46</v>
      </c>
      <c r="B50" s="78"/>
      <c r="C50" s="80">
        <f t="shared" ref="C50:G50" si="26">SUM(C46:C49)</f>
        <v>9410724</v>
      </c>
      <c r="D50" s="80">
        <f t="shared" si="26"/>
        <v>25570</v>
      </c>
      <c r="E50" s="81">
        <f t="shared" si="26"/>
        <v>1444763.607</v>
      </c>
      <c r="F50" s="81">
        <f t="shared" si="26"/>
        <v>1762611.6</v>
      </c>
      <c r="G50" s="252">
        <f t="shared" si="26"/>
        <v>1771424.658</v>
      </c>
      <c r="H50" s="81">
        <f t="shared" si="3"/>
        <v>153.523109</v>
      </c>
      <c r="I50" s="84">
        <f t="shared" si="4"/>
        <v>56.502292</v>
      </c>
      <c r="J50" s="240"/>
      <c r="K50" s="261">
        <v>1771424.6579999998</v>
      </c>
      <c r="L50" s="240"/>
      <c r="M50" s="240"/>
      <c r="N50" s="240"/>
      <c r="O50" s="240"/>
    </row>
    <row r="51">
      <c r="A51" s="256" t="s">
        <v>23</v>
      </c>
      <c r="B51" s="238" t="s">
        <v>94</v>
      </c>
      <c r="C51" s="21">
        <v>2629673.0</v>
      </c>
      <c r="D51" s="21">
        <v>2333.0</v>
      </c>
      <c r="E51" s="38">
        <f t="shared" ref="E51:E54" si="27">F51/1.22</f>
        <v>655304.0656</v>
      </c>
      <c r="F51" s="38">
        <v>799470.96</v>
      </c>
      <c r="G51" s="239">
        <f t="shared" ref="G51:G54" si="28">F51*1.005</f>
        <v>803468.3148</v>
      </c>
      <c r="H51" s="38">
        <f t="shared" si="3"/>
        <v>249.1960276</v>
      </c>
      <c r="I51" s="49">
        <f t="shared" si="4"/>
        <v>280.8847259</v>
      </c>
      <c r="J51" s="240"/>
      <c r="K51" s="257">
        <v>803468.3147999999</v>
      </c>
      <c r="L51" s="240"/>
      <c r="M51" s="240"/>
      <c r="N51" s="240"/>
      <c r="O51" s="240"/>
    </row>
    <row r="52">
      <c r="A52" s="256" t="s">
        <v>120</v>
      </c>
      <c r="B52" s="238" t="s">
        <v>94</v>
      </c>
      <c r="C52" s="21">
        <v>9914.0</v>
      </c>
      <c r="D52" s="21">
        <v>9914.0</v>
      </c>
      <c r="E52" s="38">
        <f t="shared" si="27"/>
        <v>285904.918</v>
      </c>
      <c r="F52" s="44">
        <v>348804.0</v>
      </c>
      <c r="G52" s="239">
        <f t="shared" si="28"/>
        <v>350548.02</v>
      </c>
      <c r="H52" s="38">
        <f t="shared" si="3"/>
        <v>28838.50293</v>
      </c>
      <c r="I52" s="49">
        <f t="shared" si="4"/>
        <v>28.83850293</v>
      </c>
      <c r="J52" s="240"/>
      <c r="K52" s="257">
        <v>350548.01999999996</v>
      </c>
      <c r="L52" s="240"/>
      <c r="M52" s="240"/>
      <c r="N52" s="240"/>
      <c r="O52" s="240"/>
    </row>
    <row r="53">
      <c r="A53" s="256" t="s">
        <v>35</v>
      </c>
      <c r="B53" s="238" t="s">
        <v>94</v>
      </c>
      <c r="C53" s="87">
        <v>1619998.0</v>
      </c>
      <c r="D53" s="21">
        <v>1068.0</v>
      </c>
      <c r="E53" s="38">
        <f t="shared" si="27"/>
        <v>467213.1148</v>
      </c>
      <c r="F53" s="38">
        <v>570000.0</v>
      </c>
      <c r="G53" s="239">
        <f t="shared" si="28"/>
        <v>572850</v>
      </c>
      <c r="H53" s="38">
        <f t="shared" si="3"/>
        <v>288.4035133</v>
      </c>
      <c r="I53" s="49">
        <f t="shared" si="4"/>
        <v>437.4654633</v>
      </c>
      <c r="J53" s="240"/>
      <c r="K53" s="257">
        <v>572849.9999999999</v>
      </c>
      <c r="L53" s="240"/>
      <c r="M53" s="240"/>
      <c r="N53" s="240"/>
      <c r="O53" s="240"/>
    </row>
    <row r="54">
      <c r="A54" s="256" t="s">
        <v>51</v>
      </c>
      <c r="B54" s="238" t="s">
        <v>94</v>
      </c>
      <c r="C54" s="21">
        <v>591492.0</v>
      </c>
      <c r="D54" s="21">
        <v>900.0</v>
      </c>
      <c r="E54" s="38">
        <f t="shared" si="27"/>
        <v>171535.4918</v>
      </c>
      <c r="F54" s="44">
        <v>209273.3</v>
      </c>
      <c r="G54" s="239">
        <f t="shared" si="28"/>
        <v>210319.6665</v>
      </c>
      <c r="H54" s="38">
        <f t="shared" si="3"/>
        <v>290.0047537</v>
      </c>
      <c r="I54" s="49">
        <f t="shared" si="4"/>
        <v>190.5949909</v>
      </c>
      <c r="J54" s="240"/>
      <c r="K54" s="257">
        <v>210319.66649999996</v>
      </c>
      <c r="L54" s="240"/>
      <c r="M54" s="240"/>
      <c r="N54" s="240"/>
      <c r="O54" s="240"/>
    </row>
    <row r="55">
      <c r="A55" s="251" t="s">
        <v>46</v>
      </c>
      <c r="B55" s="78"/>
      <c r="C55" s="80">
        <f t="shared" ref="C55:G55" si="29">SUM(C51:C54)</f>
        <v>4851077</v>
      </c>
      <c r="D55" s="80">
        <f t="shared" si="29"/>
        <v>14215</v>
      </c>
      <c r="E55" s="81">
        <f t="shared" si="29"/>
        <v>1579957.59</v>
      </c>
      <c r="F55" s="81">
        <f t="shared" si="29"/>
        <v>1927548.26</v>
      </c>
      <c r="G55" s="252">
        <f t="shared" si="29"/>
        <v>1937186.001</v>
      </c>
      <c r="H55" s="81">
        <f t="shared" si="3"/>
        <v>325.6921278</v>
      </c>
      <c r="I55" s="84">
        <f t="shared" si="4"/>
        <v>111.14721</v>
      </c>
      <c r="J55" s="240"/>
      <c r="K55" s="261">
        <v>1937186.0013</v>
      </c>
      <c r="L55" s="240"/>
      <c r="M55" s="240"/>
      <c r="N55" s="240"/>
      <c r="O55" s="240"/>
    </row>
    <row r="56">
      <c r="A56" s="256" t="s">
        <v>23</v>
      </c>
      <c r="B56" s="238" t="s">
        <v>89</v>
      </c>
      <c r="C56" s="21">
        <v>970337.0</v>
      </c>
      <c r="D56" s="21">
        <v>910.0</v>
      </c>
      <c r="E56" s="38">
        <f t="shared" ref="E56:E62" si="30">F56/1.22</f>
        <v>244596.2295</v>
      </c>
      <c r="F56" s="38">
        <v>298407.4</v>
      </c>
      <c r="G56" s="239">
        <f t="shared" ref="G56:G62" si="31">F56*1.005</f>
        <v>299899.437</v>
      </c>
      <c r="H56" s="38">
        <f t="shared" si="3"/>
        <v>252.0734853</v>
      </c>
      <c r="I56" s="49">
        <f t="shared" si="4"/>
        <v>268.7870654</v>
      </c>
      <c r="J56" s="240"/>
      <c r="K56" s="257">
        <v>299899.437</v>
      </c>
      <c r="L56" s="240"/>
      <c r="M56" s="240"/>
      <c r="N56" s="240"/>
      <c r="O56" s="240"/>
    </row>
    <row r="57">
      <c r="A57" s="256" t="s">
        <v>63</v>
      </c>
      <c r="B57" s="238" t="s">
        <v>89</v>
      </c>
      <c r="C57" s="21">
        <v>97271.0</v>
      </c>
      <c r="D57" s="21">
        <v>919.0</v>
      </c>
      <c r="E57" s="38">
        <f t="shared" si="30"/>
        <v>56417.18033</v>
      </c>
      <c r="F57" s="44">
        <v>68828.96</v>
      </c>
      <c r="G57" s="239">
        <f t="shared" si="31"/>
        <v>69173.1048</v>
      </c>
      <c r="H57" s="38">
        <f t="shared" si="3"/>
        <v>580.0000034</v>
      </c>
      <c r="I57" s="49">
        <f t="shared" si="4"/>
        <v>61.38975008</v>
      </c>
      <c r="J57" s="240"/>
      <c r="K57" s="257">
        <v>69173.1048</v>
      </c>
      <c r="L57" s="240"/>
      <c r="M57" s="240"/>
      <c r="N57" s="240"/>
      <c r="O57" s="240"/>
    </row>
    <row r="58">
      <c r="A58" s="256" t="s">
        <v>51</v>
      </c>
      <c r="B58" s="238" t="s">
        <v>89</v>
      </c>
      <c r="C58" s="21">
        <v>1356103.0</v>
      </c>
      <c r="D58" s="21">
        <v>2500.0</v>
      </c>
      <c r="E58" s="38">
        <f t="shared" si="30"/>
        <v>394552.8689</v>
      </c>
      <c r="F58" s="44">
        <v>481354.5</v>
      </c>
      <c r="G58" s="239">
        <f t="shared" si="31"/>
        <v>483761.2725</v>
      </c>
      <c r="H58" s="38">
        <f t="shared" si="3"/>
        <v>290.9460925</v>
      </c>
      <c r="I58" s="49">
        <f t="shared" si="4"/>
        <v>157.8211475</v>
      </c>
      <c r="J58" s="240"/>
      <c r="K58" s="257">
        <v>483761.27249999996</v>
      </c>
      <c r="L58" s="240"/>
      <c r="M58" s="240"/>
      <c r="N58" s="240"/>
      <c r="O58" s="240"/>
    </row>
    <row r="59">
      <c r="A59" s="256" t="s">
        <v>123</v>
      </c>
      <c r="B59" s="238" t="s">
        <v>89</v>
      </c>
      <c r="C59" s="21">
        <v>936769.0</v>
      </c>
      <c r="D59" s="21">
        <v>1874.0</v>
      </c>
      <c r="E59" s="38">
        <f t="shared" si="30"/>
        <v>409836.4344</v>
      </c>
      <c r="F59" s="44">
        <v>500000.45</v>
      </c>
      <c r="G59" s="239">
        <f t="shared" si="31"/>
        <v>502500.4523</v>
      </c>
      <c r="H59" s="38">
        <f t="shared" si="3"/>
        <v>437.4999967</v>
      </c>
      <c r="I59" s="49">
        <f t="shared" si="4"/>
        <v>218.6960696</v>
      </c>
      <c r="J59" s="240"/>
      <c r="K59" s="257">
        <v>502500.45225</v>
      </c>
      <c r="L59" s="240"/>
      <c r="M59" s="240"/>
      <c r="N59" s="240"/>
      <c r="O59" s="240"/>
    </row>
    <row r="60">
      <c r="A60" s="256" t="s">
        <v>76</v>
      </c>
      <c r="B60" s="238" t="s">
        <v>89</v>
      </c>
      <c r="C60" s="21">
        <v>2005347.0</v>
      </c>
      <c r="D60" s="21">
        <v>19963.0</v>
      </c>
      <c r="E60" s="38">
        <f t="shared" si="30"/>
        <v>247541.1967</v>
      </c>
      <c r="F60" s="44">
        <v>302000.26</v>
      </c>
      <c r="G60" s="239">
        <f t="shared" si="31"/>
        <v>303510.2613</v>
      </c>
      <c r="H60" s="38">
        <f t="shared" si="3"/>
        <v>123.44058</v>
      </c>
      <c r="I60" s="49">
        <f t="shared" si="4"/>
        <v>12.39999984</v>
      </c>
      <c r="J60" s="240"/>
      <c r="K60" s="257">
        <v>303510.26129999995</v>
      </c>
      <c r="L60" s="240"/>
      <c r="M60" s="240"/>
      <c r="N60" s="240"/>
      <c r="O60" s="240"/>
    </row>
    <row r="61">
      <c r="A61" s="256" t="s">
        <v>91</v>
      </c>
      <c r="B61" s="238" t="s">
        <v>89</v>
      </c>
      <c r="C61" s="21">
        <v>998787.0</v>
      </c>
      <c r="D61" s="21">
        <v>2996.0</v>
      </c>
      <c r="E61" s="38">
        <f t="shared" si="30"/>
        <v>269672.4918</v>
      </c>
      <c r="F61" s="44">
        <v>329000.44</v>
      </c>
      <c r="G61" s="239">
        <f t="shared" si="31"/>
        <v>330645.4422</v>
      </c>
      <c r="H61" s="38">
        <f t="shared" si="3"/>
        <v>270.0000018</v>
      </c>
      <c r="I61" s="49">
        <f t="shared" si="4"/>
        <v>90.01084506</v>
      </c>
      <c r="J61" s="240"/>
      <c r="K61" s="257">
        <v>330645.4422</v>
      </c>
      <c r="L61" s="240"/>
      <c r="M61" s="240"/>
      <c r="N61" s="240"/>
      <c r="O61" s="240"/>
    </row>
    <row r="62">
      <c r="A62" s="256" t="s">
        <v>39</v>
      </c>
      <c r="B62" s="238" t="s">
        <v>89</v>
      </c>
      <c r="C62" s="21">
        <v>2489729.0</v>
      </c>
      <c r="D62" s="21">
        <v>19918.0</v>
      </c>
      <c r="E62" s="38">
        <f t="shared" si="30"/>
        <v>398356.6393</v>
      </c>
      <c r="F62" s="44">
        <v>485995.1</v>
      </c>
      <c r="G62" s="239">
        <f t="shared" si="31"/>
        <v>488425.0755</v>
      </c>
      <c r="H62" s="38">
        <f t="shared" si="3"/>
        <v>159.9999997</v>
      </c>
      <c r="I62" s="49">
        <f t="shared" si="4"/>
        <v>19.99983128</v>
      </c>
      <c r="J62" s="240"/>
      <c r="K62" s="257">
        <v>488425.0754999999</v>
      </c>
      <c r="L62" s="240"/>
      <c r="M62" s="240"/>
      <c r="N62" s="240"/>
      <c r="O62" s="240"/>
    </row>
    <row r="63">
      <c r="A63" s="251" t="s">
        <v>46</v>
      </c>
      <c r="B63" s="78"/>
      <c r="C63" s="80">
        <f t="shared" ref="C63:G63" si="32">SUM(C56:C62)</f>
        <v>8854343</v>
      </c>
      <c r="D63" s="80">
        <f t="shared" si="32"/>
        <v>49080</v>
      </c>
      <c r="E63" s="81">
        <f t="shared" si="32"/>
        <v>2020973.041</v>
      </c>
      <c r="F63" s="81">
        <f t="shared" si="32"/>
        <v>2465587.11</v>
      </c>
      <c r="G63" s="252">
        <f t="shared" si="32"/>
        <v>2477915.046</v>
      </c>
      <c r="H63" s="81">
        <f t="shared" si="3"/>
        <v>228.2465273</v>
      </c>
      <c r="I63" s="84">
        <f t="shared" si="4"/>
        <v>41.17711982</v>
      </c>
      <c r="J63" s="240"/>
      <c r="K63" s="261">
        <v>2477915.0455499995</v>
      </c>
      <c r="L63" s="240"/>
      <c r="M63" s="240"/>
      <c r="N63" s="240"/>
      <c r="O63" s="240"/>
    </row>
    <row r="64">
      <c r="A64" s="256" t="s">
        <v>91</v>
      </c>
      <c r="B64" s="238" t="s">
        <v>124</v>
      </c>
      <c r="C64" s="21">
        <v>1170000.0</v>
      </c>
      <c r="D64" s="21">
        <v>4680.0</v>
      </c>
      <c r="E64" s="38">
        <f t="shared" ref="E64:E65" si="33">F64/1.22</f>
        <v>432900</v>
      </c>
      <c r="F64" s="44">
        <v>528138.0</v>
      </c>
      <c r="G64" s="239">
        <f t="shared" ref="G64:G65" si="34">F64*1.005</f>
        <v>530778.69</v>
      </c>
      <c r="H64" s="38">
        <f t="shared" si="3"/>
        <v>370</v>
      </c>
      <c r="I64" s="49">
        <f t="shared" si="4"/>
        <v>92.5</v>
      </c>
      <c r="J64" s="240"/>
      <c r="K64" s="257">
        <v>530778.69</v>
      </c>
      <c r="L64" s="240"/>
      <c r="M64" s="240"/>
      <c r="N64" s="240"/>
      <c r="O64" s="240"/>
    </row>
    <row r="65">
      <c r="A65" s="256" t="s">
        <v>23</v>
      </c>
      <c r="B65" s="238" t="s">
        <v>124</v>
      </c>
      <c r="C65" s="87">
        <v>827183.0</v>
      </c>
      <c r="D65" s="21">
        <v>845.0</v>
      </c>
      <c r="E65" s="38">
        <f t="shared" si="33"/>
        <v>211720.2459</v>
      </c>
      <c r="F65" s="38">
        <v>258298.7</v>
      </c>
      <c r="G65" s="239">
        <f t="shared" si="34"/>
        <v>259590.1935</v>
      </c>
      <c r="H65" s="38">
        <f t="shared" si="3"/>
        <v>255.9533331</v>
      </c>
      <c r="I65" s="49">
        <f t="shared" si="4"/>
        <v>250.556504</v>
      </c>
      <c r="J65" s="240"/>
      <c r="K65" s="257">
        <v>259590.1935</v>
      </c>
      <c r="L65" s="240"/>
      <c r="M65" s="240"/>
      <c r="N65" s="240"/>
      <c r="O65" s="240"/>
    </row>
    <row r="66">
      <c r="A66" s="251" t="s">
        <v>46</v>
      </c>
      <c r="B66" s="78"/>
      <c r="C66" s="80">
        <f t="shared" ref="C66:G66" si="35">SUM(C64:C65)</f>
        <v>1997183</v>
      </c>
      <c r="D66" s="80">
        <f t="shared" si="35"/>
        <v>5525</v>
      </c>
      <c r="E66" s="81">
        <f t="shared" si="35"/>
        <v>644620.2459</v>
      </c>
      <c r="F66" s="81">
        <f t="shared" si="35"/>
        <v>786436.7</v>
      </c>
      <c r="G66" s="252">
        <f t="shared" si="35"/>
        <v>790368.8835</v>
      </c>
      <c r="H66" s="81">
        <f t="shared" si="3"/>
        <v>322.7647371</v>
      </c>
      <c r="I66" s="84">
        <f t="shared" si="4"/>
        <v>116.6733477</v>
      </c>
      <c r="J66" s="240"/>
      <c r="K66" s="261">
        <v>790368.8835</v>
      </c>
      <c r="L66" s="240"/>
      <c r="M66" s="240"/>
      <c r="N66" s="240"/>
      <c r="O66" s="240"/>
    </row>
    <row r="67">
      <c r="A67" s="54" t="s">
        <v>39</v>
      </c>
      <c r="B67" s="238" t="s">
        <v>107</v>
      </c>
      <c r="C67" s="21">
        <v>1250001.0</v>
      </c>
      <c r="D67" s="21">
        <v>10000.0</v>
      </c>
      <c r="E67" s="38">
        <f>F67/1.22</f>
        <v>200000</v>
      </c>
      <c r="F67" s="44">
        <v>244000.0</v>
      </c>
      <c r="G67" s="239">
        <f>F67*1.005</f>
        <v>245220</v>
      </c>
      <c r="H67" s="38">
        <f t="shared" si="3"/>
        <v>159.999872</v>
      </c>
      <c r="I67" s="49">
        <f t="shared" si="4"/>
        <v>20</v>
      </c>
      <c r="J67" s="240"/>
      <c r="K67" s="257">
        <v>245219.99999999997</v>
      </c>
      <c r="L67" s="240"/>
      <c r="M67" s="240"/>
      <c r="N67" s="240"/>
      <c r="O67" s="240"/>
    </row>
    <row r="68">
      <c r="A68" s="251" t="s">
        <v>46</v>
      </c>
      <c r="B68" s="78"/>
      <c r="C68" s="80">
        <f t="shared" ref="C68:G68" si="36">SUM(C67)</f>
        <v>1250001</v>
      </c>
      <c r="D68" s="80">
        <f t="shared" si="36"/>
        <v>10000</v>
      </c>
      <c r="E68" s="81">
        <f t="shared" si="36"/>
        <v>200000</v>
      </c>
      <c r="F68" s="81">
        <f t="shared" si="36"/>
        <v>244000</v>
      </c>
      <c r="G68" s="252">
        <f t="shared" si="36"/>
        <v>245220</v>
      </c>
      <c r="H68" s="81">
        <f t="shared" si="3"/>
        <v>159.999872</v>
      </c>
      <c r="I68" s="84">
        <f t="shared" si="4"/>
        <v>20</v>
      </c>
      <c r="J68" s="240"/>
      <c r="K68" s="261">
        <v>245219.99999999997</v>
      </c>
      <c r="L68" s="240"/>
      <c r="M68" s="240"/>
      <c r="N68" s="240"/>
      <c r="O68" s="240"/>
    </row>
    <row r="69">
      <c r="A69" s="256" t="s">
        <v>96</v>
      </c>
      <c r="B69" s="238" t="s">
        <v>125</v>
      </c>
      <c r="C69" s="21">
        <v>49411.0</v>
      </c>
      <c r="D69" s="21">
        <v>2695.0</v>
      </c>
      <c r="E69" s="38">
        <f t="shared" ref="E69:E75" si="37">F69/1.22</f>
        <v>53040.98361</v>
      </c>
      <c r="F69" s="44">
        <v>64710.0</v>
      </c>
      <c r="G69" s="239">
        <f t="shared" ref="G69:G75" si="38">F69*1.005</f>
        <v>65033.55</v>
      </c>
      <c r="H69" s="38">
        <f t="shared" si="3"/>
        <v>1073.465091</v>
      </c>
      <c r="I69" s="49">
        <f t="shared" si="4"/>
        <v>19.68125551</v>
      </c>
      <c r="J69" s="240"/>
      <c r="K69" s="257">
        <v>65033.549999999996</v>
      </c>
      <c r="L69" s="240"/>
      <c r="M69" s="240"/>
      <c r="N69" s="240"/>
      <c r="O69" s="240"/>
    </row>
    <row r="70">
      <c r="A70" s="256" t="s">
        <v>112</v>
      </c>
      <c r="B70" s="238" t="s">
        <v>125</v>
      </c>
      <c r="C70" s="21" t="s">
        <v>67</v>
      </c>
      <c r="D70" s="260">
        <v>3.0</v>
      </c>
      <c r="E70" s="38">
        <f t="shared" si="37"/>
        <v>112500</v>
      </c>
      <c r="F70" s="44">
        <v>137250.0</v>
      </c>
      <c r="G70" s="239">
        <f t="shared" si="38"/>
        <v>137936.25</v>
      </c>
      <c r="H70" s="44" t="s">
        <v>67</v>
      </c>
      <c r="I70" s="49">
        <f t="shared" si="4"/>
        <v>37500</v>
      </c>
      <c r="J70" s="240"/>
      <c r="K70" s="257">
        <v>137936.24999999997</v>
      </c>
      <c r="L70" s="240"/>
      <c r="M70" s="240"/>
      <c r="N70" s="240"/>
      <c r="O70" s="240"/>
    </row>
    <row r="71">
      <c r="A71" s="256" t="s">
        <v>63</v>
      </c>
      <c r="B71" s="238" t="s">
        <v>125</v>
      </c>
      <c r="C71" s="21">
        <v>500000.0</v>
      </c>
      <c r="D71" s="21">
        <v>7500.0</v>
      </c>
      <c r="E71" s="38">
        <f t="shared" si="37"/>
        <v>540000</v>
      </c>
      <c r="F71" s="44">
        <v>658800.0</v>
      </c>
      <c r="G71" s="239">
        <f t="shared" si="38"/>
        <v>662094</v>
      </c>
      <c r="H71" s="38">
        <f t="shared" ref="H71:H76" si="39">E71/C71*1000</f>
        <v>1080</v>
      </c>
      <c r="I71" s="49">
        <f t="shared" si="4"/>
        <v>72</v>
      </c>
      <c r="J71" s="240"/>
      <c r="K71" s="257">
        <v>662093.9999999999</v>
      </c>
      <c r="L71" s="240"/>
      <c r="M71" s="240"/>
      <c r="N71" s="240"/>
      <c r="O71" s="240"/>
    </row>
    <row r="72">
      <c r="A72" s="256" t="s">
        <v>39</v>
      </c>
      <c r="B72" s="238" t="s">
        <v>125</v>
      </c>
      <c r="C72" s="21">
        <v>3200028.0</v>
      </c>
      <c r="D72" s="21">
        <v>25600.0</v>
      </c>
      <c r="E72" s="38">
        <f t="shared" si="37"/>
        <v>512000</v>
      </c>
      <c r="F72" s="44">
        <v>624640.0</v>
      </c>
      <c r="G72" s="239">
        <f t="shared" si="38"/>
        <v>627763.2</v>
      </c>
      <c r="H72" s="38">
        <f t="shared" si="39"/>
        <v>159.9986</v>
      </c>
      <c r="I72" s="49">
        <f t="shared" si="4"/>
        <v>20</v>
      </c>
      <c r="J72" s="240"/>
      <c r="K72" s="257">
        <v>627763.2</v>
      </c>
      <c r="L72" s="240"/>
      <c r="M72" s="240"/>
      <c r="N72" s="240"/>
      <c r="O72" s="240"/>
    </row>
    <row r="73">
      <c r="A73" s="256" t="s">
        <v>91</v>
      </c>
      <c r="B73" s="238" t="s">
        <v>125</v>
      </c>
      <c r="C73" s="21">
        <v>1200000.0</v>
      </c>
      <c r="D73" s="21">
        <v>3600.0</v>
      </c>
      <c r="E73" s="38">
        <f t="shared" si="37"/>
        <v>324000</v>
      </c>
      <c r="F73" s="44">
        <v>395280.0</v>
      </c>
      <c r="G73" s="239">
        <f t="shared" si="38"/>
        <v>397256.4</v>
      </c>
      <c r="H73" s="38">
        <f t="shared" si="39"/>
        <v>270</v>
      </c>
      <c r="I73" s="49">
        <f t="shared" si="4"/>
        <v>90</v>
      </c>
      <c r="J73" s="240"/>
      <c r="K73" s="257">
        <v>397256.39999999997</v>
      </c>
      <c r="L73" s="240"/>
      <c r="M73" s="240"/>
      <c r="N73" s="240"/>
      <c r="O73" s="240"/>
    </row>
    <row r="74">
      <c r="A74" s="256" t="s">
        <v>40</v>
      </c>
      <c r="B74" s="238" t="s">
        <v>125</v>
      </c>
      <c r="C74" s="21">
        <v>2766030.0</v>
      </c>
      <c r="D74" s="21">
        <v>7500.0</v>
      </c>
      <c r="E74" s="38">
        <f t="shared" si="37"/>
        <v>199096.2213</v>
      </c>
      <c r="F74" s="44">
        <v>242897.39</v>
      </c>
      <c r="G74" s="239">
        <f t="shared" si="38"/>
        <v>244111.877</v>
      </c>
      <c r="H74" s="38">
        <f t="shared" si="39"/>
        <v>71.97905349</v>
      </c>
      <c r="I74" s="49">
        <f t="shared" si="4"/>
        <v>26.54616284</v>
      </c>
      <c r="J74" s="240"/>
      <c r="K74" s="257">
        <v>244111.87694999998</v>
      </c>
      <c r="L74" s="240"/>
      <c r="M74" s="240"/>
      <c r="N74" s="240"/>
      <c r="O74" s="240"/>
    </row>
    <row r="75">
      <c r="A75" s="256" t="s">
        <v>126</v>
      </c>
      <c r="B75" s="238" t="s">
        <v>125</v>
      </c>
      <c r="C75" s="21">
        <v>699556.0</v>
      </c>
      <c r="D75" s="21">
        <v>887.0</v>
      </c>
      <c r="E75" s="38">
        <f t="shared" si="37"/>
        <v>24003.90164</v>
      </c>
      <c r="F75" s="44">
        <v>29284.76</v>
      </c>
      <c r="G75" s="239">
        <f t="shared" si="38"/>
        <v>29431.1838</v>
      </c>
      <c r="H75" s="38">
        <f t="shared" si="39"/>
        <v>34.31305234</v>
      </c>
      <c r="I75" s="49"/>
      <c r="J75" s="240"/>
      <c r="K75" s="257">
        <v>29431.183799999995</v>
      </c>
      <c r="L75" s="240"/>
      <c r="M75" s="240"/>
      <c r="N75" s="240"/>
      <c r="O75" s="240"/>
    </row>
    <row r="76">
      <c r="A76" s="251" t="s">
        <v>46</v>
      </c>
      <c r="B76" s="78"/>
      <c r="C76" s="80">
        <f t="shared" ref="C76:G76" si="40">SUM(C69:C75)</f>
        <v>8415025</v>
      </c>
      <c r="D76" s="80">
        <f t="shared" si="40"/>
        <v>47785</v>
      </c>
      <c r="E76" s="81">
        <f t="shared" si="40"/>
        <v>1764641.107</v>
      </c>
      <c r="F76" s="81">
        <f t="shared" si="40"/>
        <v>2152862.15</v>
      </c>
      <c r="G76" s="252">
        <f t="shared" si="40"/>
        <v>2163626.461</v>
      </c>
      <c r="H76" s="81">
        <f t="shared" si="39"/>
        <v>209.7012316</v>
      </c>
      <c r="I76" s="84">
        <f t="shared" ref="I76:I83" si="41">E76/D76</f>
        <v>36.92876649</v>
      </c>
      <c r="J76" s="240"/>
      <c r="K76" s="261">
        <v>2163626.4607499996</v>
      </c>
      <c r="L76" s="240"/>
      <c r="M76" s="240"/>
      <c r="N76" s="240"/>
      <c r="O76" s="240"/>
    </row>
    <row r="77">
      <c r="A77" s="256" t="s">
        <v>112</v>
      </c>
      <c r="B77" s="238" t="s">
        <v>127</v>
      </c>
      <c r="C77" s="21" t="s">
        <v>67</v>
      </c>
      <c r="D77" s="21">
        <v>1.0</v>
      </c>
      <c r="E77" s="38">
        <f t="shared" ref="E77:E86" si="42">F77/1.22</f>
        <v>37500</v>
      </c>
      <c r="F77" s="44">
        <v>45750.0</v>
      </c>
      <c r="G77" s="239">
        <f t="shared" ref="G77:G86" si="43">F77*1.005</f>
        <v>45978.75</v>
      </c>
      <c r="H77" s="44" t="s">
        <v>67</v>
      </c>
      <c r="I77" s="49">
        <f t="shared" si="41"/>
        <v>37500</v>
      </c>
      <c r="J77" s="240"/>
      <c r="K77" s="257">
        <v>45978.74999999999</v>
      </c>
      <c r="L77" s="240"/>
      <c r="M77" s="240"/>
      <c r="N77" s="240"/>
      <c r="O77" s="240"/>
    </row>
    <row r="78">
      <c r="A78" s="256" t="s">
        <v>96</v>
      </c>
      <c r="B78" s="238" t="s">
        <v>127</v>
      </c>
      <c r="C78" s="21">
        <v>43613.0</v>
      </c>
      <c r="D78" s="21">
        <v>2209.0</v>
      </c>
      <c r="E78" s="38">
        <f t="shared" si="42"/>
        <v>46569.67213</v>
      </c>
      <c r="F78" s="44">
        <v>56815.0</v>
      </c>
      <c r="G78" s="239">
        <f t="shared" si="43"/>
        <v>57099.075</v>
      </c>
      <c r="H78" s="38">
        <f t="shared" ref="H78:H113" si="44">E78/C78*1000</f>
        <v>1067.793367</v>
      </c>
      <c r="I78" s="49">
        <f t="shared" si="41"/>
        <v>21.0817891</v>
      </c>
      <c r="J78" s="240"/>
      <c r="K78" s="257">
        <v>57099.075</v>
      </c>
      <c r="L78" s="240"/>
      <c r="M78" s="240"/>
      <c r="N78" s="240"/>
      <c r="O78" s="240"/>
    </row>
    <row r="79">
      <c r="A79" s="256" t="s">
        <v>63</v>
      </c>
      <c r="B79" s="238" t="s">
        <v>127</v>
      </c>
      <c r="C79" s="21">
        <v>1000000.0</v>
      </c>
      <c r="D79" s="21">
        <v>12585.0</v>
      </c>
      <c r="E79" s="38">
        <f t="shared" si="42"/>
        <v>1080000</v>
      </c>
      <c r="F79" s="44">
        <v>1317600.0</v>
      </c>
      <c r="G79" s="117">
        <f t="shared" si="43"/>
        <v>1324188</v>
      </c>
      <c r="H79" s="38">
        <f t="shared" si="44"/>
        <v>1080</v>
      </c>
      <c r="I79" s="49">
        <f t="shared" si="41"/>
        <v>85.81644815</v>
      </c>
      <c r="J79" s="241"/>
      <c r="K79" s="257">
        <v>1324187.9999999998</v>
      </c>
      <c r="L79" s="240"/>
      <c r="M79" s="240"/>
      <c r="N79" s="240"/>
      <c r="O79" s="240"/>
    </row>
    <row r="80">
      <c r="A80" s="256" t="s">
        <v>129</v>
      </c>
      <c r="B80" s="238" t="s">
        <v>127</v>
      </c>
      <c r="C80" s="21">
        <v>1041700.0</v>
      </c>
      <c r="D80" s="21">
        <v>3126.0</v>
      </c>
      <c r="E80" s="38">
        <f t="shared" si="42"/>
        <v>1000032</v>
      </c>
      <c r="F80" s="44">
        <v>1220039.04</v>
      </c>
      <c r="G80" s="239">
        <f t="shared" si="43"/>
        <v>1226139.235</v>
      </c>
      <c r="H80" s="38">
        <f t="shared" si="44"/>
        <v>960</v>
      </c>
      <c r="I80" s="49">
        <f t="shared" si="41"/>
        <v>319.9078695</v>
      </c>
      <c r="J80" s="240"/>
      <c r="K80" s="257">
        <v>1226139.2352</v>
      </c>
      <c r="L80" s="240"/>
      <c r="M80" s="240"/>
      <c r="N80" s="240"/>
      <c r="O80" s="240"/>
    </row>
    <row r="81">
      <c r="A81" s="256" t="s">
        <v>130</v>
      </c>
      <c r="B81" s="238" t="s">
        <v>127</v>
      </c>
      <c r="C81" s="21">
        <v>1185343.0</v>
      </c>
      <c r="D81" s="21">
        <v>4157.0</v>
      </c>
      <c r="E81" s="38">
        <f t="shared" si="42"/>
        <v>296335.7541</v>
      </c>
      <c r="F81" s="44">
        <v>361529.62</v>
      </c>
      <c r="G81" s="117">
        <f t="shared" si="43"/>
        <v>363337.2681</v>
      </c>
      <c r="H81" s="38">
        <f t="shared" si="44"/>
        <v>250.0000035</v>
      </c>
      <c r="I81" s="49">
        <f t="shared" si="41"/>
        <v>71.28596442</v>
      </c>
      <c r="J81" s="241" t="s">
        <v>132</v>
      </c>
      <c r="K81" s="257">
        <v>363337.2680999999</v>
      </c>
      <c r="L81" s="240"/>
      <c r="M81" s="240"/>
      <c r="N81" s="240"/>
      <c r="O81" s="240"/>
    </row>
    <row r="82">
      <c r="A82" s="256" t="s">
        <v>133</v>
      </c>
      <c r="B82" s="238" t="s">
        <v>127</v>
      </c>
      <c r="C82" s="21">
        <v>809062.0</v>
      </c>
      <c r="D82" s="21">
        <v>1618.0</v>
      </c>
      <c r="E82" s="38">
        <f t="shared" si="42"/>
        <v>300000.1885</v>
      </c>
      <c r="F82" s="44">
        <v>366000.23</v>
      </c>
      <c r="G82" s="239">
        <f t="shared" si="43"/>
        <v>367830.2312</v>
      </c>
      <c r="H82" s="38">
        <f t="shared" si="44"/>
        <v>370.7999987</v>
      </c>
      <c r="I82" s="49">
        <f t="shared" si="41"/>
        <v>185.414208</v>
      </c>
      <c r="J82" s="240"/>
      <c r="K82" s="257">
        <v>367830.23114999995</v>
      </c>
      <c r="L82" s="240"/>
      <c r="M82" s="240"/>
      <c r="N82" s="240"/>
      <c r="O82" s="240"/>
    </row>
    <row r="83">
      <c r="A83" s="256" t="s">
        <v>40</v>
      </c>
      <c r="B83" s="238" t="s">
        <v>127</v>
      </c>
      <c r="C83" s="21">
        <v>1135396.0</v>
      </c>
      <c r="D83" s="21">
        <v>1680.0</v>
      </c>
      <c r="E83" s="38">
        <f t="shared" si="42"/>
        <v>84659.11475</v>
      </c>
      <c r="F83" s="44">
        <v>103284.12</v>
      </c>
      <c r="G83" s="117">
        <f t="shared" si="43"/>
        <v>103800.5406</v>
      </c>
      <c r="H83" s="38">
        <f t="shared" si="44"/>
        <v>74.56351331</v>
      </c>
      <c r="I83" s="49">
        <f t="shared" si="41"/>
        <v>50.39233021</v>
      </c>
      <c r="J83" s="241" t="s">
        <v>132</v>
      </c>
      <c r="K83" s="257">
        <v>103800.54059999998</v>
      </c>
      <c r="L83" s="240"/>
      <c r="M83" s="240"/>
      <c r="N83" s="240"/>
      <c r="O83" s="240"/>
    </row>
    <row r="84">
      <c r="A84" s="256" t="s">
        <v>126</v>
      </c>
      <c r="B84" s="238" t="s">
        <v>127</v>
      </c>
      <c r="C84" s="21">
        <v>257949.0</v>
      </c>
      <c r="D84" s="21">
        <v>400.0</v>
      </c>
      <c r="E84" s="38">
        <f t="shared" si="42"/>
        <v>10317.95902</v>
      </c>
      <c r="F84" s="44">
        <v>12587.91</v>
      </c>
      <c r="G84" s="117">
        <f t="shared" si="43"/>
        <v>12650.84955</v>
      </c>
      <c r="H84" s="38">
        <f t="shared" si="44"/>
        <v>39.99999619</v>
      </c>
      <c r="I84" s="269" t="s">
        <v>67</v>
      </c>
      <c r="J84" s="241" t="s">
        <v>132</v>
      </c>
      <c r="K84" s="257">
        <v>12650.849549999999</v>
      </c>
      <c r="L84" s="240"/>
      <c r="M84" s="240"/>
      <c r="N84" s="240"/>
      <c r="O84" s="240"/>
    </row>
    <row r="85">
      <c r="A85" s="256" t="s">
        <v>39</v>
      </c>
      <c r="B85" s="238" t="s">
        <v>127</v>
      </c>
      <c r="C85" s="21">
        <v>3000017.0</v>
      </c>
      <c r="D85" s="21">
        <v>24000.0</v>
      </c>
      <c r="E85" s="38">
        <f t="shared" si="42"/>
        <v>480000</v>
      </c>
      <c r="F85" s="44">
        <v>585600.0</v>
      </c>
      <c r="G85" s="239">
        <f t="shared" si="43"/>
        <v>588528</v>
      </c>
      <c r="H85" s="38">
        <f t="shared" si="44"/>
        <v>159.9990933</v>
      </c>
      <c r="I85" s="49">
        <f t="shared" ref="I85:I113" si="45">E85/D85</f>
        <v>20</v>
      </c>
      <c r="J85" s="240"/>
      <c r="K85" s="257">
        <v>588527.9999999999</v>
      </c>
      <c r="L85" s="240"/>
      <c r="M85" s="240"/>
      <c r="N85" s="240"/>
      <c r="O85" s="240"/>
    </row>
    <row r="86">
      <c r="A86" s="256" t="s">
        <v>42</v>
      </c>
      <c r="B86" s="238" t="s">
        <v>127</v>
      </c>
      <c r="C86" s="21">
        <v>507881.0</v>
      </c>
      <c r="D86" s="21">
        <v>3047.0</v>
      </c>
      <c r="E86" s="38">
        <f t="shared" si="42"/>
        <v>280857.9262</v>
      </c>
      <c r="F86" s="44">
        <v>342646.67</v>
      </c>
      <c r="G86" s="239">
        <f t="shared" si="43"/>
        <v>344359.9034</v>
      </c>
      <c r="H86" s="38">
        <f t="shared" si="44"/>
        <v>552.9994747</v>
      </c>
      <c r="I86" s="49">
        <f t="shared" si="45"/>
        <v>92.17523014</v>
      </c>
      <c r="J86" s="240"/>
      <c r="K86" s="257">
        <v>344359.9033499999</v>
      </c>
      <c r="L86" s="240"/>
      <c r="M86" s="240"/>
      <c r="N86" s="240"/>
      <c r="O86" s="240"/>
    </row>
    <row r="87">
      <c r="A87" s="251" t="s">
        <v>46</v>
      </c>
      <c r="B87" s="78"/>
      <c r="C87" s="80">
        <f t="shared" ref="C87:G87" si="46">SUM(C77:C86)</f>
        <v>8980961</v>
      </c>
      <c r="D87" s="80">
        <f t="shared" si="46"/>
        <v>52823</v>
      </c>
      <c r="E87" s="81">
        <f t="shared" si="46"/>
        <v>3616272.615</v>
      </c>
      <c r="F87" s="81">
        <f t="shared" si="46"/>
        <v>4411852.59</v>
      </c>
      <c r="G87" s="252">
        <f t="shared" si="46"/>
        <v>4433911.853</v>
      </c>
      <c r="H87" s="81">
        <f t="shared" si="44"/>
        <v>402.6598729</v>
      </c>
      <c r="I87" s="84">
        <f t="shared" si="45"/>
        <v>68.46018997</v>
      </c>
      <c r="J87" s="240"/>
      <c r="K87" s="261">
        <v>4433911.852949999</v>
      </c>
      <c r="L87" s="240"/>
      <c r="M87" s="240"/>
      <c r="N87" s="240"/>
      <c r="O87" s="240"/>
    </row>
    <row r="88">
      <c r="A88" s="256" t="s">
        <v>96</v>
      </c>
      <c r="B88" s="238" t="s">
        <v>135</v>
      </c>
      <c r="C88" s="21">
        <v>34509.0</v>
      </c>
      <c r="D88" s="21">
        <v>2005.0</v>
      </c>
      <c r="E88" s="38">
        <f t="shared" ref="E88:E96" si="47">F88/1.22</f>
        <v>43616.39344</v>
      </c>
      <c r="F88" s="44">
        <v>53212.0</v>
      </c>
      <c r="G88" s="239">
        <f t="shared" ref="G88:G96" si="48">F88*1.005</f>
        <v>53478.06</v>
      </c>
      <c r="H88" s="38">
        <f t="shared" si="44"/>
        <v>1263.913572</v>
      </c>
      <c r="I88" s="49">
        <f t="shared" si="45"/>
        <v>21.75381219</v>
      </c>
      <c r="J88" s="240"/>
      <c r="K88" s="257">
        <v>53478.06</v>
      </c>
      <c r="L88" s="240"/>
      <c r="M88" s="240"/>
      <c r="N88" s="240"/>
      <c r="O88" s="240"/>
    </row>
    <row r="89">
      <c r="A89" s="256" t="s">
        <v>136</v>
      </c>
      <c r="B89" s="238" t="s">
        <v>135</v>
      </c>
      <c r="C89" s="21">
        <v>2076726.0</v>
      </c>
      <c r="D89" s="21">
        <v>4975.0</v>
      </c>
      <c r="E89" s="38">
        <f t="shared" si="47"/>
        <v>149250</v>
      </c>
      <c r="F89" s="44">
        <v>182085.0</v>
      </c>
      <c r="G89" s="239">
        <f t="shared" si="48"/>
        <v>182995.425</v>
      </c>
      <c r="H89" s="38">
        <f t="shared" si="44"/>
        <v>71.86793058</v>
      </c>
      <c r="I89" s="49">
        <f t="shared" si="45"/>
        <v>30</v>
      </c>
      <c r="J89" s="240"/>
      <c r="K89" s="257">
        <v>182995.425</v>
      </c>
      <c r="L89" s="240"/>
      <c r="M89" s="240"/>
      <c r="N89" s="240"/>
      <c r="O89" s="240"/>
    </row>
    <row r="90">
      <c r="A90" s="256" t="s">
        <v>137</v>
      </c>
      <c r="B90" s="238" t="s">
        <v>135</v>
      </c>
      <c r="C90" s="21">
        <v>24386.0</v>
      </c>
      <c r="D90" s="21">
        <v>11.0</v>
      </c>
      <c r="E90" s="38">
        <f t="shared" si="47"/>
        <v>453600</v>
      </c>
      <c r="F90" s="44">
        <v>553392.0</v>
      </c>
      <c r="G90" s="239">
        <f t="shared" si="48"/>
        <v>556158.96</v>
      </c>
      <c r="H90" s="38">
        <f t="shared" si="44"/>
        <v>18600.83655</v>
      </c>
      <c r="I90" s="49">
        <f t="shared" si="45"/>
        <v>41236.36364</v>
      </c>
      <c r="J90" s="240"/>
      <c r="K90" s="257">
        <v>556158.96</v>
      </c>
      <c r="L90" s="240"/>
      <c r="M90" s="240"/>
      <c r="N90" s="240"/>
      <c r="O90" s="240"/>
    </row>
    <row r="91">
      <c r="A91" s="256" t="s">
        <v>91</v>
      </c>
      <c r="B91" s="238" t="s">
        <v>135</v>
      </c>
      <c r="C91" s="21">
        <v>665000.0</v>
      </c>
      <c r="D91" s="21">
        <v>2660.0</v>
      </c>
      <c r="E91" s="38">
        <f t="shared" si="47"/>
        <v>246050</v>
      </c>
      <c r="F91" s="44">
        <v>300181.0</v>
      </c>
      <c r="G91" s="239">
        <f t="shared" si="48"/>
        <v>301681.905</v>
      </c>
      <c r="H91" s="38">
        <f t="shared" si="44"/>
        <v>370</v>
      </c>
      <c r="I91" s="49">
        <f t="shared" si="45"/>
        <v>92.5</v>
      </c>
      <c r="J91" s="240"/>
      <c r="K91" s="257">
        <v>301681.90499999997</v>
      </c>
      <c r="L91" s="240"/>
      <c r="M91" s="240"/>
      <c r="N91" s="240"/>
      <c r="O91" s="240"/>
    </row>
    <row r="92">
      <c r="A92" s="256" t="s">
        <v>39</v>
      </c>
      <c r="B92" s="238" t="s">
        <v>135</v>
      </c>
      <c r="C92" s="21">
        <v>2500003.0</v>
      </c>
      <c r="D92" s="21">
        <v>20000.0</v>
      </c>
      <c r="E92" s="38">
        <f t="shared" si="47"/>
        <v>400000</v>
      </c>
      <c r="F92" s="44">
        <v>488000.0</v>
      </c>
      <c r="G92" s="239">
        <f t="shared" si="48"/>
        <v>490440</v>
      </c>
      <c r="H92" s="38">
        <f t="shared" si="44"/>
        <v>159.999808</v>
      </c>
      <c r="I92" s="49">
        <f t="shared" si="45"/>
        <v>20</v>
      </c>
      <c r="J92" s="240"/>
      <c r="K92" s="257">
        <v>490439.99999999994</v>
      </c>
      <c r="L92" s="240"/>
      <c r="M92" s="240"/>
      <c r="N92" s="240"/>
      <c r="O92" s="240"/>
    </row>
    <row r="93">
      <c r="A93" s="256" t="s">
        <v>138</v>
      </c>
      <c r="B93" s="238" t="s">
        <v>135</v>
      </c>
      <c r="C93" s="21">
        <v>1845000.0</v>
      </c>
      <c r="D93" s="21">
        <v>6375.0</v>
      </c>
      <c r="E93" s="38">
        <f t="shared" si="47"/>
        <v>327550</v>
      </c>
      <c r="F93" s="44">
        <v>399611.0</v>
      </c>
      <c r="G93" s="239">
        <f t="shared" si="48"/>
        <v>401609.055</v>
      </c>
      <c r="H93" s="38">
        <f t="shared" si="44"/>
        <v>177.5338753</v>
      </c>
      <c r="I93" s="49">
        <f t="shared" si="45"/>
        <v>51.38039216</v>
      </c>
      <c r="J93" s="240"/>
      <c r="K93" s="257">
        <v>401609.05499999993</v>
      </c>
      <c r="L93" s="240"/>
      <c r="M93" s="240"/>
      <c r="N93" s="240"/>
      <c r="O93" s="240"/>
    </row>
    <row r="94">
      <c r="A94" s="256" t="s">
        <v>76</v>
      </c>
      <c r="B94" s="238" t="s">
        <v>135</v>
      </c>
      <c r="C94" s="21">
        <v>2009158.0</v>
      </c>
      <c r="D94" s="21">
        <v>20000.0</v>
      </c>
      <c r="E94" s="38">
        <f t="shared" si="47"/>
        <v>248000</v>
      </c>
      <c r="F94" s="44">
        <v>302560.0</v>
      </c>
      <c r="G94" s="239">
        <f t="shared" si="48"/>
        <v>304072.8</v>
      </c>
      <c r="H94" s="38">
        <f t="shared" si="44"/>
        <v>123.4347921</v>
      </c>
      <c r="I94" s="49">
        <f t="shared" si="45"/>
        <v>12.4</v>
      </c>
      <c r="J94" s="240"/>
      <c r="K94" s="257">
        <v>304072.8</v>
      </c>
      <c r="L94" s="240"/>
      <c r="M94" s="240"/>
      <c r="N94" s="240"/>
      <c r="O94" s="240"/>
    </row>
    <row r="95">
      <c r="A95" s="256" t="s">
        <v>63</v>
      </c>
      <c r="B95" s="238" t="s">
        <v>135</v>
      </c>
      <c r="C95" s="21">
        <v>1000000.0</v>
      </c>
      <c r="D95" s="21">
        <v>15000.0</v>
      </c>
      <c r="E95" s="38">
        <f t="shared" si="47"/>
        <v>1080000</v>
      </c>
      <c r="F95" s="44">
        <v>1317600.0</v>
      </c>
      <c r="G95" s="239">
        <f t="shared" si="48"/>
        <v>1324188</v>
      </c>
      <c r="H95" s="38">
        <f t="shared" si="44"/>
        <v>1080</v>
      </c>
      <c r="I95" s="49">
        <f t="shared" si="45"/>
        <v>72</v>
      </c>
      <c r="J95" s="240"/>
      <c r="K95" s="257">
        <v>1324187.9999999998</v>
      </c>
      <c r="L95" s="240"/>
      <c r="M95" s="240"/>
      <c r="N95" s="240"/>
      <c r="O95" s="240"/>
    </row>
    <row r="96">
      <c r="A96" s="256" t="s">
        <v>129</v>
      </c>
      <c r="B96" s="238" t="s">
        <v>135</v>
      </c>
      <c r="C96" s="21">
        <v>1062850.0</v>
      </c>
      <c r="D96" s="21">
        <v>3334.0</v>
      </c>
      <c r="E96" s="38">
        <f t="shared" si="47"/>
        <v>956565</v>
      </c>
      <c r="F96" s="44">
        <v>1167009.3</v>
      </c>
      <c r="G96" s="239">
        <f t="shared" si="48"/>
        <v>1172844.347</v>
      </c>
      <c r="H96" s="38">
        <f t="shared" si="44"/>
        <v>900</v>
      </c>
      <c r="I96" s="49">
        <f t="shared" si="45"/>
        <v>286.9121176</v>
      </c>
      <c r="J96" s="240"/>
      <c r="K96" s="257">
        <v>1172844.3465</v>
      </c>
      <c r="L96" s="240"/>
      <c r="M96" s="240"/>
      <c r="N96" s="240"/>
      <c r="O96" s="240"/>
    </row>
    <row r="97">
      <c r="A97" s="251" t="s">
        <v>46</v>
      </c>
      <c r="B97" s="78"/>
      <c r="C97" s="80">
        <f t="shared" ref="C97:G97" si="49">SUM(C88:C96)</f>
        <v>11217632</v>
      </c>
      <c r="D97" s="80">
        <f t="shared" si="49"/>
        <v>74360</v>
      </c>
      <c r="E97" s="81">
        <f t="shared" si="49"/>
        <v>3904631.393</v>
      </c>
      <c r="F97" s="81">
        <f t="shared" si="49"/>
        <v>4763650.3</v>
      </c>
      <c r="G97" s="252">
        <f t="shared" si="49"/>
        <v>4787468.552</v>
      </c>
      <c r="H97" s="81">
        <f t="shared" si="44"/>
        <v>348.0798259</v>
      </c>
      <c r="I97" s="84">
        <f t="shared" si="45"/>
        <v>52.50983585</v>
      </c>
      <c r="J97" s="240"/>
      <c r="K97" s="261">
        <v>4787468.551499999</v>
      </c>
      <c r="L97" s="240"/>
      <c r="M97" s="240"/>
      <c r="N97" s="240"/>
      <c r="O97" s="240"/>
    </row>
    <row r="98">
      <c r="A98" s="271" t="s">
        <v>96</v>
      </c>
      <c r="B98" s="238" t="s">
        <v>139</v>
      </c>
      <c r="C98" s="21">
        <v>127033.0</v>
      </c>
      <c r="D98" s="21">
        <v>785.0</v>
      </c>
      <c r="E98" s="38">
        <f t="shared" ref="E98:E107" si="50">F98/1.22</f>
        <v>40800</v>
      </c>
      <c r="F98" s="38">
        <v>49776.0</v>
      </c>
      <c r="G98" s="239">
        <f t="shared" ref="G98:G107" si="51">F98*1.005</f>
        <v>50024.88</v>
      </c>
      <c r="H98" s="38">
        <f t="shared" si="44"/>
        <v>321.1763872</v>
      </c>
      <c r="I98" s="49">
        <f t="shared" si="45"/>
        <v>51.97452229</v>
      </c>
      <c r="J98" s="240"/>
      <c r="K98" s="257">
        <v>50024.88</v>
      </c>
      <c r="L98" s="240"/>
      <c r="M98" s="240"/>
      <c r="N98" s="240"/>
      <c r="O98" s="240"/>
    </row>
    <row r="99">
      <c r="A99" s="271" t="s">
        <v>57</v>
      </c>
      <c r="B99" s="238" t="s">
        <v>139</v>
      </c>
      <c r="C99" s="21">
        <v>1500000.0</v>
      </c>
      <c r="D99" s="21">
        <v>12000.0</v>
      </c>
      <c r="E99" s="38">
        <f t="shared" si="50"/>
        <v>375000</v>
      </c>
      <c r="F99" s="44">
        <v>457500.0</v>
      </c>
      <c r="G99" s="239">
        <f t="shared" si="51"/>
        <v>459787.5</v>
      </c>
      <c r="H99" s="38">
        <f t="shared" si="44"/>
        <v>250</v>
      </c>
      <c r="I99" s="49">
        <f t="shared" si="45"/>
        <v>31.25</v>
      </c>
      <c r="J99" s="240"/>
      <c r="K99" s="257">
        <v>459787.49999999994</v>
      </c>
      <c r="L99" s="240"/>
      <c r="M99" s="240"/>
      <c r="N99" s="240"/>
      <c r="O99" s="240"/>
    </row>
    <row r="100">
      <c r="A100" s="256" t="s">
        <v>41</v>
      </c>
      <c r="B100" s="238" t="s">
        <v>139</v>
      </c>
      <c r="C100" s="21">
        <v>2487338.0</v>
      </c>
      <c r="D100" s="21">
        <v>6000.0</v>
      </c>
      <c r="E100" s="38">
        <f t="shared" si="50"/>
        <v>519143.8033</v>
      </c>
      <c r="F100" s="44">
        <v>633355.44</v>
      </c>
      <c r="G100" s="239">
        <f t="shared" si="51"/>
        <v>636522.2172</v>
      </c>
      <c r="H100" s="38">
        <f t="shared" si="44"/>
        <v>208.7146191</v>
      </c>
      <c r="I100" s="49">
        <f t="shared" si="45"/>
        <v>86.52396721</v>
      </c>
      <c r="J100" s="240"/>
      <c r="K100" s="257">
        <v>636522.2171999998</v>
      </c>
      <c r="L100" s="240">
        <f>SUM(K100,K112,K122,K126)</f>
        <v>1913877.338</v>
      </c>
      <c r="M100" s="240">
        <f t="shared" ref="M100:N100" si="52">SUM(C100,C112,C122,C126,)</f>
        <v>7562583</v>
      </c>
      <c r="N100" s="240">
        <f t="shared" si="52"/>
        <v>11195</v>
      </c>
      <c r="O100" s="240"/>
    </row>
    <row r="101">
      <c r="A101" s="256" t="s">
        <v>40</v>
      </c>
      <c r="B101" s="238" t="s">
        <v>139</v>
      </c>
      <c r="C101" s="21">
        <v>3505970.0</v>
      </c>
      <c r="D101" s="21">
        <v>7000.0</v>
      </c>
      <c r="E101" s="38">
        <f t="shared" si="50"/>
        <v>312795.9918</v>
      </c>
      <c r="F101" s="44">
        <v>381611.11</v>
      </c>
      <c r="G101" s="239">
        <f t="shared" si="51"/>
        <v>383519.1656</v>
      </c>
      <c r="H101" s="38">
        <f t="shared" si="44"/>
        <v>89.21810278</v>
      </c>
      <c r="I101" s="49">
        <f t="shared" si="45"/>
        <v>44.68514169</v>
      </c>
      <c r="J101" s="240"/>
      <c r="K101" s="257">
        <v>383519.1655499999</v>
      </c>
      <c r="L101" s="240">
        <f>SUM(K101,K113,K127)</f>
        <v>976228.6791</v>
      </c>
      <c r="M101" s="240">
        <f t="shared" ref="M101:N101" si="53">SUM(C101,C113,C127,)</f>
        <v>9462851</v>
      </c>
      <c r="N101" s="240">
        <f t="shared" si="53"/>
        <v>15153</v>
      </c>
      <c r="O101" s="240"/>
    </row>
    <row r="102">
      <c r="A102" s="256" t="s">
        <v>58</v>
      </c>
      <c r="B102" s="238" t="s">
        <v>139</v>
      </c>
      <c r="C102" s="21">
        <v>1500000.0</v>
      </c>
      <c r="D102" s="21">
        <v>19500.0</v>
      </c>
      <c r="E102" s="38">
        <f t="shared" si="50"/>
        <v>472500</v>
      </c>
      <c r="F102" s="44">
        <v>576450.0</v>
      </c>
      <c r="G102" s="239">
        <f t="shared" si="51"/>
        <v>579332.25</v>
      </c>
      <c r="H102" s="38">
        <f t="shared" si="44"/>
        <v>315</v>
      </c>
      <c r="I102" s="49">
        <f t="shared" si="45"/>
        <v>24.23076923</v>
      </c>
      <c r="J102" s="240"/>
      <c r="K102" s="257">
        <v>579332.2499999999</v>
      </c>
      <c r="L102" s="240"/>
      <c r="M102" s="240"/>
      <c r="N102" s="240"/>
      <c r="O102" s="240"/>
    </row>
    <row r="103">
      <c r="A103" s="256" t="s">
        <v>140</v>
      </c>
      <c r="B103" s="238" t="s">
        <v>139</v>
      </c>
      <c r="C103" s="21">
        <v>606694.0</v>
      </c>
      <c r="D103" s="21">
        <v>891.0</v>
      </c>
      <c r="E103" s="38">
        <f t="shared" si="50"/>
        <v>181973.6967</v>
      </c>
      <c r="F103" s="44">
        <v>222007.91</v>
      </c>
      <c r="G103" s="239">
        <f t="shared" si="51"/>
        <v>223117.9496</v>
      </c>
      <c r="H103" s="38">
        <f t="shared" si="44"/>
        <v>299.943129</v>
      </c>
      <c r="I103" s="49">
        <f t="shared" si="45"/>
        <v>204.2353499</v>
      </c>
      <c r="J103" s="240"/>
      <c r="K103" s="257">
        <v>223117.94955</v>
      </c>
      <c r="L103" s="240">
        <f>SUM(K103,K120,K119)</f>
        <v>699857.88</v>
      </c>
      <c r="M103" s="240"/>
      <c r="N103" s="240"/>
      <c r="O103" s="240"/>
    </row>
    <row r="104">
      <c r="A104" s="273" t="s">
        <v>72</v>
      </c>
      <c r="B104" s="238" t="s">
        <v>139</v>
      </c>
      <c r="C104" s="21">
        <v>749880.0</v>
      </c>
      <c r="D104" s="21">
        <v>75.0</v>
      </c>
      <c r="E104" s="38">
        <f t="shared" si="50"/>
        <v>299951.9918</v>
      </c>
      <c r="F104" s="44">
        <v>365941.43</v>
      </c>
      <c r="G104" s="239">
        <f t="shared" si="51"/>
        <v>367771.1372</v>
      </c>
      <c r="H104" s="38">
        <f t="shared" si="44"/>
        <v>399.9999891</v>
      </c>
      <c r="I104" s="49">
        <f t="shared" si="45"/>
        <v>3999.359891</v>
      </c>
      <c r="J104" s="240"/>
      <c r="K104" s="257">
        <v>367771.13714999997</v>
      </c>
      <c r="L104" s="240"/>
      <c r="M104" s="240"/>
      <c r="N104" s="240"/>
      <c r="O104" s="240"/>
    </row>
    <row r="105">
      <c r="A105" s="256" t="s">
        <v>141</v>
      </c>
      <c r="B105" s="238" t="s">
        <v>139</v>
      </c>
      <c r="C105" s="21">
        <v>1505042.0</v>
      </c>
      <c r="D105" s="21">
        <v>1500.0</v>
      </c>
      <c r="E105" s="38">
        <f t="shared" si="50"/>
        <v>299740.2787</v>
      </c>
      <c r="F105" s="44">
        <v>365683.14</v>
      </c>
      <c r="G105" s="239">
        <f t="shared" si="51"/>
        <v>367511.5557</v>
      </c>
      <c r="H105" s="38">
        <f t="shared" si="44"/>
        <v>199.157418</v>
      </c>
      <c r="I105" s="49">
        <f t="shared" si="45"/>
        <v>199.8268525</v>
      </c>
      <c r="J105" s="240"/>
      <c r="K105" s="257">
        <v>367511.55569999997</v>
      </c>
      <c r="L105" s="240"/>
      <c r="M105" s="240"/>
      <c r="N105" s="240"/>
      <c r="O105" s="240"/>
    </row>
    <row r="106">
      <c r="A106" s="259" t="s">
        <v>45</v>
      </c>
      <c r="B106" s="238" t="s">
        <v>139</v>
      </c>
      <c r="C106" s="21">
        <v>9252540.0</v>
      </c>
      <c r="D106" s="21">
        <v>47589.0</v>
      </c>
      <c r="E106" s="38">
        <f t="shared" si="50"/>
        <v>1823568.59</v>
      </c>
      <c r="F106" s="44">
        <v>2224753.68</v>
      </c>
      <c r="G106" s="239">
        <f t="shared" si="51"/>
        <v>2235877.448</v>
      </c>
      <c r="H106" s="38">
        <f t="shared" si="44"/>
        <v>197.0884309</v>
      </c>
      <c r="I106" s="49">
        <f t="shared" si="45"/>
        <v>38.31911976</v>
      </c>
      <c r="J106" s="240"/>
      <c r="K106" s="257">
        <v>2235877.4484</v>
      </c>
      <c r="L106" s="240"/>
      <c r="M106" s="240"/>
      <c r="N106" s="240"/>
      <c r="O106" s="240"/>
    </row>
    <row r="107">
      <c r="A107" s="256" t="s">
        <v>79</v>
      </c>
      <c r="B107" s="238" t="s">
        <v>139</v>
      </c>
      <c r="C107" s="21">
        <v>3101996.0</v>
      </c>
      <c r="D107" s="87">
        <v>29604.0</v>
      </c>
      <c r="E107" s="38">
        <f t="shared" si="50"/>
        <v>350438.4098</v>
      </c>
      <c r="F107" s="38">
        <v>427534.86</v>
      </c>
      <c r="G107" s="239">
        <f t="shared" si="51"/>
        <v>429672.5343</v>
      </c>
      <c r="H107" s="38">
        <f t="shared" si="44"/>
        <v>112.971909</v>
      </c>
      <c r="I107" s="49">
        <f t="shared" si="45"/>
        <v>11.8375358</v>
      </c>
      <c r="J107" s="240"/>
      <c r="K107" s="257">
        <v>429672.53429999994</v>
      </c>
      <c r="L107" s="240"/>
      <c r="M107" s="240"/>
      <c r="N107" s="240"/>
      <c r="O107" s="240"/>
    </row>
    <row r="108">
      <c r="A108" s="251" t="s">
        <v>46</v>
      </c>
      <c r="B108" s="78"/>
      <c r="C108" s="80">
        <f t="shared" ref="C108:G108" si="54">SUM(C98:C107)</f>
        <v>24336493</v>
      </c>
      <c r="D108" s="80">
        <f t="shared" si="54"/>
        <v>124944</v>
      </c>
      <c r="E108" s="81">
        <f t="shared" si="54"/>
        <v>4675912.762</v>
      </c>
      <c r="F108" s="81">
        <f t="shared" si="54"/>
        <v>5704613.57</v>
      </c>
      <c r="G108" s="252">
        <f t="shared" si="54"/>
        <v>5733136.638</v>
      </c>
      <c r="H108" s="81">
        <f t="shared" si="44"/>
        <v>192.1358497</v>
      </c>
      <c r="I108" s="84">
        <f t="shared" si="45"/>
        <v>37.42406808</v>
      </c>
      <c r="J108" s="240"/>
      <c r="K108" s="261">
        <v>5733136.63785</v>
      </c>
      <c r="L108" s="240"/>
      <c r="M108" s="240"/>
      <c r="N108" s="240"/>
      <c r="O108" s="240"/>
    </row>
    <row r="109">
      <c r="A109" s="256" t="s">
        <v>35</v>
      </c>
      <c r="B109" s="238" t="s">
        <v>77</v>
      </c>
      <c r="C109" s="21">
        <v>1177606.0</v>
      </c>
      <c r="D109" s="21">
        <v>672.0</v>
      </c>
      <c r="E109" s="38">
        <f t="shared" ref="E109:E114" si="55">F109/1.22</f>
        <v>246400</v>
      </c>
      <c r="F109" s="44">
        <v>300608.0</v>
      </c>
      <c r="G109" s="239">
        <f t="shared" ref="G109:G114" si="56">F109*1.005</f>
        <v>302111.04</v>
      </c>
      <c r="H109" s="38">
        <f t="shared" si="44"/>
        <v>209.2380643</v>
      </c>
      <c r="I109" s="49">
        <f t="shared" si="45"/>
        <v>366.6666667</v>
      </c>
      <c r="J109" s="240"/>
      <c r="K109" s="257">
        <v>302111.04</v>
      </c>
      <c r="L109" s="240"/>
      <c r="M109" s="240"/>
      <c r="N109" s="240"/>
      <c r="O109" s="240"/>
    </row>
    <row r="110">
      <c r="A110" s="256" t="s">
        <v>91</v>
      </c>
      <c r="B110" s="238" t="s">
        <v>77</v>
      </c>
      <c r="C110" s="21">
        <v>5000.0</v>
      </c>
      <c r="D110" s="21">
        <v>3074.0</v>
      </c>
      <c r="E110" s="38">
        <f t="shared" si="55"/>
        <v>400000</v>
      </c>
      <c r="F110" s="44">
        <v>488000.0</v>
      </c>
      <c r="G110" s="117">
        <f t="shared" si="56"/>
        <v>490440</v>
      </c>
      <c r="H110" s="38">
        <f t="shared" si="44"/>
        <v>80000</v>
      </c>
      <c r="I110" s="49">
        <f t="shared" si="45"/>
        <v>130.1236174</v>
      </c>
      <c r="J110" s="241" t="s">
        <v>142</v>
      </c>
      <c r="K110" s="257">
        <v>490439.99999999994</v>
      </c>
      <c r="L110" s="240">
        <f>SUM(K110,K118)</f>
        <v>1440667.5</v>
      </c>
      <c r="M110" s="240"/>
      <c r="N110" s="240"/>
      <c r="O110" s="240"/>
    </row>
    <row r="111">
      <c r="A111" s="256" t="s">
        <v>78</v>
      </c>
      <c r="B111" s="238" t="s">
        <v>77</v>
      </c>
      <c r="C111" s="21">
        <v>8066.0</v>
      </c>
      <c r="D111" s="21">
        <v>8118.0</v>
      </c>
      <c r="E111" s="38">
        <f t="shared" si="55"/>
        <v>263274.2377</v>
      </c>
      <c r="F111" s="38">
        <v>321194.57</v>
      </c>
      <c r="G111" s="239">
        <f t="shared" si="56"/>
        <v>322800.5429</v>
      </c>
      <c r="H111" s="38">
        <f t="shared" si="44"/>
        <v>32639.99972</v>
      </c>
      <c r="I111" s="49">
        <f t="shared" si="45"/>
        <v>32.43092359</v>
      </c>
      <c r="J111" s="240"/>
      <c r="K111" s="257">
        <v>322800.54284999997</v>
      </c>
      <c r="L111" s="240"/>
      <c r="M111" s="240"/>
      <c r="N111" s="240"/>
      <c r="O111" s="240"/>
    </row>
    <row r="112">
      <c r="A112" s="256" t="s">
        <v>41</v>
      </c>
      <c r="B112" s="238" t="s">
        <v>77</v>
      </c>
      <c r="C112" s="21">
        <v>2827479.0</v>
      </c>
      <c r="D112" s="21">
        <v>3600.0</v>
      </c>
      <c r="E112" s="38">
        <f t="shared" si="55"/>
        <v>537964.8607</v>
      </c>
      <c r="F112" s="44">
        <v>656317.13</v>
      </c>
      <c r="G112" s="239">
        <f t="shared" si="56"/>
        <v>659598.7157</v>
      </c>
      <c r="H112" s="38">
        <f t="shared" si="44"/>
        <v>190.2630791</v>
      </c>
      <c r="I112" s="49">
        <f t="shared" si="45"/>
        <v>149.4346835</v>
      </c>
      <c r="J112" s="240"/>
      <c r="K112" s="257">
        <v>659598.7156499999</v>
      </c>
      <c r="L112" s="240"/>
      <c r="M112" s="240"/>
      <c r="N112" s="240"/>
      <c r="O112" s="240"/>
    </row>
    <row r="113">
      <c r="A113" s="256" t="s">
        <v>40</v>
      </c>
      <c r="B113" s="238" t="s">
        <v>77</v>
      </c>
      <c r="C113" s="21">
        <v>2974819.0</v>
      </c>
      <c r="D113" s="21">
        <v>3903.0</v>
      </c>
      <c r="E113" s="38">
        <f t="shared" si="55"/>
        <v>233940.8607</v>
      </c>
      <c r="F113" s="44">
        <v>285407.85</v>
      </c>
      <c r="G113" s="239">
        <f t="shared" si="56"/>
        <v>286834.8893</v>
      </c>
      <c r="H113" s="38">
        <f t="shared" si="44"/>
        <v>78.64036792</v>
      </c>
      <c r="I113" s="49">
        <f t="shared" si="45"/>
        <v>59.93872935</v>
      </c>
      <c r="J113" s="240"/>
      <c r="K113" s="257">
        <v>286834.88924999995</v>
      </c>
      <c r="L113" s="240"/>
      <c r="M113" s="240"/>
      <c r="N113" s="240"/>
      <c r="O113" s="240"/>
    </row>
    <row r="114">
      <c r="A114" s="256" t="s">
        <v>143</v>
      </c>
      <c r="B114" s="238" t="s">
        <v>77</v>
      </c>
      <c r="C114" s="21" t="s">
        <v>67</v>
      </c>
      <c r="D114" s="21" t="s">
        <v>67</v>
      </c>
      <c r="E114" s="38">
        <f t="shared" si="55"/>
        <v>40000</v>
      </c>
      <c r="F114" s="44">
        <v>48800.0</v>
      </c>
      <c r="G114" s="239">
        <f t="shared" si="56"/>
        <v>49044</v>
      </c>
      <c r="H114" s="38"/>
      <c r="I114" s="49"/>
      <c r="J114" s="240"/>
      <c r="K114" s="257">
        <v>49043.99999999999</v>
      </c>
      <c r="L114" s="240"/>
      <c r="M114" s="240"/>
      <c r="N114" s="240"/>
      <c r="O114" s="240"/>
    </row>
    <row r="115">
      <c r="A115" s="251" t="s">
        <v>46</v>
      </c>
      <c r="B115" s="78"/>
      <c r="C115" s="80">
        <f t="shared" ref="C115:G115" si="57">SUM(C109:C114)</f>
        <v>6992970</v>
      </c>
      <c r="D115" s="80">
        <f t="shared" si="57"/>
        <v>19367</v>
      </c>
      <c r="E115" s="81">
        <f t="shared" si="57"/>
        <v>1721579.959</v>
      </c>
      <c r="F115" s="81">
        <f t="shared" si="57"/>
        <v>2100327.55</v>
      </c>
      <c r="G115" s="252">
        <f t="shared" si="57"/>
        <v>2110829.188</v>
      </c>
      <c r="H115" s="81">
        <f t="shared" ref="H115:H128" si="58">E115/C115*1000</f>
        <v>246.1872365</v>
      </c>
      <c r="I115" s="84">
        <f t="shared" ref="I115:I128" si="59">E115/D115</f>
        <v>88.8924438</v>
      </c>
      <c r="J115" s="240"/>
      <c r="K115" s="261">
        <v>2110829.1877499996</v>
      </c>
      <c r="L115" s="240"/>
      <c r="M115" s="240"/>
      <c r="N115" s="240"/>
      <c r="O115" s="240"/>
    </row>
    <row r="116">
      <c r="A116" s="256" t="s">
        <v>63</v>
      </c>
      <c r="B116" s="238" t="s">
        <v>144</v>
      </c>
      <c r="C116" s="21">
        <v>715000.0</v>
      </c>
      <c r="D116" s="21">
        <v>5720.0</v>
      </c>
      <c r="E116" s="38">
        <f t="shared" ref="E116:E122" si="60">F116/1.22</f>
        <v>600600</v>
      </c>
      <c r="F116" s="44">
        <v>732732.0</v>
      </c>
      <c r="G116" s="239">
        <f t="shared" ref="G116:G122" si="61">F116*1.005</f>
        <v>736395.66</v>
      </c>
      <c r="H116" s="38">
        <f t="shared" si="58"/>
        <v>840</v>
      </c>
      <c r="I116" s="49">
        <f t="shared" si="59"/>
        <v>105</v>
      </c>
      <c r="J116" s="240"/>
      <c r="K116" s="257">
        <v>736395.6599999999</v>
      </c>
      <c r="L116" s="240"/>
      <c r="M116" s="240"/>
      <c r="N116" s="240"/>
      <c r="O116" s="240"/>
    </row>
    <row r="117">
      <c r="A117" s="256" t="s">
        <v>145</v>
      </c>
      <c r="B117" s="238" t="s">
        <v>144</v>
      </c>
      <c r="C117" s="21">
        <v>960667.0</v>
      </c>
      <c r="D117" s="21">
        <v>6725.0</v>
      </c>
      <c r="E117" s="38">
        <f t="shared" si="60"/>
        <v>220953.4098</v>
      </c>
      <c r="F117" s="44">
        <v>269563.16</v>
      </c>
      <c r="G117" s="239">
        <f t="shared" si="61"/>
        <v>270910.9758</v>
      </c>
      <c r="H117" s="38">
        <f t="shared" si="58"/>
        <v>229.9999998</v>
      </c>
      <c r="I117" s="49">
        <f t="shared" si="59"/>
        <v>32.85552563</v>
      </c>
      <c r="J117" s="240"/>
      <c r="K117" s="257">
        <v>270910.97579999996</v>
      </c>
      <c r="L117" s="240"/>
      <c r="M117" s="240"/>
      <c r="N117" s="240"/>
      <c r="O117" s="240"/>
    </row>
    <row r="118">
      <c r="A118" s="256" t="s">
        <v>91</v>
      </c>
      <c r="B118" s="238" t="s">
        <v>144</v>
      </c>
      <c r="C118" s="21">
        <v>2500000.0</v>
      </c>
      <c r="D118" s="21">
        <v>9453.0</v>
      </c>
      <c r="E118" s="38">
        <f t="shared" si="60"/>
        <v>775000</v>
      </c>
      <c r="F118" s="38">
        <v>945500.0</v>
      </c>
      <c r="G118" s="239">
        <f t="shared" si="61"/>
        <v>950227.5</v>
      </c>
      <c r="H118" s="38">
        <f t="shared" si="58"/>
        <v>310</v>
      </c>
      <c r="I118" s="49">
        <f t="shared" si="59"/>
        <v>81.98455517</v>
      </c>
      <c r="J118" s="240"/>
      <c r="K118" s="257">
        <v>950227.4999999999</v>
      </c>
      <c r="L118" s="240"/>
      <c r="M118" s="240"/>
      <c r="N118" s="240"/>
      <c r="O118" s="240"/>
    </row>
    <row r="119">
      <c r="A119" s="256" t="s">
        <v>146</v>
      </c>
      <c r="B119" s="238" t="s">
        <v>144</v>
      </c>
      <c r="C119" s="21">
        <v>677037.0</v>
      </c>
      <c r="D119" s="21">
        <v>17942.0</v>
      </c>
      <c r="E119" s="38">
        <f t="shared" si="60"/>
        <v>270800</v>
      </c>
      <c r="F119" s="44">
        <v>330376.0</v>
      </c>
      <c r="G119" s="239">
        <f t="shared" si="61"/>
        <v>332027.88</v>
      </c>
      <c r="H119" s="38">
        <f t="shared" si="58"/>
        <v>399.97814</v>
      </c>
      <c r="I119" s="49">
        <f t="shared" si="59"/>
        <v>15.09307769</v>
      </c>
      <c r="J119" s="240"/>
      <c r="K119" s="257">
        <v>332027.87999999995</v>
      </c>
      <c r="L119" s="240"/>
      <c r="M119" s="240"/>
      <c r="N119" s="240"/>
      <c r="O119" s="240"/>
    </row>
    <row r="120">
      <c r="A120" s="256" t="s">
        <v>147</v>
      </c>
      <c r="B120" s="238" t="s">
        <v>144</v>
      </c>
      <c r="C120" s="21">
        <v>408200.0</v>
      </c>
      <c r="D120" s="21">
        <v>2252.0</v>
      </c>
      <c r="E120" s="38">
        <f t="shared" si="60"/>
        <v>118026.3033</v>
      </c>
      <c r="F120" s="44">
        <v>143992.09</v>
      </c>
      <c r="G120" s="239">
        <f t="shared" si="61"/>
        <v>144712.0505</v>
      </c>
      <c r="H120" s="38">
        <f t="shared" si="58"/>
        <v>289.1384206</v>
      </c>
      <c r="I120" s="49">
        <f t="shared" si="59"/>
        <v>52.40954853</v>
      </c>
      <c r="J120" s="240"/>
      <c r="K120" s="257">
        <v>144712.05044999998</v>
      </c>
      <c r="L120" s="240"/>
      <c r="M120" s="240"/>
      <c r="N120" s="240"/>
      <c r="O120" s="240"/>
    </row>
    <row r="121">
      <c r="A121" s="256" t="s">
        <v>39</v>
      </c>
      <c r="B121" s="238" t="s">
        <v>144</v>
      </c>
      <c r="C121" s="21">
        <v>325265.0</v>
      </c>
      <c r="D121" s="21">
        <v>10000.0</v>
      </c>
      <c r="E121" s="38">
        <f t="shared" si="60"/>
        <v>52042.40164</v>
      </c>
      <c r="F121" s="44">
        <v>63491.73</v>
      </c>
      <c r="G121" s="239">
        <f t="shared" si="61"/>
        <v>63809.18865</v>
      </c>
      <c r="H121" s="38">
        <f t="shared" si="58"/>
        <v>160.000005</v>
      </c>
      <c r="I121" s="49">
        <f t="shared" si="59"/>
        <v>5.204240164</v>
      </c>
      <c r="J121" s="240"/>
      <c r="K121" s="257">
        <v>63809.18865</v>
      </c>
      <c r="L121" s="240"/>
      <c r="M121" s="240"/>
      <c r="N121" s="240"/>
      <c r="O121" s="240"/>
    </row>
    <row r="122">
      <c r="A122" s="256" t="s">
        <v>148</v>
      </c>
      <c r="B122" s="238" t="s">
        <v>144</v>
      </c>
      <c r="C122" s="87">
        <v>695028.0</v>
      </c>
      <c r="D122" s="21">
        <v>95.0</v>
      </c>
      <c r="E122" s="38">
        <f t="shared" si="60"/>
        <v>203943.8525</v>
      </c>
      <c r="F122" s="38">
        <v>248811.5</v>
      </c>
      <c r="G122" s="239">
        <f t="shared" si="61"/>
        <v>250055.5575</v>
      </c>
      <c r="H122" s="38">
        <f t="shared" si="58"/>
        <v>293.4325703</v>
      </c>
      <c r="I122" s="49">
        <f t="shared" si="59"/>
        <v>2146.777394</v>
      </c>
      <c r="J122" s="240"/>
      <c r="K122" s="257">
        <v>250055.55749999997</v>
      </c>
      <c r="L122" s="240"/>
      <c r="M122" s="240"/>
      <c r="N122" s="240"/>
      <c r="O122" s="240"/>
    </row>
    <row r="123">
      <c r="A123" s="251" t="s">
        <v>46</v>
      </c>
      <c r="B123" s="78"/>
      <c r="C123" s="80">
        <f t="shared" ref="C123:G123" si="62">SUM(C116:C122)</f>
        <v>6281197</v>
      </c>
      <c r="D123" s="80">
        <f t="shared" si="62"/>
        <v>52187</v>
      </c>
      <c r="E123" s="81">
        <f t="shared" si="62"/>
        <v>2241365.967</v>
      </c>
      <c r="F123" s="81">
        <f t="shared" si="62"/>
        <v>2734466.48</v>
      </c>
      <c r="G123" s="252">
        <f t="shared" si="62"/>
        <v>2748138.812</v>
      </c>
      <c r="H123" s="81">
        <f t="shared" si="58"/>
        <v>356.8373938</v>
      </c>
      <c r="I123" s="84">
        <f t="shared" si="59"/>
        <v>42.9487414</v>
      </c>
      <c r="J123" s="240"/>
      <c r="K123" s="261">
        <v>2748138.8123999997</v>
      </c>
      <c r="L123" s="240"/>
      <c r="M123" s="240"/>
      <c r="N123" s="240"/>
      <c r="O123" s="240"/>
    </row>
    <row r="124">
      <c r="A124" s="256" t="s">
        <v>23</v>
      </c>
      <c r="B124" s="238" t="s">
        <v>75</v>
      </c>
      <c r="C124" s="21">
        <v>1347392.0</v>
      </c>
      <c r="D124" s="21">
        <v>988.0</v>
      </c>
      <c r="E124" s="38">
        <f t="shared" ref="E124:E127" si="63">F124/1.22</f>
        <v>341514.8525</v>
      </c>
      <c r="F124" s="38">
        <v>416648.12</v>
      </c>
      <c r="G124" s="239">
        <f t="shared" ref="G124:G127" si="64">F124*1.005</f>
        <v>418731.3606</v>
      </c>
      <c r="H124" s="38">
        <f t="shared" si="58"/>
        <v>253.4636189</v>
      </c>
      <c r="I124" s="49">
        <f t="shared" si="59"/>
        <v>345.6628061</v>
      </c>
      <c r="J124" s="240"/>
      <c r="K124" s="257">
        <v>418731.36059999996</v>
      </c>
      <c r="L124" s="240"/>
      <c r="M124" s="240"/>
      <c r="N124" s="240"/>
      <c r="O124" s="240"/>
    </row>
    <row r="125">
      <c r="A125" s="256" t="s">
        <v>51</v>
      </c>
      <c r="B125" s="238" t="s">
        <v>75</v>
      </c>
      <c r="C125" s="21">
        <v>1795103.0</v>
      </c>
      <c r="D125" s="21">
        <v>2475.0</v>
      </c>
      <c r="E125" s="38">
        <f t="shared" si="63"/>
        <v>503249.3689</v>
      </c>
      <c r="F125" s="44">
        <v>613964.23</v>
      </c>
      <c r="G125" s="239">
        <f t="shared" si="64"/>
        <v>617034.0512</v>
      </c>
      <c r="H125" s="38">
        <f t="shared" si="58"/>
        <v>280.3456787</v>
      </c>
      <c r="I125" s="49">
        <f t="shared" si="59"/>
        <v>203.3330783</v>
      </c>
      <c r="J125" s="240"/>
      <c r="K125" s="257">
        <v>617034.05115</v>
      </c>
      <c r="L125" s="240"/>
      <c r="M125" s="240"/>
      <c r="N125" s="240"/>
      <c r="O125" s="240"/>
    </row>
    <row r="126">
      <c r="A126" s="256" t="s">
        <v>41</v>
      </c>
      <c r="B126" s="238" t="s">
        <v>75</v>
      </c>
      <c r="C126" s="21">
        <v>1552738.0</v>
      </c>
      <c r="D126" s="21">
        <v>1500.0</v>
      </c>
      <c r="E126" s="38">
        <f t="shared" si="63"/>
        <v>299894.6639</v>
      </c>
      <c r="F126" s="44">
        <v>365871.49</v>
      </c>
      <c r="G126" s="239">
        <f t="shared" si="64"/>
        <v>367700.8475</v>
      </c>
      <c r="H126" s="38">
        <f t="shared" si="58"/>
        <v>193.1392572</v>
      </c>
      <c r="I126" s="49">
        <f t="shared" si="59"/>
        <v>199.929776</v>
      </c>
      <c r="J126" s="240"/>
      <c r="K126" s="257">
        <v>367700.84744999994</v>
      </c>
      <c r="L126" s="240"/>
      <c r="M126" s="240"/>
      <c r="N126" s="240"/>
      <c r="O126" s="240"/>
    </row>
    <row r="127">
      <c r="A127" s="256" t="s">
        <v>40</v>
      </c>
      <c r="B127" s="238" t="s">
        <v>75</v>
      </c>
      <c r="C127" s="21">
        <v>2982062.0</v>
      </c>
      <c r="D127" s="21">
        <v>4250.0</v>
      </c>
      <c r="E127" s="38">
        <f t="shared" si="63"/>
        <v>249469.5574</v>
      </c>
      <c r="F127" s="44">
        <v>304352.86</v>
      </c>
      <c r="G127" s="239">
        <f t="shared" si="64"/>
        <v>305874.6243</v>
      </c>
      <c r="H127" s="38">
        <f t="shared" si="58"/>
        <v>83.6567306</v>
      </c>
      <c r="I127" s="49">
        <f t="shared" si="59"/>
        <v>58.69871938</v>
      </c>
      <c r="J127" s="240"/>
      <c r="K127" s="257">
        <v>305874.62429999997</v>
      </c>
      <c r="L127" s="240"/>
      <c r="M127" s="240"/>
      <c r="N127" s="240"/>
      <c r="O127" s="240"/>
    </row>
    <row r="128">
      <c r="A128" s="251" t="s">
        <v>46</v>
      </c>
      <c r="B128" s="78"/>
      <c r="C128" s="80">
        <f t="shared" ref="C128:G128" si="65">SUM(C124:C127)</f>
        <v>7677295</v>
      </c>
      <c r="D128" s="80">
        <f t="shared" si="65"/>
        <v>9213</v>
      </c>
      <c r="E128" s="81">
        <f t="shared" si="65"/>
        <v>1394128.443</v>
      </c>
      <c r="F128" s="81">
        <f t="shared" si="65"/>
        <v>1700836.7</v>
      </c>
      <c r="G128" s="252">
        <f t="shared" si="65"/>
        <v>1709340.884</v>
      </c>
      <c r="H128" s="81">
        <f t="shared" si="58"/>
        <v>181.5910998</v>
      </c>
      <c r="I128" s="84">
        <f t="shared" si="59"/>
        <v>151.3218759</v>
      </c>
      <c r="J128" s="240"/>
      <c r="K128" s="261">
        <v>1709340.8835</v>
      </c>
      <c r="L128" s="240"/>
      <c r="M128" s="240"/>
      <c r="N128" s="240"/>
      <c r="O128" s="240"/>
    </row>
    <row r="129">
      <c r="A129" s="275"/>
      <c r="B129" s="275"/>
      <c r="C129" s="275"/>
      <c r="D129" s="275"/>
      <c r="E129" s="276"/>
      <c r="F129" s="276"/>
      <c r="G129" s="277"/>
      <c r="H129" s="276"/>
      <c r="I129" s="276"/>
      <c r="J129" s="276"/>
      <c r="K129" s="276"/>
      <c r="L129" s="276"/>
      <c r="M129" s="276"/>
      <c r="N129" s="276"/>
      <c r="O129" s="276"/>
    </row>
    <row r="130">
      <c r="A130" s="275"/>
      <c r="B130" s="275"/>
      <c r="C130" s="275"/>
      <c r="D130" s="275"/>
      <c r="E130" s="276"/>
      <c r="F130" s="276"/>
      <c r="G130" s="277"/>
      <c r="H130" s="276"/>
      <c r="I130" s="276"/>
      <c r="J130" s="276"/>
      <c r="K130" s="276"/>
      <c r="L130" s="276"/>
      <c r="M130" s="276"/>
      <c r="N130" s="276"/>
      <c r="O130" s="276"/>
    </row>
    <row r="131">
      <c r="A131" s="278"/>
      <c r="B131" s="167"/>
      <c r="C131" s="275"/>
      <c r="D131" s="275"/>
      <c r="E131" s="275"/>
      <c r="F131" s="275"/>
      <c r="G131" s="279"/>
      <c r="H131" s="276"/>
      <c r="I131" s="276"/>
      <c r="J131" s="276"/>
      <c r="K131" s="276"/>
      <c r="L131" s="276"/>
      <c r="M131" s="276"/>
      <c r="N131" s="276"/>
      <c r="O131" s="276"/>
    </row>
    <row r="132">
      <c r="A132" s="275"/>
      <c r="B132" s="275"/>
      <c r="C132" s="275"/>
      <c r="D132" s="275"/>
      <c r="E132" s="276"/>
      <c r="F132" s="276"/>
      <c r="G132" s="277"/>
      <c r="H132" s="276"/>
      <c r="I132" s="276"/>
      <c r="J132" s="276"/>
      <c r="K132" s="276"/>
      <c r="L132" s="276"/>
      <c r="M132" s="276"/>
      <c r="N132" s="276"/>
      <c r="O132" s="276"/>
    </row>
    <row r="133">
      <c r="A133" s="275"/>
      <c r="B133" s="275"/>
      <c r="C133" s="275"/>
      <c r="D133" s="280"/>
      <c r="E133" s="276"/>
      <c r="F133" s="276"/>
      <c r="G133" s="277"/>
      <c r="H133" s="276"/>
      <c r="I133" s="276"/>
      <c r="J133" s="276"/>
      <c r="K133" s="276"/>
      <c r="L133" s="276"/>
      <c r="M133" s="276"/>
      <c r="N133" s="276"/>
      <c r="O133" s="276"/>
    </row>
    <row r="134">
      <c r="A134" s="275"/>
      <c r="B134" s="275"/>
      <c r="C134" s="275"/>
      <c r="D134" s="275"/>
      <c r="E134" s="276"/>
      <c r="F134" s="276"/>
      <c r="G134" s="277"/>
      <c r="H134" s="276"/>
      <c r="I134" s="276"/>
      <c r="J134" s="276"/>
      <c r="K134" s="276"/>
      <c r="L134" s="276"/>
      <c r="M134" s="276"/>
      <c r="N134" s="276"/>
      <c r="O134" s="276"/>
    </row>
    <row r="135">
      <c r="A135" s="275"/>
      <c r="B135" s="275"/>
      <c r="C135" s="275"/>
      <c r="D135" s="281"/>
      <c r="E135" s="276"/>
      <c r="F135" s="276"/>
      <c r="G135" s="277"/>
      <c r="H135" s="276"/>
      <c r="I135" s="276"/>
      <c r="J135" s="276"/>
      <c r="K135" s="276"/>
      <c r="L135" s="276"/>
      <c r="M135" s="276"/>
      <c r="N135" s="276"/>
      <c r="O135" s="276"/>
    </row>
    <row r="136">
      <c r="A136" s="275"/>
      <c r="B136" s="275"/>
      <c r="C136" s="275"/>
      <c r="D136" s="275"/>
      <c r="E136" s="276"/>
      <c r="F136" s="276"/>
      <c r="G136" s="277"/>
      <c r="H136" s="276"/>
      <c r="I136" s="276"/>
      <c r="J136" s="276"/>
      <c r="K136" s="276"/>
      <c r="L136" s="276"/>
      <c r="M136" s="276"/>
      <c r="N136" s="276"/>
      <c r="O136" s="276"/>
    </row>
    <row r="137">
      <c r="A137" s="275"/>
      <c r="B137" s="275"/>
      <c r="C137" s="275"/>
      <c r="D137" s="275"/>
      <c r="E137" s="276"/>
      <c r="F137" s="276"/>
      <c r="G137" s="277"/>
      <c r="H137" s="276"/>
      <c r="I137" s="276"/>
      <c r="J137" s="276"/>
      <c r="K137" s="276"/>
      <c r="L137" s="276"/>
      <c r="M137" s="276"/>
      <c r="N137" s="276"/>
      <c r="O137" s="276"/>
    </row>
    <row r="138">
      <c r="A138" s="275"/>
      <c r="B138" s="275"/>
      <c r="C138" s="275"/>
      <c r="D138" s="275"/>
      <c r="E138" s="276"/>
      <c r="F138" s="276"/>
      <c r="G138" s="277"/>
      <c r="H138" s="276"/>
      <c r="I138" s="276"/>
      <c r="J138" s="276"/>
      <c r="K138" s="276"/>
      <c r="L138" s="276"/>
      <c r="M138" s="276"/>
      <c r="N138" s="276"/>
      <c r="O138" s="276"/>
    </row>
    <row r="139">
      <c r="A139" s="275"/>
      <c r="B139" s="275"/>
      <c r="C139" s="275"/>
      <c r="D139" s="275"/>
      <c r="E139" s="276"/>
      <c r="F139" s="276"/>
      <c r="G139" s="277"/>
      <c r="H139" s="276"/>
      <c r="I139" s="276"/>
      <c r="J139" s="276"/>
      <c r="K139" s="276"/>
      <c r="L139" s="276"/>
      <c r="M139" s="276"/>
      <c r="N139" s="276"/>
      <c r="O139" s="276"/>
    </row>
    <row r="140">
      <c r="A140" s="275"/>
      <c r="B140" s="275"/>
      <c r="C140" s="275"/>
      <c r="D140" s="275"/>
      <c r="E140" s="276"/>
      <c r="F140" s="276"/>
      <c r="G140" s="277"/>
      <c r="H140" s="276"/>
      <c r="I140" s="276"/>
      <c r="J140" s="276"/>
      <c r="K140" s="276"/>
      <c r="L140" s="276"/>
      <c r="M140" s="276"/>
      <c r="N140" s="276"/>
      <c r="O140" s="276"/>
    </row>
    <row r="141">
      <c r="A141" s="275"/>
      <c r="B141" s="275"/>
      <c r="C141" s="275"/>
      <c r="D141" s="275"/>
      <c r="E141" s="276"/>
      <c r="F141" s="276"/>
      <c r="G141" s="277"/>
      <c r="H141" s="276"/>
      <c r="I141" s="276"/>
      <c r="J141" s="276"/>
      <c r="K141" s="276"/>
      <c r="L141" s="276"/>
      <c r="M141" s="276"/>
      <c r="N141" s="276"/>
      <c r="O141" s="276"/>
    </row>
    <row r="142">
      <c r="A142" s="275"/>
      <c r="B142" s="275"/>
      <c r="C142" s="275"/>
      <c r="D142" s="275"/>
      <c r="E142" s="276"/>
      <c r="F142" s="276"/>
      <c r="G142" s="277"/>
      <c r="H142" s="276"/>
      <c r="I142" s="276"/>
      <c r="J142" s="276"/>
      <c r="K142" s="276"/>
      <c r="L142" s="276"/>
      <c r="M142" s="276"/>
      <c r="N142" s="276"/>
      <c r="O142" s="276"/>
    </row>
    <row r="143">
      <c r="A143" s="275"/>
      <c r="B143" s="275"/>
      <c r="C143" s="275"/>
      <c r="D143" s="275"/>
      <c r="E143" s="276"/>
      <c r="F143" s="276"/>
      <c r="G143" s="277"/>
      <c r="H143" s="276"/>
      <c r="I143" s="276"/>
      <c r="J143" s="276"/>
      <c r="K143" s="276"/>
      <c r="L143" s="276"/>
      <c r="M143" s="276"/>
      <c r="N143" s="276"/>
      <c r="O143" s="276"/>
    </row>
    <row r="144">
      <c r="A144" s="275"/>
      <c r="B144" s="275"/>
      <c r="C144" s="275"/>
      <c r="D144" s="275"/>
      <c r="E144" s="276"/>
      <c r="F144" s="276"/>
      <c r="G144" s="277"/>
      <c r="H144" s="276"/>
      <c r="I144" s="276"/>
      <c r="J144" s="276"/>
      <c r="K144" s="276"/>
      <c r="L144" s="276"/>
      <c r="M144" s="276"/>
      <c r="N144" s="276"/>
      <c r="O144" s="276"/>
    </row>
    <row r="145">
      <c r="A145" s="275"/>
      <c r="B145" s="275"/>
      <c r="C145" s="275"/>
      <c r="D145" s="275"/>
      <c r="E145" s="276"/>
      <c r="F145" s="276"/>
      <c r="G145" s="277"/>
      <c r="H145" s="276"/>
      <c r="I145" s="276"/>
      <c r="J145" s="276"/>
      <c r="K145" s="276"/>
      <c r="L145" s="276"/>
      <c r="M145" s="276"/>
      <c r="N145" s="276"/>
      <c r="O145" s="276"/>
    </row>
    <row r="146">
      <c r="A146" s="275"/>
      <c r="B146" s="275"/>
      <c r="C146" s="275"/>
      <c r="D146" s="275"/>
      <c r="E146" s="276"/>
      <c r="F146" s="276"/>
      <c r="G146" s="277"/>
      <c r="H146" s="276"/>
      <c r="I146" s="276"/>
      <c r="J146" s="276"/>
      <c r="K146" s="276"/>
      <c r="L146" s="276"/>
      <c r="M146" s="276"/>
      <c r="N146" s="276"/>
      <c r="O146" s="276"/>
    </row>
    <row r="147">
      <c r="A147" s="275"/>
      <c r="B147" s="275"/>
      <c r="C147" s="275"/>
      <c r="D147" s="275"/>
      <c r="E147" s="276"/>
      <c r="F147" s="276"/>
      <c r="G147" s="277"/>
      <c r="H147" s="276"/>
      <c r="I147" s="276"/>
      <c r="J147" s="276"/>
      <c r="K147" s="276"/>
      <c r="L147" s="276"/>
      <c r="M147" s="276"/>
      <c r="N147" s="276"/>
      <c r="O147" s="276"/>
    </row>
    <row r="148">
      <c r="A148" s="275"/>
      <c r="B148" s="275"/>
      <c r="C148" s="275"/>
      <c r="D148" s="275"/>
      <c r="E148" s="276"/>
      <c r="F148" s="276"/>
      <c r="G148" s="277"/>
      <c r="H148" s="276"/>
      <c r="I148" s="276"/>
      <c r="J148" s="276"/>
      <c r="K148" s="276"/>
      <c r="L148" s="276"/>
      <c r="M148" s="276"/>
      <c r="N148" s="276"/>
      <c r="O148" s="276"/>
    </row>
    <row r="149">
      <c r="A149" s="275"/>
      <c r="B149" s="275"/>
      <c r="C149" s="275"/>
      <c r="D149" s="275"/>
      <c r="E149" s="276"/>
      <c r="F149" s="276"/>
      <c r="G149" s="277"/>
      <c r="H149" s="276"/>
      <c r="I149" s="276"/>
      <c r="J149" s="276"/>
      <c r="K149" s="276"/>
      <c r="L149" s="276"/>
      <c r="M149" s="276"/>
      <c r="N149" s="276"/>
      <c r="O149" s="276"/>
    </row>
    <row r="150">
      <c r="A150" s="275"/>
      <c r="B150" s="275"/>
      <c r="C150" s="275"/>
      <c r="D150" s="275"/>
      <c r="E150" s="276"/>
      <c r="F150" s="276"/>
      <c r="G150" s="277"/>
      <c r="H150" s="276"/>
      <c r="I150" s="276"/>
      <c r="J150" s="276"/>
      <c r="K150" s="276"/>
      <c r="L150" s="276"/>
      <c r="M150" s="276"/>
      <c r="N150" s="276"/>
      <c r="O150" s="276"/>
    </row>
    <row r="151">
      <c r="A151" s="275"/>
      <c r="B151" s="275"/>
      <c r="C151" s="275"/>
      <c r="D151" s="275"/>
      <c r="E151" s="276"/>
      <c r="F151" s="276"/>
      <c r="G151" s="277"/>
      <c r="H151" s="276"/>
      <c r="I151" s="276"/>
      <c r="J151" s="276"/>
      <c r="K151" s="276"/>
      <c r="L151" s="276"/>
      <c r="M151" s="276"/>
      <c r="N151" s="276"/>
      <c r="O151" s="276"/>
    </row>
    <row r="152">
      <c r="A152" s="275"/>
      <c r="B152" s="275"/>
      <c r="C152" s="275"/>
      <c r="D152" s="275"/>
      <c r="E152" s="276"/>
      <c r="F152" s="276"/>
      <c r="G152" s="277"/>
      <c r="H152" s="276"/>
      <c r="I152" s="276"/>
      <c r="J152" s="276"/>
      <c r="K152" s="276"/>
      <c r="L152" s="276"/>
      <c r="M152" s="276"/>
      <c r="N152" s="276"/>
      <c r="O152" s="276"/>
    </row>
    <row r="153">
      <c r="A153" s="275"/>
      <c r="B153" s="275"/>
      <c r="C153" s="275"/>
      <c r="D153" s="275"/>
      <c r="E153" s="276"/>
      <c r="F153" s="276"/>
      <c r="G153" s="277"/>
      <c r="H153" s="276"/>
      <c r="I153" s="276"/>
      <c r="J153" s="276"/>
      <c r="K153" s="276"/>
      <c r="L153" s="276"/>
      <c r="M153" s="276"/>
      <c r="N153" s="276"/>
      <c r="O153" s="276"/>
    </row>
    <row r="154">
      <c r="A154" s="275"/>
      <c r="B154" s="275"/>
      <c r="C154" s="275"/>
      <c r="D154" s="275"/>
      <c r="E154" s="276"/>
      <c r="F154" s="276"/>
      <c r="G154" s="277"/>
      <c r="H154" s="276"/>
      <c r="I154" s="276"/>
      <c r="J154" s="276"/>
      <c r="K154" s="276"/>
      <c r="L154" s="276"/>
      <c r="M154" s="276"/>
      <c r="N154" s="276"/>
      <c r="O154" s="276"/>
    </row>
    <row r="155">
      <c r="A155" s="275"/>
      <c r="B155" s="275"/>
      <c r="C155" s="275"/>
      <c r="D155" s="275"/>
      <c r="E155" s="276"/>
      <c r="F155" s="276"/>
      <c r="G155" s="277"/>
      <c r="H155" s="276"/>
      <c r="I155" s="276"/>
      <c r="J155" s="276"/>
      <c r="K155" s="276"/>
      <c r="L155" s="276"/>
      <c r="M155" s="276"/>
      <c r="N155" s="276"/>
      <c r="O155" s="276"/>
    </row>
    <row r="156">
      <c r="A156" s="275"/>
      <c r="B156" s="275"/>
      <c r="C156" s="275"/>
      <c r="D156" s="275"/>
      <c r="E156" s="276"/>
      <c r="F156" s="276"/>
      <c r="G156" s="277"/>
      <c r="H156" s="276"/>
      <c r="I156" s="276"/>
      <c r="J156" s="276"/>
      <c r="K156" s="276"/>
      <c r="L156" s="276"/>
      <c r="M156" s="276"/>
      <c r="N156" s="276"/>
      <c r="O156" s="276"/>
    </row>
    <row r="157">
      <c r="A157" s="275"/>
      <c r="B157" s="275"/>
      <c r="C157" s="275"/>
      <c r="D157" s="275"/>
      <c r="E157" s="276"/>
      <c r="F157" s="276"/>
      <c r="G157" s="277"/>
      <c r="H157" s="276"/>
      <c r="I157" s="276"/>
      <c r="J157" s="276"/>
      <c r="K157" s="276"/>
      <c r="L157" s="276"/>
      <c r="M157" s="276"/>
      <c r="N157" s="276"/>
      <c r="O157" s="276"/>
    </row>
    <row r="158">
      <c r="A158" s="275"/>
      <c r="B158" s="275"/>
      <c r="C158" s="275"/>
      <c r="D158" s="275"/>
      <c r="E158" s="276"/>
      <c r="F158" s="276"/>
      <c r="G158" s="277"/>
      <c r="H158" s="276"/>
      <c r="I158" s="276"/>
      <c r="J158" s="276"/>
      <c r="K158" s="276"/>
      <c r="L158" s="276"/>
      <c r="M158" s="276"/>
      <c r="N158" s="276"/>
      <c r="O158" s="276"/>
    </row>
    <row r="159">
      <c r="A159" s="275"/>
      <c r="B159" s="275"/>
      <c r="C159" s="275"/>
      <c r="D159" s="275"/>
      <c r="E159" s="276"/>
      <c r="F159" s="276"/>
      <c r="G159" s="277"/>
      <c r="H159" s="276"/>
      <c r="I159" s="276"/>
      <c r="J159" s="276"/>
      <c r="K159" s="276"/>
      <c r="L159" s="276"/>
      <c r="M159" s="276"/>
      <c r="N159" s="276"/>
      <c r="O159" s="276"/>
    </row>
    <row r="160">
      <c r="A160" s="275"/>
      <c r="B160" s="275"/>
      <c r="C160" s="275"/>
      <c r="D160" s="275"/>
      <c r="E160" s="276"/>
      <c r="F160" s="276"/>
      <c r="G160" s="277"/>
      <c r="H160" s="276"/>
      <c r="I160" s="276"/>
      <c r="J160" s="276"/>
      <c r="K160" s="276"/>
      <c r="L160" s="276"/>
      <c r="M160" s="276"/>
      <c r="N160" s="276"/>
      <c r="O160" s="276"/>
    </row>
    <row r="161">
      <c r="A161" s="275"/>
      <c r="B161" s="275"/>
      <c r="C161" s="275"/>
      <c r="D161" s="275"/>
      <c r="E161" s="276"/>
      <c r="F161" s="276"/>
      <c r="G161" s="277"/>
      <c r="H161" s="276"/>
      <c r="I161" s="276"/>
      <c r="J161" s="276"/>
      <c r="K161" s="276"/>
      <c r="L161" s="276"/>
      <c r="M161" s="276"/>
      <c r="N161" s="276"/>
      <c r="O161" s="276"/>
    </row>
    <row r="162">
      <c r="A162" s="275"/>
      <c r="B162" s="275"/>
      <c r="C162" s="275"/>
      <c r="D162" s="275"/>
      <c r="E162" s="276"/>
      <c r="F162" s="276"/>
      <c r="G162" s="277"/>
      <c r="H162" s="276"/>
      <c r="I162" s="276"/>
      <c r="J162" s="276"/>
      <c r="K162" s="276"/>
      <c r="L162" s="276"/>
      <c r="M162" s="276"/>
      <c r="N162" s="276"/>
      <c r="O162" s="276"/>
    </row>
    <row r="163">
      <c r="A163" s="275"/>
      <c r="B163" s="275"/>
      <c r="C163" s="275"/>
      <c r="D163" s="275"/>
      <c r="E163" s="276"/>
      <c r="F163" s="276"/>
      <c r="G163" s="277"/>
      <c r="H163" s="276"/>
      <c r="I163" s="276"/>
      <c r="J163" s="276"/>
      <c r="K163" s="276"/>
      <c r="L163" s="276"/>
      <c r="M163" s="276"/>
      <c r="N163" s="276"/>
      <c r="O163" s="276"/>
    </row>
    <row r="164">
      <c r="A164" s="275"/>
      <c r="B164" s="275"/>
      <c r="C164" s="275"/>
      <c r="D164" s="275"/>
      <c r="E164" s="276"/>
      <c r="F164" s="276"/>
      <c r="G164" s="277"/>
      <c r="H164" s="276"/>
      <c r="I164" s="276"/>
      <c r="J164" s="276"/>
      <c r="K164" s="276"/>
      <c r="L164" s="276"/>
      <c r="M164" s="276"/>
      <c r="N164" s="276"/>
      <c r="O164" s="276"/>
    </row>
    <row r="165">
      <c r="A165" s="275"/>
      <c r="B165" s="275"/>
      <c r="C165" s="275"/>
      <c r="D165" s="275"/>
      <c r="E165" s="276"/>
      <c r="F165" s="276"/>
      <c r="G165" s="277"/>
      <c r="H165" s="276"/>
      <c r="I165" s="276"/>
      <c r="J165" s="276"/>
      <c r="K165" s="276"/>
      <c r="L165" s="276"/>
      <c r="M165" s="276"/>
      <c r="N165" s="276"/>
      <c r="O165" s="276"/>
    </row>
    <row r="166">
      <c r="A166" s="275"/>
      <c r="B166" s="275"/>
      <c r="C166" s="275"/>
      <c r="D166" s="275"/>
      <c r="E166" s="276"/>
      <c r="F166" s="276"/>
      <c r="G166" s="277"/>
      <c r="H166" s="276"/>
      <c r="I166" s="276"/>
      <c r="J166" s="276"/>
      <c r="K166" s="276"/>
      <c r="L166" s="276"/>
      <c r="M166" s="276"/>
      <c r="N166" s="276"/>
      <c r="O166" s="276"/>
    </row>
    <row r="167">
      <c r="A167" s="275"/>
      <c r="B167" s="275"/>
      <c r="C167" s="275"/>
      <c r="D167" s="275"/>
      <c r="E167" s="276"/>
      <c r="F167" s="276"/>
      <c r="G167" s="277"/>
      <c r="H167" s="276"/>
      <c r="I167" s="276"/>
      <c r="J167" s="276"/>
      <c r="K167" s="276"/>
      <c r="L167" s="276"/>
      <c r="M167" s="276"/>
      <c r="N167" s="276"/>
      <c r="O167" s="276"/>
    </row>
    <row r="168">
      <c r="A168" s="275"/>
      <c r="B168" s="275"/>
      <c r="C168" s="275"/>
      <c r="D168" s="275"/>
      <c r="E168" s="276"/>
      <c r="F168" s="276"/>
      <c r="G168" s="277"/>
      <c r="H168" s="276"/>
      <c r="I168" s="276"/>
      <c r="J168" s="276"/>
      <c r="K168" s="276"/>
      <c r="L168" s="276"/>
      <c r="M168" s="276"/>
      <c r="N168" s="276"/>
      <c r="O168" s="276"/>
    </row>
    <row r="169">
      <c r="A169" s="275"/>
      <c r="B169" s="275"/>
      <c r="C169" s="275"/>
      <c r="D169" s="275"/>
      <c r="E169" s="276"/>
      <c r="F169" s="276"/>
      <c r="G169" s="277"/>
      <c r="H169" s="276"/>
      <c r="I169" s="276"/>
      <c r="J169" s="276"/>
      <c r="K169" s="276"/>
      <c r="L169" s="276"/>
      <c r="M169" s="276"/>
      <c r="N169" s="276"/>
      <c r="O169" s="276"/>
    </row>
    <row r="170">
      <c r="A170" s="275"/>
      <c r="B170" s="275"/>
      <c r="C170" s="275"/>
      <c r="D170" s="275"/>
      <c r="E170" s="276"/>
      <c r="F170" s="276"/>
      <c r="G170" s="277"/>
      <c r="H170" s="276"/>
      <c r="I170" s="276"/>
      <c r="J170" s="276"/>
      <c r="K170" s="276"/>
      <c r="L170" s="276"/>
      <c r="M170" s="276"/>
      <c r="N170" s="276"/>
      <c r="O170" s="276"/>
    </row>
    <row r="171">
      <c r="A171" s="275"/>
      <c r="B171" s="275"/>
      <c r="C171" s="275"/>
      <c r="D171" s="275"/>
      <c r="E171" s="276"/>
      <c r="F171" s="276"/>
      <c r="G171" s="277"/>
      <c r="H171" s="276"/>
      <c r="I171" s="276"/>
      <c r="J171" s="276"/>
      <c r="K171" s="276"/>
      <c r="L171" s="276"/>
      <c r="M171" s="276"/>
      <c r="N171" s="276"/>
      <c r="O171" s="276"/>
    </row>
    <row r="172">
      <c r="A172" s="275"/>
      <c r="B172" s="275"/>
      <c r="C172" s="275"/>
      <c r="D172" s="275"/>
      <c r="E172" s="276"/>
      <c r="F172" s="276"/>
      <c r="G172" s="277"/>
      <c r="H172" s="276"/>
      <c r="I172" s="276"/>
      <c r="J172" s="276"/>
      <c r="K172" s="276"/>
      <c r="L172" s="276"/>
      <c r="M172" s="276"/>
      <c r="N172" s="276"/>
      <c r="O172" s="276"/>
    </row>
    <row r="173">
      <c r="A173" s="275"/>
      <c r="B173" s="275"/>
      <c r="C173" s="275"/>
      <c r="D173" s="275"/>
      <c r="E173" s="276"/>
      <c r="F173" s="276"/>
      <c r="G173" s="277"/>
      <c r="H173" s="276"/>
      <c r="I173" s="276"/>
      <c r="J173" s="276"/>
      <c r="K173" s="276"/>
      <c r="L173" s="276"/>
      <c r="M173" s="276"/>
      <c r="N173" s="276"/>
      <c r="O173" s="276"/>
    </row>
    <row r="174">
      <c r="A174" s="275"/>
      <c r="B174" s="275"/>
      <c r="C174" s="275"/>
      <c r="D174" s="275"/>
      <c r="E174" s="276"/>
      <c r="F174" s="276"/>
      <c r="G174" s="277"/>
      <c r="H174" s="276"/>
      <c r="I174" s="276"/>
      <c r="J174" s="276"/>
      <c r="K174" s="276"/>
      <c r="L174" s="276"/>
      <c r="M174" s="276"/>
      <c r="N174" s="276"/>
      <c r="O174" s="276"/>
    </row>
    <row r="175">
      <c r="A175" s="275"/>
      <c r="B175" s="275"/>
      <c r="C175" s="275"/>
      <c r="D175" s="275"/>
      <c r="E175" s="276"/>
      <c r="F175" s="276"/>
      <c r="G175" s="277"/>
      <c r="H175" s="276"/>
      <c r="I175" s="276"/>
      <c r="J175" s="276"/>
      <c r="K175" s="276"/>
      <c r="L175" s="276"/>
      <c r="M175" s="276"/>
      <c r="N175" s="276"/>
      <c r="O175" s="276"/>
    </row>
    <row r="176">
      <c r="A176" s="275"/>
      <c r="B176" s="275"/>
      <c r="C176" s="275"/>
      <c r="D176" s="275"/>
      <c r="E176" s="276"/>
      <c r="F176" s="276"/>
      <c r="G176" s="277"/>
      <c r="H176" s="276"/>
      <c r="I176" s="276"/>
      <c r="J176" s="276"/>
      <c r="K176" s="276"/>
      <c r="L176" s="276"/>
      <c r="M176" s="276"/>
      <c r="N176" s="276"/>
      <c r="O176" s="276"/>
    </row>
    <row r="177">
      <c r="A177" s="275"/>
      <c r="B177" s="275"/>
      <c r="C177" s="275"/>
      <c r="D177" s="275"/>
      <c r="E177" s="276"/>
      <c r="F177" s="276"/>
      <c r="G177" s="277"/>
      <c r="H177" s="276"/>
      <c r="I177" s="276"/>
      <c r="J177" s="276"/>
      <c r="K177" s="276"/>
      <c r="L177" s="276"/>
      <c r="M177" s="276"/>
      <c r="N177" s="276"/>
      <c r="O177" s="276"/>
    </row>
    <row r="178">
      <c r="A178" s="275"/>
      <c r="B178" s="275"/>
      <c r="C178" s="275"/>
      <c r="D178" s="275"/>
      <c r="E178" s="276"/>
      <c r="F178" s="276"/>
      <c r="G178" s="277"/>
      <c r="H178" s="276"/>
      <c r="I178" s="276"/>
      <c r="J178" s="276"/>
      <c r="K178" s="276"/>
      <c r="L178" s="276"/>
      <c r="M178" s="276"/>
      <c r="N178" s="276"/>
      <c r="O178" s="276"/>
    </row>
    <row r="179">
      <c r="A179" s="275"/>
      <c r="B179" s="275"/>
      <c r="C179" s="275"/>
      <c r="D179" s="275"/>
      <c r="E179" s="276"/>
      <c r="F179" s="276"/>
      <c r="G179" s="277"/>
      <c r="H179" s="276"/>
      <c r="I179" s="276"/>
      <c r="J179" s="276"/>
      <c r="K179" s="276"/>
      <c r="L179" s="276"/>
      <c r="M179" s="276"/>
      <c r="N179" s="276"/>
      <c r="O179" s="276"/>
    </row>
    <row r="180">
      <c r="A180" s="275"/>
      <c r="B180" s="275"/>
      <c r="C180" s="275"/>
      <c r="D180" s="275"/>
      <c r="E180" s="276"/>
      <c r="F180" s="276"/>
      <c r="G180" s="277"/>
      <c r="H180" s="276"/>
      <c r="I180" s="276"/>
      <c r="J180" s="276"/>
      <c r="K180" s="276"/>
      <c r="L180" s="276"/>
      <c r="M180" s="276"/>
      <c r="N180" s="276"/>
      <c r="O180" s="276"/>
    </row>
    <row r="181">
      <c r="A181" s="275"/>
      <c r="B181" s="275"/>
      <c r="C181" s="275"/>
      <c r="D181" s="275"/>
      <c r="E181" s="276"/>
      <c r="F181" s="276"/>
      <c r="G181" s="277"/>
      <c r="H181" s="276"/>
      <c r="I181" s="276"/>
      <c r="J181" s="276"/>
      <c r="K181" s="276"/>
      <c r="L181" s="276"/>
      <c r="M181" s="276"/>
      <c r="N181" s="276"/>
      <c r="O181" s="276"/>
    </row>
    <row r="182">
      <c r="A182" s="275"/>
      <c r="B182" s="275"/>
      <c r="C182" s="275"/>
      <c r="D182" s="275"/>
      <c r="E182" s="276"/>
      <c r="F182" s="276"/>
      <c r="G182" s="277"/>
      <c r="H182" s="276"/>
      <c r="I182" s="276"/>
      <c r="J182" s="276"/>
      <c r="K182" s="276"/>
      <c r="L182" s="276"/>
      <c r="M182" s="276"/>
      <c r="N182" s="276"/>
      <c r="O182" s="276"/>
    </row>
    <row r="183">
      <c r="A183" s="275"/>
      <c r="B183" s="275"/>
      <c r="C183" s="275"/>
      <c r="D183" s="275"/>
      <c r="E183" s="276"/>
      <c r="F183" s="276"/>
      <c r="G183" s="277"/>
      <c r="H183" s="276"/>
      <c r="I183" s="276"/>
      <c r="J183" s="276"/>
      <c r="K183" s="276"/>
      <c r="L183" s="276"/>
      <c r="M183" s="276"/>
      <c r="N183" s="276"/>
      <c r="O183" s="276"/>
    </row>
    <row r="184">
      <c r="A184" s="275"/>
      <c r="B184" s="275"/>
      <c r="C184" s="275"/>
      <c r="D184" s="275"/>
      <c r="E184" s="276"/>
      <c r="F184" s="276"/>
      <c r="G184" s="277"/>
      <c r="H184" s="276"/>
      <c r="I184" s="276"/>
      <c r="J184" s="276"/>
      <c r="K184" s="276"/>
      <c r="L184" s="276"/>
      <c r="M184" s="276"/>
      <c r="N184" s="276"/>
      <c r="O184" s="276"/>
    </row>
    <row r="185">
      <c r="A185" s="275"/>
      <c r="B185" s="275"/>
      <c r="C185" s="275"/>
      <c r="D185" s="275"/>
      <c r="E185" s="276"/>
      <c r="F185" s="276"/>
      <c r="G185" s="277"/>
      <c r="H185" s="276"/>
      <c r="I185" s="276"/>
      <c r="J185" s="276"/>
      <c r="K185" s="276"/>
      <c r="L185" s="276"/>
      <c r="M185" s="276"/>
      <c r="N185" s="276"/>
      <c r="O185" s="276"/>
    </row>
    <row r="186">
      <c r="A186" s="275"/>
      <c r="B186" s="275"/>
      <c r="C186" s="275"/>
      <c r="D186" s="275"/>
      <c r="E186" s="276"/>
      <c r="F186" s="276"/>
      <c r="G186" s="277"/>
      <c r="H186" s="276"/>
      <c r="I186" s="276"/>
      <c r="J186" s="276"/>
      <c r="K186" s="276"/>
      <c r="L186" s="276"/>
      <c r="M186" s="276"/>
      <c r="N186" s="276"/>
      <c r="O186" s="276"/>
    </row>
    <row r="187">
      <c r="A187" s="275"/>
      <c r="B187" s="275"/>
      <c r="C187" s="275"/>
      <c r="D187" s="275"/>
      <c r="E187" s="276"/>
      <c r="F187" s="276"/>
      <c r="G187" s="277"/>
      <c r="H187" s="276"/>
      <c r="I187" s="276"/>
      <c r="J187" s="276"/>
      <c r="K187" s="276"/>
      <c r="L187" s="276"/>
      <c r="M187" s="276"/>
      <c r="N187" s="276"/>
      <c r="O187" s="276"/>
    </row>
    <row r="188">
      <c r="A188" s="275"/>
      <c r="B188" s="275"/>
      <c r="C188" s="275"/>
      <c r="D188" s="275"/>
      <c r="E188" s="276"/>
      <c r="F188" s="276"/>
      <c r="G188" s="277"/>
      <c r="H188" s="276"/>
      <c r="I188" s="276"/>
      <c r="J188" s="276"/>
      <c r="K188" s="276"/>
      <c r="L188" s="276"/>
      <c r="M188" s="276"/>
      <c r="N188" s="276"/>
      <c r="O188" s="276"/>
    </row>
    <row r="189">
      <c r="A189" s="275"/>
      <c r="B189" s="275"/>
      <c r="C189" s="275"/>
      <c r="D189" s="275"/>
      <c r="E189" s="276"/>
      <c r="F189" s="276"/>
      <c r="G189" s="277"/>
      <c r="H189" s="276"/>
      <c r="I189" s="276"/>
      <c r="J189" s="276"/>
      <c r="K189" s="276"/>
      <c r="L189" s="276"/>
      <c r="M189" s="276"/>
      <c r="N189" s="276"/>
      <c r="O189" s="276"/>
    </row>
    <row r="190">
      <c r="A190" s="275"/>
      <c r="B190" s="275"/>
      <c r="C190" s="275"/>
      <c r="D190" s="275"/>
      <c r="E190" s="276"/>
      <c r="F190" s="276"/>
      <c r="G190" s="277"/>
      <c r="H190" s="276"/>
      <c r="I190" s="276"/>
      <c r="J190" s="276"/>
      <c r="K190" s="276"/>
      <c r="L190" s="276"/>
      <c r="M190" s="276"/>
      <c r="N190" s="276"/>
      <c r="O190" s="276"/>
    </row>
    <row r="191">
      <c r="A191" s="275"/>
      <c r="B191" s="275"/>
      <c r="C191" s="275"/>
      <c r="D191" s="275"/>
      <c r="E191" s="276"/>
      <c r="F191" s="276"/>
      <c r="G191" s="277"/>
      <c r="H191" s="276"/>
      <c r="I191" s="276"/>
      <c r="J191" s="276"/>
      <c r="K191" s="276"/>
      <c r="L191" s="276"/>
      <c r="M191" s="276"/>
      <c r="N191" s="276"/>
      <c r="O191" s="276"/>
    </row>
    <row r="192">
      <c r="A192" s="275"/>
      <c r="B192" s="275"/>
      <c r="C192" s="275"/>
      <c r="D192" s="275"/>
      <c r="E192" s="276"/>
      <c r="F192" s="276"/>
      <c r="G192" s="277"/>
      <c r="H192" s="276"/>
      <c r="I192" s="276"/>
      <c r="J192" s="276"/>
      <c r="K192" s="276"/>
      <c r="L192" s="276"/>
      <c r="M192" s="276"/>
      <c r="N192" s="276"/>
      <c r="O192" s="276"/>
    </row>
    <row r="193">
      <c r="A193" s="275"/>
      <c r="B193" s="275"/>
      <c r="C193" s="275"/>
      <c r="D193" s="275"/>
      <c r="E193" s="276"/>
      <c r="F193" s="276"/>
      <c r="G193" s="277"/>
      <c r="H193" s="276"/>
      <c r="I193" s="276"/>
      <c r="J193" s="276"/>
      <c r="K193" s="276"/>
      <c r="L193" s="276"/>
      <c r="M193" s="276"/>
      <c r="N193" s="276"/>
      <c r="O193" s="276"/>
    </row>
    <row r="194">
      <c r="A194" s="275"/>
      <c r="B194" s="275"/>
      <c r="C194" s="275"/>
      <c r="D194" s="275"/>
      <c r="E194" s="276"/>
      <c r="F194" s="276"/>
      <c r="G194" s="277"/>
      <c r="H194" s="276"/>
      <c r="I194" s="276"/>
      <c r="J194" s="276"/>
      <c r="K194" s="276"/>
      <c r="L194" s="276"/>
      <c r="M194" s="276"/>
      <c r="N194" s="276"/>
      <c r="O194" s="276"/>
    </row>
    <row r="195">
      <c r="A195" s="275"/>
      <c r="B195" s="275"/>
      <c r="C195" s="275"/>
      <c r="D195" s="275"/>
      <c r="E195" s="276"/>
      <c r="F195" s="276"/>
      <c r="G195" s="277"/>
      <c r="H195" s="276"/>
      <c r="I195" s="276"/>
      <c r="J195" s="276"/>
      <c r="K195" s="276"/>
      <c r="L195" s="276"/>
      <c r="M195" s="276"/>
      <c r="N195" s="276"/>
      <c r="O195" s="276"/>
    </row>
    <row r="196">
      <c r="A196" s="275"/>
      <c r="B196" s="275"/>
      <c r="C196" s="275"/>
      <c r="D196" s="275"/>
      <c r="E196" s="276"/>
      <c r="F196" s="276"/>
      <c r="G196" s="277"/>
      <c r="H196" s="276"/>
      <c r="I196" s="276"/>
      <c r="J196" s="276"/>
      <c r="K196" s="276"/>
      <c r="L196" s="276"/>
      <c r="M196" s="276"/>
      <c r="N196" s="276"/>
      <c r="O196" s="276"/>
    </row>
    <row r="197">
      <c r="A197" s="275"/>
      <c r="B197" s="275"/>
      <c r="C197" s="275"/>
      <c r="D197" s="275"/>
      <c r="E197" s="276"/>
      <c r="F197" s="276"/>
      <c r="G197" s="277"/>
      <c r="H197" s="276"/>
      <c r="I197" s="276"/>
      <c r="J197" s="276"/>
      <c r="K197" s="276"/>
      <c r="L197" s="276"/>
      <c r="M197" s="276"/>
      <c r="N197" s="276"/>
      <c r="O197" s="276"/>
    </row>
    <row r="198">
      <c r="A198" s="275"/>
      <c r="B198" s="275"/>
      <c r="C198" s="275"/>
      <c r="D198" s="275"/>
      <c r="E198" s="276"/>
      <c r="F198" s="276"/>
      <c r="G198" s="277"/>
      <c r="H198" s="276"/>
      <c r="I198" s="276"/>
      <c r="J198" s="276"/>
      <c r="K198" s="276"/>
      <c r="L198" s="276"/>
      <c r="M198" s="276"/>
      <c r="N198" s="276"/>
      <c r="O198" s="276"/>
    </row>
    <row r="199">
      <c r="A199" s="275"/>
      <c r="B199" s="275"/>
      <c r="C199" s="275"/>
      <c r="D199" s="275"/>
      <c r="E199" s="276"/>
      <c r="F199" s="276"/>
      <c r="G199" s="277"/>
      <c r="H199" s="276"/>
      <c r="I199" s="276"/>
      <c r="J199" s="276"/>
      <c r="K199" s="276"/>
      <c r="L199" s="276"/>
      <c r="M199" s="276"/>
      <c r="N199" s="276"/>
      <c r="O199" s="276"/>
    </row>
    <row r="200">
      <c r="A200" s="275"/>
      <c r="B200" s="275"/>
      <c r="C200" s="275"/>
      <c r="D200" s="275"/>
      <c r="E200" s="276"/>
      <c r="F200" s="276"/>
      <c r="G200" s="277"/>
      <c r="H200" s="276"/>
      <c r="I200" s="276"/>
      <c r="J200" s="276"/>
      <c r="K200" s="276"/>
      <c r="L200" s="276"/>
      <c r="M200" s="276"/>
      <c r="N200" s="276"/>
      <c r="O200" s="276"/>
    </row>
    <row r="201">
      <c r="A201" s="275"/>
      <c r="B201" s="275"/>
      <c r="C201" s="275"/>
      <c r="D201" s="275"/>
      <c r="E201" s="276"/>
      <c r="F201" s="276"/>
      <c r="G201" s="277"/>
      <c r="H201" s="276"/>
      <c r="I201" s="276"/>
      <c r="J201" s="276"/>
      <c r="K201" s="276"/>
      <c r="L201" s="276"/>
      <c r="M201" s="276"/>
      <c r="N201" s="276"/>
      <c r="O201" s="276"/>
    </row>
    <row r="202">
      <c r="A202" s="275"/>
      <c r="B202" s="275"/>
      <c r="C202" s="275"/>
      <c r="D202" s="275"/>
      <c r="E202" s="276"/>
      <c r="F202" s="276"/>
      <c r="G202" s="277"/>
      <c r="H202" s="276"/>
      <c r="I202" s="276"/>
      <c r="J202" s="276"/>
      <c r="K202" s="276"/>
      <c r="L202" s="276"/>
      <c r="M202" s="276"/>
      <c r="N202" s="276"/>
      <c r="O202" s="276"/>
    </row>
    <row r="203">
      <c r="A203" s="275"/>
      <c r="B203" s="275"/>
      <c r="C203" s="275"/>
      <c r="D203" s="275"/>
      <c r="E203" s="276"/>
      <c r="F203" s="276"/>
      <c r="G203" s="277"/>
      <c r="H203" s="276"/>
      <c r="I203" s="276"/>
      <c r="J203" s="276"/>
      <c r="K203" s="276"/>
      <c r="L203" s="276"/>
      <c r="M203" s="276"/>
      <c r="N203" s="276"/>
      <c r="O203" s="276"/>
    </row>
    <row r="204">
      <c r="A204" s="275"/>
      <c r="B204" s="275"/>
      <c r="C204" s="275"/>
      <c r="D204" s="275"/>
      <c r="E204" s="276"/>
      <c r="F204" s="276"/>
      <c r="G204" s="277"/>
      <c r="H204" s="276"/>
      <c r="I204" s="276"/>
      <c r="J204" s="276"/>
      <c r="K204" s="276"/>
      <c r="L204" s="276"/>
      <c r="M204" s="276"/>
      <c r="N204" s="276"/>
      <c r="O204" s="276"/>
    </row>
    <row r="205">
      <c r="A205" s="275"/>
      <c r="B205" s="275"/>
      <c r="C205" s="275"/>
      <c r="D205" s="275"/>
      <c r="E205" s="276"/>
      <c r="F205" s="276"/>
      <c r="G205" s="277"/>
      <c r="H205" s="276"/>
      <c r="I205" s="276"/>
      <c r="J205" s="276"/>
      <c r="K205" s="276"/>
      <c r="L205" s="276"/>
      <c r="M205" s="276"/>
      <c r="N205" s="276"/>
      <c r="O205" s="276"/>
    </row>
    <row r="206">
      <c r="A206" s="275"/>
      <c r="B206" s="275"/>
      <c r="C206" s="275"/>
      <c r="D206" s="275"/>
      <c r="E206" s="276"/>
      <c r="F206" s="276"/>
      <c r="G206" s="277"/>
      <c r="H206" s="276"/>
      <c r="I206" s="276"/>
      <c r="J206" s="276"/>
      <c r="K206" s="276"/>
      <c r="L206" s="276"/>
      <c r="M206" s="276"/>
      <c r="N206" s="276"/>
      <c r="O206" s="276"/>
    </row>
    <row r="207">
      <c r="A207" s="275"/>
      <c r="B207" s="275"/>
      <c r="C207" s="275"/>
      <c r="D207" s="275"/>
      <c r="E207" s="276"/>
      <c r="F207" s="276"/>
      <c r="G207" s="277"/>
      <c r="H207" s="276"/>
      <c r="I207" s="276"/>
      <c r="J207" s="276"/>
      <c r="K207" s="276"/>
      <c r="L207" s="276"/>
      <c r="M207" s="276"/>
      <c r="N207" s="276"/>
      <c r="O207" s="276"/>
    </row>
    <row r="208">
      <c r="A208" s="275"/>
      <c r="B208" s="275"/>
      <c r="C208" s="275"/>
      <c r="D208" s="275"/>
      <c r="E208" s="276"/>
      <c r="F208" s="276"/>
      <c r="G208" s="277"/>
      <c r="H208" s="276"/>
      <c r="I208" s="276"/>
      <c r="J208" s="276"/>
      <c r="K208" s="276"/>
      <c r="L208" s="276"/>
      <c r="M208" s="276"/>
      <c r="N208" s="276"/>
      <c r="O208" s="276"/>
    </row>
    <row r="209">
      <c r="A209" s="275"/>
      <c r="B209" s="275"/>
      <c r="C209" s="275"/>
      <c r="D209" s="275"/>
      <c r="E209" s="276"/>
      <c r="F209" s="276"/>
      <c r="G209" s="277"/>
      <c r="H209" s="276"/>
      <c r="I209" s="276"/>
      <c r="J209" s="276"/>
      <c r="K209" s="276"/>
      <c r="L209" s="276"/>
      <c r="M209" s="276"/>
      <c r="N209" s="276"/>
      <c r="O209" s="276"/>
    </row>
    <row r="210">
      <c r="A210" s="275"/>
      <c r="B210" s="275"/>
      <c r="C210" s="275"/>
      <c r="D210" s="275"/>
      <c r="E210" s="276"/>
      <c r="F210" s="276"/>
      <c r="G210" s="277"/>
      <c r="H210" s="276"/>
      <c r="I210" s="276"/>
      <c r="J210" s="276"/>
      <c r="K210" s="276"/>
      <c r="L210" s="276"/>
      <c r="M210" s="276"/>
      <c r="N210" s="276"/>
      <c r="O210" s="276"/>
    </row>
    <row r="211">
      <c r="A211" s="275"/>
      <c r="B211" s="275"/>
      <c r="C211" s="275"/>
      <c r="D211" s="275"/>
      <c r="E211" s="276"/>
      <c r="F211" s="276"/>
      <c r="G211" s="277"/>
      <c r="H211" s="276"/>
      <c r="I211" s="276"/>
      <c r="J211" s="276"/>
      <c r="K211" s="276"/>
      <c r="L211" s="276"/>
      <c r="M211" s="276"/>
      <c r="N211" s="276"/>
      <c r="O211" s="276"/>
    </row>
    <row r="212">
      <c r="A212" s="275"/>
      <c r="B212" s="275"/>
      <c r="C212" s="275"/>
      <c r="D212" s="275"/>
      <c r="E212" s="276"/>
      <c r="F212" s="276"/>
      <c r="G212" s="277"/>
      <c r="H212" s="276"/>
      <c r="I212" s="276"/>
      <c r="J212" s="276"/>
      <c r="K212" s="276"/>
      <c r="L212" s="276"/>
      <c r="M212" s="276"/>
      <c r="N212" s="276"/>
      <c r="O212" s="276"/>
    </row>
    <row r="213">
      <c r="A213" s="275"/>
      <c r="B213" s="275"/>
      <c r="C213" s="275"/>
      <c r="D213" s="275"/>
      <c r="E213" s="276"/>
      <c r="F213" s="276"/>
      <c r="G213" s="277"/>
      <c r="H213" s="276"/>
      <c r="I213" s="276"/>
      <c r="J213" s="276"/>
      <c r="K213" s="276"/>
      <c r="L213" s="276"/>
      <c r="M213" s="276"/>
      <c r="N213" s="276"/>
      <c r="O213" s="276"/>
    </row>
    <row r="214">
      <c r="A214" s="275"/>
      <c r="B214" s="275"/>
      <c r="C214" s="275"/>
      <c r="D214" s="275"/>
      <c r="E214" s="276"/>
      <c r="F214" s="276"/>
      <c r="G214" s="277"/>
      <c r="H214" s="276"/>
      <c r="I214" s="276"/>
      <c r="J214" s="276"/>
      <c r="K214" s="276"/>
      <c r="L214" s="276"/>
      <c r="M214" s="276"/>
      <c r="N214" s="276"/>
      <c r="O214" s="276"/>
    </row>
    <row r="215">
      <c r="A215" s="275"/>
      <c r="B215" s="275"/>
      <c r="C215" s="275"/>
      <c r="D215" s="275"/>
      <c r="E215" s="276"/>
      <c r="F215" s="276"/>
      <c r="G215" s="277"/>
      <c r="H215" s="276"/>
      <c r="I215" s="276"/>
      <c r="J215" s="276"/>
      <c r="K215" s="276"/>
      <c r="L215" s="276"/>
      <c r="M215" s="276"/>
      <c r="N215" s="276"/>
      <c r="O215" s="276"/>
    </row>
    <row r="216">
      <c r="A216" s="275"/>
      <c r="B216" s="275"/>
      <c r="C216" s="275"/>
      <c r="D216" s="275"/>
      <c r="E216" s="276"/>
      <c r="F216" s="276"/>
      <c r="G216" s="277"/>
      <c r="H216" s="276"/>
      <c r="I216" s="276"/>
      <c r="J216" s="276"/>
      <c r="K216" s="276"/>
      <c r="L216" s="276"/>
      <c r="M216" s="276"/>
      <c r="N216" s="276"/>
      <c r="O216" s="276"/>
    </row>
    <row r="217">
      <c r="A217" s="275"/>
      <c r="B217" s="275"/>
      <c r="C217" s="275"/>
      <c r="D217" s="275"/>
      <c r="E217" s="276"/>
      <c r="F217" s="276"/>
      <c r="G217" s="277"/>
      <c r="H217" s="276"/>
      <c r="I217" s="276"/>
      <c r="J217" s="276"/>
      <c r="K217" s="276"/>
      <c r="L217" s="276"/>
      <c r="M217" s="276"/>
      <c r="N217" s="276"/>
      <c r="O217" s="276"/>
    </row>
    <row r="218">
      <c r="A218" s="275"/>
      <c r="B218" s="275"/>
      <c r="C218" s="275"/>
      <c r="D218" s="275"/>
      <c r="E218" s="276"/>
      <c r="F218" s="276"/>
      <c r="G218" s="277"/>
      <c r="H218" s="276"/>
      <c r="I218" s="276"/>
      <c r="J218" s="276"/>
      <c r="K218" s="276"/>
      <c r="L218" s="276"/>
      <c r="M218" s="276"/>
      <c r="N218" s="276"/>
      <c r="O218" s="276"/>
    </row>
    <row r="219">
      <c r="A219" s="275"/>
      <c r="B219" s="275"/>
      <c r="C219" s="275"/>
      <c r="D219" s="275"/>
      <c r="E219" s="276"/>
      <c r="F219" s="276"/>
      <c r="G219" s="277"/>
      <c r="H219" s="276"/>
      <c r="I219" s="276"/>
      <c r="J219" s="276"/>
      <c r="K219" s="276"/>
      <c r="L219" s="276"/>
      <c r="M219" s="276"/>
      <c r="N219" s="276"/>
      <c r="O219" s="276"/>
    </row>
    <row r="220">
      <c r="A220" s="275"/>
      <c r="B220" s="275"/>
      <c r="C220" s="275"/>
      <c r="D220" s="275"/>
      <c r="E220" s="276"/>
      <c r="F220" s="276"/>
      <c r="G220" s="277"/>
      <c r="H220" s="276"/>
      <c r="I220" s="276"/>
      <c r="J220" s="276"/>
      <c r="K220" s="276"/>
      <c r="L220" s="276"/>
      <c r="M220" s="276"/>
      <c r="N220" s="276"/>
      <c r="O220" s="276"/>
    </row>
    <row r="221">
      <c r="A221" s="275"/>
      <c r="B221" s="275"/>
      <c r="C221" s="275"/>
      <c r="D221" s="275"/>
      <c r="E221" s="276"/>
      <c r="F221" s="276"/>
      <c r="G221" s="277"/>
      <c r="H221" s="276"/>
      <c r="I221" s="276"/>
      <c r="J221" s="276"/>
      <c r="K221" s="276"/>
      <c r="L221" s="276"/>
      <c r="M221" s="276"/>
      <c r="N221" s="276"/>
      <c r="O221" s="276"/>
    </row>
    <row r="222">
      <c r="A222" s="275"/>
      <c r="B222" s="275"/>
      <c r="C222" s="275"/>
      <c r="D222" s="275"/>
      <c r="E222" s="276"/>
      <c r="F222" s="276"/>
      <c r="G222" s="277"/>
      <c r="H222" s="276"/>
      <c r="I222" s="276"/>
      <c r="J222" s="276"/>
      <c r="K222" s="276"/>
      <c r="L222" s="276"/>
      <c r="M222" s="276"/>
      <c r="N222" s="276"/>
      <c r="O222" s="276"/>
    </row>
    <row r="223">
      <c r="A223" s="275"/>
      <c r="B223" s="275"/>
      <c r="C223" s="275"/>
      <c r="D223" s="275"/>
      <c r="E223" s="276"/>
      <c r="F223" s="276"/>
      <c r="G223" s="277"/>
      <c r="H223" s="276"/>
      <c r="I223" s="276"/>
      <c r="J223" s="276"/>
      <c r="K223" s="276"/>
      <c r="L223" s="276"/>
      <c r="M223" s="276"/>
      <c r="N223" s="276"/>
      <c r="O223" s="276"/>
    </row>
    <row r="224">
      <c r="A224" s="275"/>
      <c r="B224" s="275"/>
      <c r="C224" s="275"/>
      <c r="D224" s="275"/>
      <c r="E224" s="276"/>
      <c r="F224" s="276"/>
      <c r="G224" s="277"/>
      <c r="H224" s="276"/>
      <c r="I224" s="276"/>
      <c r="J224" s="276"/>
      <c r="K224" s="276"/>
      <c r="L224" s="276"/>
      <c r="M224" s="276"/>
      <c r="N224" s="276"/>
      <c r="O224" s="276"/>
    </row>
    <row r="225">
      <c r="A225" s="275"/>
      <c r="B225" s="275"/>
      <c r="C225" s="275"/>
      <c r="D225" s="275"/>
      <c r="E225" s="276"/>
      <c r="F225" s="276"/>
      <c r="G225" s="277"/>
      <c r="H225" s="276"/>
      <c r="I225" s="276"/>
      <c r="J225" s="276"/>
      <c r="K225" s="276"/>
      <c r="L225" s="276"/>
      <c r="M225" s="276"/>
      <c r="N225" s="276"/>
      <c r="O225" s="276"/>
    </row>
    <row r="226">
      <c r="A226" s="275"/>
      <c r="B226" s="275"/>
      <c r="C226" s="275"/>
      <c r="D226" s="275"/>
      <c r="E226" s="276"/>
      <c r="F226" s="276"/>
      <c r="G226" s="277"/>
      <c r="H226" s="276"/>
      <c r="I226" s="276"/>
      <c r="J226" s="276"/>
      <c r="K226" s="276"/>
      <c r="L226" s="276"/>
      <c r="M226" s="276"/>
      <c r="N226" s="276"/>
      <c r="O226" s="276"/>
    </row>
    <row r="227">
      <c r="A227" s="275"/>
      <c r="B227" s="275"/>
      <c r="C227" s="275"/>
      <c r="D227" s="275"/>
      <c r="E227" s="276"/>
      <c r="F227" s="276"/>
      <c r="G227" s="277"/>
      <c r="H227" s="276"/>
      <c r="I227" s="276"/>
      <c r="J227" s="276"/>
      <c r="K227" s="276"/>
      <c r="L227" s="276"/>
      <c r="M227" s="276"/>
      <c r="N227" s="276"/>
      <c r="O227" s="276"/>
    </row>
    <row r="228">
      <c r="A228" s="275"/>
      <c r="B228" s="275"/>
      <c r="C228" s="275"/>
      <c r="D228" s="275"/>
      <c r="E228" s="276"/>
      <c r="F228" s="276"/>
      <c r="G228" s="277"/>
      <c r="H228" s="276"/>
      <c r="I228" s="276"/>
      <c r="J228" s="276"/>
      <c r="K228" s="276"/>
      <c r="L228" s="276"/>
      <c r="M228" s="276"/>
      <c r="N228" s="276"/>
      <c r="O228" s="276"/>
    </row>
    <row r="229">
      <c r="A229" s="275"/>
      <c r="B229" s="275"/>
      <c r="C229" s="275"/>
      <c r="D229" s="275"/>
      <c r="E229" s="276"/>
      <c r="F229" s="276"/>
      <c r="G229" s="277"/>
      <c r="H229" s="276"/>
      <c r="I229" s="276"/>
      <c r="J229" s="276"/>
      <c r="K229" s="276"/>
      <c r="L229" s="276"/>
      <c r="M229" s="276"/>
      <c r="N229" s="276"/>
      <c r="O229" s="276"/>
    </row>
    <row r="230">
      <c r="A230" s="275"/>
      <c r="B230" s="275"/>
      <c r="C230" s="275"/>
      <c r="D230" s="275"/>
      <c r="E230" s="276"/>
      <c r="F230" s="276"/>
      <c r="G230" s="277"/>
      <c r="H230" s="276"/>
      <c r="I230" s="276"/>
      <c r="J230" s="276"/>
      <c r="K230" s="276"/>
      <c r="L230" s="276"/>
      <c r="M230" s="276"/>
      <c r="N230" s="276"/>
      <c r="O230" s="276"/>
    </row>
    <row r="231">
      <c r="A231" s="275"/>
      <c r="B231" s="275"/>
      <c r="C231" s="275"/>
      <c r="D231" s="275"/>
      <c r="E231" s="276"/>
      <c r="F231" s="276"/>
      <c r="G231" s="277"/>
      <c r="H231" s="276"/>
      <c r="I231" s="276"/>
      <c r="J231" s="276"/>
      <c r="K231" s="276"/>
      <c r="L231" s="276"/>
      <c r="M231" s="276"/>
      <c r="N231" s="276"/>
      <c r="O231" s="276"/>
    </row>
    <row r="232">
      <c r="A232" s="275"/>
      <c r="B232" s="275"/>
      <c r="C232" s="275"/>
      <c r="D232" s="275"/>
      <c r="E232" s="276"/>
      <c r="F232" s="276"/>
      <c r="G232" s="277"/>
      <c r="H232" s="276"/>
      <c r="I232" s="276"/>
      <c r="J232" s="276"/>
      <c r="K232" s="276"/>
      <c r="L232" s="276"/>
      <c r="M232" s="276"/>
      <c r="N232" s="276"/>
      <c r="O232" s="276"/>
    </row>
    <row r="233">
      <c r="A233" s="275"/>
      <c r="B233" s="275"/>
      <c r="C233" s="275"/>
      <c r="D233" s="275"/>
      <c r="E233" s="276"/>
      <c r="F233" s="276"/>
      <c r="G233" s="277"/>
      <c r="H233" s="276"/>
      <c r="I233" s="276"/>
      <c r="J233" s="276"/>
      <c r="K233" s="276"/>
      <c r="L233" s="276"/>
      <c r="M233" s="276"/>
      <c r="N233" s="276"/>
      <c r="O233" s="276"/>
    </row>
    <row r="234">
      <c r="A234" s="275"/>
      <c r="B234" s="275"/>
      <c r="C234" s="275"/>
      <c r="D234" s="275"/>
      <c r="E234" s="276"/>
      <c r="F234" s="276"/>
      <c r="G234" s="277"/>
      <c r="H234" s="276"/>
      <c r="I234" s="276"/>
      <c r="J234" s="276"/>
      <c r="K234" s="276"/>
      <c r="L234" s="276"/>
      <c r="M234" s="276"/>
      <c r="N234" s="276"/>
      <c r="O234" s="276"/>
    </row>
    <row r="235">
      <c r="A235" s="275"/>
      <c r="B235" s="275"/>
      <c r="C235" s="275"/>
      <c r="D235" s="275"/>
      <c r="E235" s="276"/>
      <c r="F235" s="276"/>
      <c r="G235" s="277"/>
      <c r="H235" s="276"/>
      <c r="I235" s="276"/>
      <c r="J235" s="276"/>
      <c r="K235" s="276"/>
      <c r="L235" s="276"/>
      <c r="M235" s="276"/>
      <c r="N235" s="276"/>
      <c r="O235" s="276"/>
    </row>
    <row r="236">
      <c r="A236" s="275"/>
      <c r="B236" s="275"/>
      <c r="C236" s="275"/>
      <c r="D236" s="275"/>
      <c r="E236" s="276"/>
      <c r="F236" s="276"/>
      <c r="G236" s="277"/>
      <c r="H236" s="276"/>
      <c r="I236" s="276"/>
      <c r="J236" s="276"/>
      <c r="K236" s="276"/>
      <c r="L236" s="276"/>
      <c r="M236" s="276"/>
      <c r="N236" s="276"/>
      <c r="O236" s="276"/>
    </row>
    <row r="237">
      <c r="A237" s="275"/>
      <c r="B237" s="275"/>
      <c r="C237" s="275"/>
      <c r="D237" s="275"/>
      <c r="E237" s="276"/>
      <c r="F237" s="276"/>
      <c r="G237" s="277"/>
      <c r="H237" s="276"/>
      <c r="I237" s="276"/>
      <c r="J237" s="276"/>
      <c r="K237" s="276"/>
      <c r="L237" s="276"/>
      <c r="M237" s="276"/>
      <c r="N237" s="276"/>
      <c r="O237" s="276"/>
    </row>
    <row r="238">
      <c r="A238" s="275"/>
      <c r="B238" s="275"/>
      <c r="C238" s="275"/>
      <c r="D238" s="275"/>
      <c r="E238" s="276"/>
      <c r="F238" s="276"/>
      <c r="G238" s="277"/>
      <c r="H238" s="276"/>
      <c r="I238" s="276"/>
      <c r="J238" s="276"/>
      <c r="K238" s="276"/>
      <c r="L238" s="276"/>
      <c r="M238" s="276"/>
      <c r="N238" s="276"/>
      <c r="O238" s="276"/>
    </row>
    <row r="239">
      <c r="A239" s="275"/>
      <c r="B239" s="275"/>
      <c r="C239" s="275"/>
      <c r="D239" s="275"/>
      <c r="E239" s="276"/>
      <c r="F239" s="276"/>
      <c r="G239" s="277"/>
      <c r="H239" s="276"/>
      <c r="I239" s="276"/>
      <c r="J239" s="276"/>
      <c r="K239" s="276"/>
      <c r="L239" s="276"/>
      <c r="M239" s="276"/>
      <c r="N239" s="276"/>
      <c r="O239" s="276"/>
    </row>
    <row r="240">
      <c r="A240" s="275"/>
      <c r="B240" s="275"/>
      <c r="C240" s="275"/>
      <c r="D240" s="275"/>
      <c r="E240" s="276"/>
      <c r="F240" s="276"/>
      <c r="G240" s="277"/>
      <c r="H240" s="276"/>
      <c r="I240" s="276"/>
      <c r="J240" s="276"/>
      <c r="K240" s="276"/>
      <c r="L240" s="276"/>
      <c r="M240" s="276"/>
      <c r="N240" s="276"/>
      <c r="O240" s="276"/>
    </row>
    <row r="241">
      <c r="A241" s="275"/>
      <c r="B241" s="275"/>
      <c r="C241" s="275"/>
      <c r="D241" s="275"/>
      <c r="E241" s="276"/>
      <c r="F241" s="276"/>
      <c r="G241" s="277"/>
      <c r="H241" s="276"/>
      <c r="I241" s="276"/>
      <c r="J241" s="276"/>
      <c r="K241" s="276"/>
      <c r="L241" s="276"/>
      <c r="M241" s="276"/>
      <c r="N241" s="276"/>
      <c r="O241" s="276"/>
    </row>
    <row r="242">
      <c r="A242" s="275"/>
      <c r="B242" s="275"/>
      <c r="C242" s="275"/>
      <c r="D242" s="275"/>
      <c r="E242" s="276"/>
      <c r="F242" s="276"/>
      <c r="G242" s="277"/>
      <c r="H242" s="276"/>
      <c r="I242" s="276"/>
      <c r="J242" s="276"/>
      <c r="K242" s="276"/>
      <c r="L242" s="276"/>
      <c r="M242" s="276"/>
      <c r="N242" s="276"/>
      <c r="O242" s="276"/>
    </row>
    <row r="243">
      <c r="A243" s="275"/>
      <c r="B243" s="275"/>
      <c r="C243" s="275"/>
      <c r="D243" s="275"/>
      <c r="E243" s="276"/>
      <c r="F243" s="276"/>
      <c r="G243" s="277"/>
      <c r="H243" s="276"/>
      <c r="I243" s="276"/>
      <c r="J243" s="276"/>
      <c r="K243" s="276"/>
      <c r="L243" s="276"/>
      <c r="M243" s="276"/>
      <c r="N243" s="276"/>
      <c r="O243" s="276"/>
    </row>
    <row r="244">
      <c r="A244" s="275"/>
      <c r="B244" s="275"/>
      <c r="C244" s="275"/>
      <c r="D244" s="275"/>
      <c r="E244" s="276"/>
      <c r="F244" s="276"/>
      <c r="G244" s="277"/>
      <c r="H244" s="276"/>
      <c r="I244" s="276"/>
      <c r="J244" s="276"/>
      <c r="K244" s="276"/>
      <c r="L244" s="276"/>
      <c r="M244" s="276"/>
      <c r="N244" s="276"/>
      <c r="O244" s="276"/>
    </row>
    <row r="245">
      <c r="A245" s="275"/>
      <c r="B245" s="275"/>
      <c r="C245" s="275"/>
      <c r="D245" s="275"/>
      <c r="E245" s="276"/>
      <c r="F245" s="276"/>
      <c r="G245" s="277"/>
      <c r="H245" s="276"/>
      <c r="I245" s="276"/>
      <c r="J245" s="276"/>
      <c r="K245" s="276"/>
      <c r="L245" s="276"/>
      <c r="M245" s="276"/>
      <c r="N245" s="276"/>
      <c r="O245" s="276"/>
    </row>
    <row r="246">
      <c r="A246" s="275"/>
      <c r="B246" s="275"/>
      <c r="C246" s="275"/>
      <c r="D246" s="275"/>
      <c r="E246" s="276"/>
      <c r="F246" s="276"/>
      <c r="G246" s="277"/>
      <c r="H246" s="276"/>
      <c r="I246" s="276"/>
      <c r="J246" s="276"/>
      <c r="K246" s="276"/>
      <c r="L246" s="276"/>
      <c r="M246" s="276"/>
      <c r="N246" s="276"/>
      <c r="O246" s="276"/>
    </row>
    <row r="247">
      <c r="A247" s="275"/>
      <c r="B247" s="275"/>
      <c r="C247" s="275"/>
      <c r="D247" s="275"/>
      <c r="E247" s="276"/>
      <c r="F247" s="276"/>
      <c r="G247" s="277"/>
      <c r="H247" s="276"/>
      <c r="I247" s="276"/>
      <c r="J247" s="276"/>
      <c r="K247" s="276"/>
      <c r="L247" s="276"/>
      <c r="M247" s="276"/>
      <c r="N247" s="276"/>
      <c r="O247" s="276"/>
    </row>
    <row r="248">
      <c r="A248" s="275"/>
      <c r="B248" s="275"/>
      <c r="C248" s="275"/>
      <c r="D248" s="275"/>
      <c r="E248" s="276"/>
      <c r="F248" s="276"/>
      <c r="G248" s="277"/>
      <c r="H248" s="276"/>
      <c r="I248" s="276"/>
      <c r="J248" s="276"/>
      <c r="K248" s="276"/>
      <c r="L248" s="276"/>
      <c r="M248" s="276"/>
      <c r="N248" s="276"/>
      <c r="O248" s="276"/>
    </row>
    <row r="249">
      <c r="A249" s="275"/>
      <c r="B249" s="275"/>
      <c r="C249" s="275"/>
      <c r="D249" s="275"/>
      <c r="E249" s="276"/>
      <c r="F249" s="276"/>
      <c r="G249" s="277"/>
      <c r="H249" s="276"/>
      <c r="I249" s="276"/>
      <c r="J249" s="276"/>
      <c r="K249" s="276"/>
      <c r="L249" s="276"/>
      <c r="M249" s="276"/>
      <c r="N249" s="276"/>
      <c r="O249" s="276"/>
    </row>
    <row r="250">
      <c r="A250" s="275"/>
      <c r="B250" s="275"/>
      <c r="C250" s="275"/>
      <c r="D250" s="275"/>
      <c r="E250" s="276"/>
      <c r="F250" s="276"/>
      <c r="G250" s="277"/>
      <c r="H250" s="276"/>
      <c r="I250" s="276"/>
      <c r="J250" s="276"/>
      <c r="K250" s="276"/>
      <c r="L250" s="276"/>
      <c r="M250" s="276"/>
      <c r="N250" s="276"/>
      <c r="O250" s="276"/>
    </row>
    <row r="251">
      <c r="A251" s="275"/>
      <c r="B251" s="275"/>
      <c r="C251" s="275"/>
      <c r="D251" s="275"/>
      <c r="E251" s="276"/>
      <c r="F251" s="276"/>
      <c r="G251" s="277"/>
      <c r="H251" s="276"/>
      <c r="I251" s="276"/>
      <c r="J251" s="276"/>
      <c r="K251" s="276"/>
      <c r="L251" s="276"/>
      <c r="M251" s="276"/>
      <c r="N251" s="276"/>
      <c r="O251" s="276"/>
    </row>
    <row r="252">
      <c r="A252" s="275"/>
      <c r="B252" s="275"/>
      <c r="C252" s="275"/>
      <c r="D252" s="275"/>
      <c r="E252" s="276"/>
      <c r="F252" s="276"/>
      <c r="G252" s="277"/>
      <c r="H252" s="276"/>
      <c r="I252" s="276"/>
      <c r="J252" s="276"/>
      <c r="K252" s="276"/>
      <c r="L252" s="276"/>
      <c r="M252" s="276"/>
      <c r="N252" s="276"/>
      <c r="O252" s="276"/>
    </row>
    <row r="253">
      <c r="A253" s="275"/>
      <c r="B253" s="275"/>
      <c r="C253" s="275"/>
      <c r="D253" s="275"/>
      <c r="E253" s="276"/>
      <c r="F253" s="276"/>
      <c r="G253" s="277"/>
      <c r="H253" s="276"/>
      <c r="I253" s="276"/>
      <c r="J253" s="276"/>
      <c r="K253" s="276"/>
      <c r="L253" s="276"/>
      <c r="M253" s="276"/>
      <c r="N253" s="276"/>
      <c r="O253" s="276"/>
    </row>
    <row r="254">
      <c r="A254" s="275"/>
      <c r="B254" s="275"/>
      <c r="C254" s="275"/>
      <c r="D254" s="275"/>
      <c r="E254" s="276"/>
      <c r="F254" s="276"/>
      <c r="G254" s="277"/>
      <c r="H254" s="276"/>
      <c r="I254" s="276"/>
      <c r="J254" s="276"/>
      <c r="K254" s="276"/>
      <c r="L254" s="276"/>
      <c r="M254" s="276"/>
      <c r="N254" s="276"/>
      <c r="O254" s="276"/>
    </row>
    <row r="255">
      <c r="A255" s="275"/>
      <c r="B255" s="275"/>
      <c r="C255" s="275"/>
      <c r="D255" s="275"/>
      <c r="E255" s="276"/>
      <c r="F255" s="276"/>
      <c r="G255" s="277"/>
      <c r="H255" s="276"/>
      <c r="I255" s="276"/>
      <c r="J255" s="276"/>
      <c r="K255" s="276"/>
      <c r="L255" s="276"/>
      <c r="M255" s="276"/>
      <c r="N255" s="276"/>
      <c r="O255" s="276"/>
    </row>
    <row r="256">
      <c r="A256" s="275"/>
      <c r="B256" s="275"/>
      <c r="C256" s="275"/>
      <c r="D256" s="275"/>
      <c r="E256" s="276"/>
      <c r="F256" s="276"/>
      <c r="G256" s="277"/>
      <c r="H256" s="276"/>
      <c r="I256" s="276"/>
      <c r="J256" s="276"/>
      <c r="K256" s="276"/>
      <c r="L256" s="276"/>
      <c r="M256" s="276"/>
      <c r="N256" s="276"/>
      <c r="O256" s="276"/>
    </row>
    <row r="257">
      <c r="A257" s="275"/>
      <c r="B257" s="275"/>
      <c r="C257" s="275"/>
      <c r="D257" s="275"/>
      <c r="E257" s="276"/>
      <c r="F257" s="276"/>
      <c r="G257" s="277"/>
      <c r="H257" s="276"/>
      <c r="I257" s="276"/>
      <c r="J257" s="276"/>
      <c r="K257" s="276"/>
      <c r="L257" s="276"/>
      <c r="M257" s="276"/>
      <c r="N257" s="276"/>
      <c r="O257" s="276"/>
    </row>
    <row r="258">
      <c r="A258" s="275"/>
      <c r="B258" s="275"/>
      <c r="C258" s="275"/>
      <c r="D258" s="275"/>
      <c r="E258" s="276"/>
      <c r="F258" s="276"/>
      <c r="G258" s="277"/>
      <c r="H258" s="276"/>
      <c r="I258" s="276"/>
      <c r="J258" s="276"/>
      <c r="K258" s="276"/>
      <c r="L258" s="276"/>
      <c r="M258" s="276"/>
      <c r="N258" s="276"/>
      <c r="O258" s="276"/>
    </row>
    <row r="259">
      <c r="A259" s="275"/>
      <c r="B259" s="275"/>
      <c r="C259" s="275"/>
      <c r="D259" s="275"/>
      <c r="E259" s="276"/>
      <c r="F259" s="276"/>
      <c r="G259" s="277"/>
      <c r="H259" s="276"/>
      <c r="I259" s="276"/>
      <c r="J259" s="276"/>
      <c r="K259" s="276"/>
      <c r="L259" s="276"/>
      <c r="M259" s="276"/>
      <c r="N259" s="276"/>
      <c r="O259" s="276"/>
    </row>
    <row r="260">
      <c r="A260" s="275"/>
      <c r="B260" s="275"/>
      <c r="C260" s="275"/>
      <c r="D260" s="275"/>
      <c r="E260" s="276"/>
      <c r="F260" s="276"/>
      <c r="G260" s="277"/>
      <c r="H260" s="276"/>
      <c r="I260" s="276"/>
      <c r="J260" s="276"/>
      <c r="K260" s="276"/>
      <c r="L260" s="276"/>
      <c r="M260" s="276"/>
      <c r="N260" s="276"/>
      <c r="O260" s="276"/>
    </row>
    <row r="261">
      <c r="A261" s="275"/>
      <c r="B261" s="275"/>
      <c r="C261" s="275"/>
      <c r="D261" s="275"/>
      <c r="E261" s="276"/>
      <c r="F261" s="276"/>
      <c r="G261" s="277"/>
      <c r="H261" s="276"/>
      <c r="I261" s="276"/>
      <c r="J261" s="276"/>
      <c r="K261" s="276"/>
      <c r="L261" s="276"/>
      <c r="M261" s="276"/>
      <c r="N261" s="276"/>
      <c r="O261" s="276"/>
    </row>
    <row r="262">
      <c r="A262" s="275"/>
      <c r="B262" s="275"/>
      <c r="C262" s="275"/>
      <c r="D262" s="275"/>
      <c r="E262" s="276"/>
      <c r="F262" s="276"/>
      <c r="G262" s="277"/>
      <c r="H262" s="276"/>
      <c r="I262" s="276"/>
      <c r="J262" s="276"/>
      <c r="K262" s="276"/>
      <c r="L262" s="276"/>
      <c r="M262" s="276"/>
      <c r="N262" s="276"/>
      <c r="O262" s="276"/>
    </row>
    <row r="263">
      <c r="A263" s="275"/>
      <c r="B263" s="275"/>
      <c r="C263" s="275"/>
      <c r="D263" s="275"/>
      <c r="E263" s="276"/>
      <c r="F263" s="276"/>
      <c r="G263" s="277"/>
      <c r="H263" s="276"/>
      <c r="I263" s="276"/>
      <c r="J263" s="276"/>
      <c r="K263" s="276"/>
      <c r="L263" s="276"/>
      <c r="M263" s="276"/>
      <c r="N263" s="276"/>
      <c r="O263" s="276"/>
    </row>
    <row r="264">
      <c r="A264" s="275"/>
      <c r="B264" s="275"/>
      <c r="C264" s="275"/>
      <c r="D264" s="275"/>
      <c r="E264" s="276"/>
      <c r="F264" s="276"/>
      <c r="G264" s="277"/>
      <c r="H264" s="276"/>
      <c r="I264" s="276"/>
      <c r="J264" s="276"/>
      <c r="K264" s="276"/>
      <c r="L264" s="276"/>
      <c r="M264" s="276"/>
      <c r="N264" s="276"/>
      <c r="O264" s="276"/>
    </row>
    <row r="265">
      <c r="A265" s="275"/>
      <c r="B265" s="275"/>
      <c r="C265" s="275"/>
      <c r="D265" s="275"/>
      <c r="E265" s="276"/>
      <c r="F265" s="276"/>
      <c r="G265" s="277"/>
      <c r="H265" s="276"/>
      <c r="I265" s="276"/>
      <c r="J265" s="276"/>
      <c r="K265" s="276"/>
      <c r="L265" s="276"/>
      <c r="M265" s="276"/>
      <c r="N265" s="276"/>
      <c r="O265" s="276"/>
    </row>
    <row r="266">
      <c r="A266" s="275"/>
      <c r="B266" s="275"/>
      <c r="C266" s="275"/>
      <c r="D266" s="275"/>
      <c r="E266" s="276"/>
      <c r="F266" s="276"/>
      <c r="G266" s="277"/>
      <c r="H266" s="276"/>
      <c r="I266" s="276"/>
      <c r="J266" s="276"/>
      <c r="K266" s="276"/>
      <c r="L266" s="276"/>
      <c r="M266" s="276"/>
      <c r="N266" s="276"/>
      <c r="O266" s="276"/>
    </row>
    <row r="267">
      <c r="A267" s="275"/>
      <c r="B267" s="275"/>
      <c r="C267" s="275"/>
      <c r="D267" s="275"/>
      <c r="E267" s="276"/>
      <c r="F267" s="276"/>
      <c r="G267" s="277"/>
      <c r="H267" s="276"/>
      <c r="I267" s="276"/>
      <c r="J267" s="276"/>
      <c r="K267" s="276"/>
      <c r="L267" s="276"/>
      <c r="M267" s="276"/>
      <c r="N267" s="276"/>
      <c r="O267" s="276"/>
    </row>
    <row r="268">
      <c r="A268" s="275"/>
      <c r="B268" s="275"/>
      <c r="C268" s="275"/>
      <c r="D268" s="275"/>
      <c r="E268" s="276"/>
      <c r="F268" s="276"/>
      <c r="G268" s="277"/>
      <c r="H268" s="276"/>
      <c r="I268" s="276"/>
      <c r="J268" s="276"/>
      <c r="K268" s="276"/>
      <c r="L268" s="276"/>
      <c r="M268" s="276"/>
      <c r="N268" s="276"/>
      <c r="O268" s="276"/>
    </row>
    <row r="269">
      <c r="A269" s="275"/>
      <c r="B269" s="275"/>
      <c r="C269" s="275"/>
      <c r="D269" s="275"/>
      <c r="E269" s="276"/>
      <c r="F269" s="276"/>
      <c r="G269" s="277"/>
      <c r="H269" s="276"/>
      <c r="I269" s="276"/>
      <c r="J269" s="276"/>
      <c r="K269" s="276"/>
      <c r="L269" s="276"/>
      <c r="M269" s="276"/>
      <c r="N269" s="276"/>
      <c r="O269" s="276"/>
    </row>
    <row r="270">
      <c r="A270" s="275"/>
      <c r="B270" s="275"/>
      <c r="C270" s="275"/>
      <c r="D270" s="275"/>
      <c r="E270" s="276"/>
      <c r="F270" s="276"/>
      <c r="G270" s="277"/>
      <c r="H270" s="276"/>
      <c r="I270" s="276"/>
      <c r="J270" s="276"/>
      <c r="K270" s="276"/>
      <c r="L270" s="276"/>
      <c r="M270" s="276"/>
      <c r="N270" s="276"/>
      <c r="O270" s="276"/>
    </row>
    <row r="271">
      <c r="A271" s="275"/>
      <c r="B271" s="275"/>
      <c r="C271" s="275"/>
      <c r="D271" s="275"/>
      <c r="E271" s="276"/>
      <c r="F271" s="276"/>
      <c r="G271" s="277"/>
      <c r="H271" s="276"/>
      <c r="I271" s="276"/>
      <c r="J271" s="276"/>
      <c r="K271" s="276"/>
      <c r="L271" s="276"/>
      <c r="M271" s="276"/>
      <c r="N271" s="276"/>
      <c r="O271" s="276"/>
    </row>
    <row r="272">
      <c r="A272" s="275"/>
      <c r="B272" s="275"/>
      <c r="C272" s="275"/>
      <c r="D272" s="275"/>
      <c r="E272" s="276"/>
      <c r="F272" s="276"/>
      <c r="G272" s="277"/>
      <c r="H272" s="276"/>
      <c r="I272" s="276"/>
      <c r="J272" s="276"/>
      <c r="K272" s="276"/>
      <c r="L272" s="276"/>
      <c r="M272" s="276"/>
      <c r="N272" s="276"/>
      <c r="O272" s="276"/>
    </row>
    <row r="273">
      <c r="A273" s="275"/>
      <c r="B273" s="275"/>
      <c r="C273" s="275"/>
      <c r="D273" s="275"/>
      <c r="E273" s="276"/>
      <c r="F273" s="276"/>
      <c r="G273" s="277"/>
      <c r="H273" s="276"/>
      <c r="I273" s="276"/>
      <c r="J273" s="276"/>
      <c r="K273" s="276"/>
      <c r="L273" s="276"/>
      <c r="M273" s="276"/>
      <c r="N273" s="276"/>
      <c r="O273" s="276"/>
    </row>
    <row r="274">
      <c r="A274" s="275"/>
      <c r="B274" s="275"/>
      <c r="C274" s="275"/>
      <c r="D274" s="275"/>
      <c r="E274" s="276"/>
      <c r="F274" s="276"/>
      <c r="G274" s="277"/>
      <c r="H274" s="276"/>
      <c r="I274" s="276"/>
      <c r="J274" s="276"/>
      <c r="K274" s="276"/>
      <c r="L274" s="276"/>
      <c r="M274" s="276"/>
      <c r="N274" s="276"/>
      <c r="O274" s="276"/>
    </row>
    <row r="275">
      <c r="A275" s="275"/>
      <c r="B275" s="275"/>
      <c r="C275" s="275"/>
      <c r="D275" s="275"/>
      <c r="E275" s="276"/>
      <c r="F275" s="276"/>
      <c r="G275" s="277"/>
      <c r="H275" s="276"/>
      <c r="I275" s="276"/>
      <c r="J275" s="276"/>
      <c r="K275" s="276"/>
      <c r="L275" s="276"/>
      <c r="M275" s="276"/>
      <c r="N275" s="276"/>
      <c r="O275" s="276"/>
    </row>
    <row r="276">
      <c r="A276" s="275"/>
      <c r="B276" s="275"/>
      <c r="C276" s="275"/>
      <c r="D276" s="275"/>
      <c r="E276" s="276"/>
      <c r="F276" s="276"/>
      <c r="G276" s="277"/>
      <c r="H276" s="276"/>
      <c r="I276" s="276"/>
      <c r="J276" s="276"/>
      <c r="K276" s="276"/>
      <c r="L276" s="276"/>
      <c r="M276" s="276"/>
      <c r="N276" s="276"/>
      <c r="O276" s="276"/>
    </row>
    <row r="277">
      <c r="A277" s="275"/>
      <c r="B277" s="275"/>
      <c r="C277" s="275"/>
      <c r="D277" s="275"/>
      <c r="E277" s="276"/>
      <c r="F277" s="276"/>
      <c r="G277" s="277"/>
      <c r="H277" s="276"/>
      <c r="I277" s="276"/>
      <c r="J277" s="276"/>
      <c r="K277" s="276"/>
      <c r="L277" s="276"/>
      <c r="M277" s="276"/>
      <c r="N277" s="276"/>
      <c r="O277" s="276"/>
    </row>
    <row r="278">
      <c r="A278" s="275"/>
      <c r="B278" s="275"/>
      <c r="C278" s="275"/>
      <c r="D278" s="275"/>
      <c r="E278" s="276"/>
      <c r="F278" s="276"/>
      <c r="G278" s="277"/>
      <c r="H278" s="276"/>
      <c r="I278" s="276"/>
      <c r="J278" s="276"/>
      <c r="K278" s="276"/>
      <c r="L278" s="276"/>
      <c r="M278" s="276"/>
      <c r="N278" s="276"/>
      <c r="O278" s="276"/>
    </row>
    <row r="279">
      <c r="A279" s="275"/>
      <c r="B279" s="275"/>
      <c r="C279" s="275"/>
      <c r="D279" s="275"/>
      <c r="E279" s="276"/>
      <c r="F279" s="276"/>
      <c r="G279" s="277"/>
      <c r="H279" s="276"/>
      <c r="I279" s="276"/>
      <c r="J279" s="276"/>
      <c r="K279" s="276"/>
      <c r="L279" s="276"/>
      <c r="M279" s="276"/>
      <c r="N279" s="276"/>
      <c r="O279" s="276"/>
    </row>
    <row r="280">
      <c r="A280" s="275"/>
      <c r="B280" s="275"/>
      <c r="C280" s="275"/>
      <c r="D280" s="275"/>
      <c r="E280" s="276"/>
      <c r="F280" s="276"/>
      <c r="G280" s="277"/>
      <c r="H280" s="276"/>
      <c r="I280" s="276"/>
      <c r="J280" s="276"/>
      <c r="K280" s="276"/>
      <c r="L280" s="276"/>
      <c r="M280" s="276"/>
      <c r="N280" s="276"/>
      <c r="O280" s="276"/>
    </row>
    <row r="281">
      <c r="A281" s="275"/>
      <c r="B281" s="275"/>
      <c r="C281" s="275"/>
      <c r="D281" s="275"/>
      <c r="E281" s="276"/>
      <c r="F281" s="276"/>
      <c r="G281" s="277"/>
      <c r="H281" s="276"/>
      <c r="I281" s="276"/>
      <c r="J281" s="276"/>
      <c r="K281" s="276"/>
      <c r="L281" s="276"/>
      <c r="M281" s="276"/>
      <c r="N281" s="276"/>
      <c r="O281" s="276"/>
    </row>
    <row r="282">
      <c r="A282" s="275"/>
      <c r="B282" s="275"/>
      <c r="C282" s="275"/>
      <c r="D282" s="275"/>
      <c r="E282" s="276"/>
      <c r="F282" s="276"/>
      <c r="G282" s="277"/>
      <c r="H282" s="276"/>
      <c r="I282" s="276"/>
      <c r="J282" s="276"/>
      <c r="K282" s="276"/>
      <c r="L282" s="276"/>
      <c r="M282" s="276"/>
      <c r="N282" s="276"/>
      <c r="O282" s="276"/>
    </row>
    <row r="283">
      <c r="A283" s="275"/>
      <c r="B283" s="275"/>
      <c r="C283" s="275"/>
      <c r="D283" s="275"/>
      <c r="E283" s="276"/>
      <c r="F283" s="276"/>
      <c r="G283" s="277"/>
      <c r="H283" s="276"/>
      <c r="I283" s="276"/>
      <c r="J283" s="276"/>
      <c r="K283" s="276"/>
      <c r="L283" s="276"/>
      <c r="M283" s="276"/>
      <c r="N283" s="276"/>
      <c r="O283" s="276"/>
    </row>
    <row r="284">
      <c r="A284" s="275"/>
      <c r="B284" s="275"/>
      <c r="C284" s="275"/>
      <c r="D284" s="275"/>
      <c r="E284" s="276"/>
      <c r="F284" s="276"/>
      <c r="G284" s="277"/>
      <c r="H284" s="276"/>
      <c r="I284" s="276"/>
      <c r="J284" s="276"/>
      <c r="K284" s="276"/>
      <c r="L284" s="276"/>
      <c r="M284" s="276"/>
      <c r="N284" s="276"/>
      <c r="O284" s="276"/>
    </row>
    <row r="285">
      <c r="A285" s="275"/>
      <c r="B285" s="275"/>
      <c r="C285" s="275"/>
      <c r="D285" s="275"/>
      <c r="E285" s="276"/>
      <c r="F285" s="276"/>
      <c r="G285" s="277"/>
      <c r="H285" s="276"/>
      <c r="I285" s="276"/>
      <c r="J285" s="276"/>
      <c r="K285" s="276"/>
      <c r="L285" s="276"/>
      <c r="M285" s="276"/>
      <c r="N285" s="276"/>
      <c r="O285" s="276"/>
    </row>
    <row r="286">
      <c r="A286" s="275"/>
      <c r="B286" s="275"/>
      <c r="C286" s="275"/>
      <c r="D286" s="275"/>
      <c r="E286" s="276"/>
      <c r="F286" s="276"/>
      <c r="G286" s="277"/>
      <c r="H286" s="276"/>
      <c r="I286" s="276"/>
      <c r="J286" s="276"/>
      <c r="K286" s="276"/>
      <c r="L286" s="276"/>
      <c r="M286" s="276"/>
      <c r="N286" s="276"/>
      <c r="O286" s="276"/>
    </row>
    <row r="287">
      <c r="A287" s="275"/>
      <c r="B287" s="275"/>
      <c r="C287" s="275"/>
      <c r="D287" s="275"/>
      <c r="E287" s="276"/>
      <c r="F287" s="276"/>
      <c r="G287" s="277"/>
      <c r="H287" s="276"/>
      <c r="I287" s="276"/>
      <c r="J287" s="276"/>
      <c r="K287" s="276"/>
      <c r="L287" s="276"/>
      <c r="M287" s="276"/>
      <c r="N287" s="276"/>
      <c r="O287" s="276"/>
    </row>
    <row r="288">
      <c r="A288" s="275"/>
      <c r="B288" s="275"/>
      <c r="C288" s="275"/>
      <c r="D288" s="275"/>
      <c r="E288" s="276"/>
      <c r="F288" s="276"/>
      <c r="G288" s="277"/>
      <c r="H288" s="276"/>
      <c r="I288" s="276"/>
      <c r="J288" s="276"/>
      <c r="K288" s="276"/>
      <c r="L288" s="276"/>
      <c r="M288" s="276"/>
      <c r="N288" s="276"/>
      <c r="O288" s="276"/>
    </row>
    <row r="289">
      <c r="A289" s="275"/>
      <c r="B289" s="275"/>
      <c r="C289" s="275"/>
      <c r="D289" s="275"/>
      <c r="E289" s="276"/>
      <c r="F289" s="276"/>
      <c r="G289" s="277"/>
      <c r="H289" s="276"/>
      <c r="I289" s="276"/>
      <c r="J289" s="276"/>
      <c r="K289" s="276"/>
      <c r="L289" s="276"/>
      <c r="M289" s="276"/>
      <c r="N289" s="276"/>
      <c r="O289" s="276"/>
    </row>
    <row r="290">
      <c r="A290" s="275"/>
      <c r="B290" s="275"/>
      <c r="C290" s="275"/>
      <c r="D290" s="275"/>
      <c r="E290" s="276"/>
      <c r="F290" s="276"/>
      <c r="G290" s="277"/>
      <c r="H290" s="276"/>
      <c r="I290" s="276"/>
      <c r="J290" s="276"/>
      <c r="K290" s="276"/>
      <c r="L290" s="276"/>
      <c r="M290" s="276"/>
      <c r="N290" s="276"/>
      <c r="O290" s="276"/>
    </row>
    <row r="291">
      <c r="A291" s="275"/>
      <c r="B291" s="275"/>
      <c r="C291" s="275"/>
      <c r="D291" s="275"/>
      <c r="E291" s="276"/>
      <c r="F291" s="276"/>
      <c r="G291" s="277"/>
      <c r="H291" s="276"/>
      <c r="I291" s="276"/>
      <c r="J291" s="276"/>
      <c r="K291" s="276"/>
      <c r="L291" s="276"/>
      <c r="M291" s="276"/>
      <c r="N291" s="276"/>
      <c r="O291" s="276"/>
    </row>
    <row r="292">
      <c r="A292" s="275"/>
      <c r="B292" s="275"/>
      <c r="C292" s="275"/>
      <c r="D292" s="275"/>
      <c r="E292" s="276"/>
      <c r="F292" s="276"/>
      <c r="G292" s="277"/>
      <c r="H292" s="276"/>
      <c r="I292" s="276"/>
      <c r="J292" s="276"/>
      <c r="K292" s="276"/>
      <c r="L292" s="276"/>
      <c r="M292" s="276"/>
      <c r="N292" s="276"/>
      <c r="O292" s="276"/>
    </row>
    <row r="293">
      <c r="A293" s="275"/>
      <c r="B293" s="275"/>
      <c r="C293" s="275"/>
      <c r="D293" s="275"/>
      <c r="E293" s="276"/>
      <c r="F293" s="276"/>
      <c r="G293" s="277"/>
      <c r="H293" s="276"/>
      <c r="I293" s="276"/>
      <c r="J293" s="276"/>
      <c r="K293" s="276"/>
      <c r="L293" s="276"/>
      <c r="M293" s="276"/>
      <c r="N293" s="276"/>
      <c r="O293" s="276"/>
    </row>
    <row r="294">
      <c r="A294" s="275"/>
      <c r="B294" s="275"/>
      <c r="C294" s="275"/>
      <c r="D294" s="275"/>
      <c r="E294" s="276"/>
      <c r="F294" s="276"/>
      <c r="G294" s="277"/>
      <c r="H294" s="276"/>
      <c r="I294" s="276"/>
      <c r="J294" s="276"/>
      <c r="K294" s="276"/>
      <c r="L294" s="276"/>
      <c r="M294" s="276"/>
      <c r="N294" s="276"/>
      <c r="O294" s="276"/>
    </row>
    <row r="295">
      <c r="A295" s="275"/>
      <c r="B295" s="275"/>
      <c r="C295" s="275"/>
      <c r="D295" s="275"/>
      <c r="E295" s="276"/>
      <c r="F295" s="276"/>
      <c r="G295" s="277"/>
      <c r="H295" s="276"/>
      <c r="I295" s="276"/>
      <c r="J295" s="276"/>
      <c r="K295" s="276"/>
      <c r="L295" s="276"/>
      <c r="M295" s="276"/>
      <c r="N295" s="276"/>
      <c r="O295" s="276"/>
    </row>
    <row r="296">
      <c r="A296" s="275"/>
      <c r="B296" s="275"/>
      <c r="C296" s="275"/>
      <c r="D296" s="275"/>
      <c r="E296" s="276"/>
      <c r="F296" s="276"/>
      <c r="G296" s="277"/>
      <c r="H296" s="276"/>
      <c r="I296" s="276"/>
      <c r="J296" s="276"/>
      <c r="K296" s="276"/>
      <c r="L296" s="276"/>
      <c r="M296" s="276"/>
      <c r="N296" s="276"/>
      <c r="O296" s="276"/>
    </row>
    <row r="297">
      <c r="A297" s="275"/>
      <c r="B297" s="275"/>
      <c r="C297" s="275"/>
      <c r="D297" s="275"/>
      <c r="E297" s="276"/>
      <c r="F297" s="276"/>
      <c r="G297" s="277"/>
      <c r="H297" s="276"/>
      <c r="I297" s="276"/>
      <c r="J297" s="276"/>
      <c r="K297" s="276"/>
      <c r="L297" s="276"/>
      <c r="M297" s="276"/>
      <c r="N297" s="276"/>
      <c r="O297" s="276"/>
    </row>
    <row r="298">
      <c r="A298" s="275"/>
      <c r="B298" s="275"/>
      <c r="C298" s="275"/>
      <c r="D298" s="275"/>
      <c r="E298" s="276"/>
      <c r="F298" s="276"/>
      <c r="G298" s="277"/>
      <c r="H298" s="276"/>
      <c r="I298" s="276"/>
      <c r="J298" s="276"/>
      <c r="K298" s="276"/>
      <c r="L298" s="276"/>
      <c r="M298" s="276"/>
      <c r="N298" s="276"/>
      <c r="O298" s="276"/>
    </row>
    <row r="299">
      <c r="A299" s="275"/>
      <c r="B299" s="275"/>
      <c r="C299" s="275"/>
      <c r="D299" s="275"/>
      <c r="E299" s="276"/>
      <c r="F299" s="276"/>
      <c r="G299" s="277"/>
      <c r="H299" s="276"/>
      <c r="I299" s="276"/>
      <c r="J299" s="276"/>
      <c r="K299" s="276"/>
      <c r="L299" s="276"/>
      <c r="M299" s="276"/>
      <c r="N299" s="276"/>
      <c r="O299" s="276"/>
    </row>
    <row r="300">
      <c r="A300" s="275"/>
      <c r="B300" s="275"/>
      <c r="C300" s="275"/>
      <c r="D300" s="275"/>
      <c r="E300" s="276"/>
      <c r="F300" s="276"/>
      <c r="G300" s="277"/>
      <c r="H300" s="276"/>
      <c r="I300" s="276"/>
      <c r="J300" s="276"/>
      <c r="K300" s="276"/>
      <c r="L300" s="276"/>
      <c r="M300" s="276"/>
      <c r="N300" s="276"/>
      <c r="O300" s="276"/>
    </row>
    <row r="301">
      <c r="A301" s="275"/>
      <c r="B301" s="275"/>
      <c r="C301" s="275"/>
      <c r="D301" s="275"/>
      <c r="E301" s="276"/>
      <c r="F301" s="276"/>
      <c r="G301" s="277"/>
      <c r="H301" s="276"/>
      <c r="I301" s="276"/>
      <c r="J301" s="276"/>
      <c r="K301" s="276"/>
      <c r="L301" s="276"/>
      <c r="M301" s="276"/>
      <c r="N301" s="276"/>
      <c r="O301" s="276"/>
    </row>
    <row r="302">
      <c r="A302" s="275"/>
      <c r="B302" s="275"/>
      <c r="C302" s="275"/>
      <c r="D302" s="275"/>
      <c r="E302" s="276"/>
      <c r="F302" s="276"/>
      <c r="G302" s="277"/>
      <c r="H302" s="276"/>
      <c r="I302" s="276"/>
      <c r="J302" s="276"/>
      <c r="K302" s="276"/>
      <c r="L302" s="276"/>
      <c r="M302" s="276"/>
      <c r="N302" s="276"/>
      <c r="O302" s="276"/>
    </row>
    <row r="303">
      <c r="A303" s="275"/>
      <c r="B303" s="275"/>
      <c r="C303" s="275"/>
      <c r="D303" s="275"/>
      <c r="E303" s="276"/>
      <c r="F303" s="276"/>
      <c r="G303" s="277"/>
      <c r="H303" s="276"/>
      <c r="I303" s="276"/>
      <c r="J303" s="276"/>
      <c r="K303" s="276"/>
      <c r="L303" s="276"/>
      <c r="M303" s="276"/>
      <c r="N303" s="276"/>
      <c r="O303" s="276"/>
    </row>
    <row r="304">
      <c r="A304" s="275"/>
      <c r="B304" s="275"/>
      <c r="C304" s="275"/>
      <c r="D304" s="275"/>
      <c r="E304" s="276"/>
      <c r="F304" s="276"/>
      <c r="G304" s="277"/>
      <c r="H304" s="276"/>
      <c r="I304" s="276"/>
      <c r="J304" s="276"/>
      <c r="K304" s="276"/>
      <c r="L304" s="276"/>
      <c r="M304" s="276"/>
      <c r="N304" s="276"/>
      <c r="O304" s="276"/>
    </row>
    <row r="305">
      <c r="A305" s="275"/>
      <c r="B305" s="275"/>
      <c r="C305" s="275"/>
      <c r="D305" s="275"/>
      <c r="E305" s="276"/>
      <c r="F305" s="276"/>
      <c r="G305" s="277"/>
      <c r="H305" s="276"/>
      <c r="I305" s="276"/>
      <c r="J305" s="276"/>
      <c r="K305" s="276"/>
      <c r="L305" s="276"/>
      <c r="M305" s="276"/>
      <c r="N305" s="276"/>
      <c r="O305" s="276"/>
    </row>
    <row r="306">
      <c r="A306" s="275"/>
      <c r="B306" s="275"/>
      <c r="C306" s="275"/>
      <c r="D306" s="275"/>
      <c r="E306" s="276"/>
      <c r="F306" s="276"/>
      <c r="G306" s="277"/>
      <c r="H306" s="276"/>
      <c r="I306" s="276"/>
      <c r="J306" s="276"/>
      <c r="K306" s="276"/>
      <c r="L306" s="276"/>
      <c r="M306" s="276"/>
      <c r="N306" s="276"/>
      <c r="O306" s="276"/>
    </row>
    <row r="307">
      <c r="A307" s="275"/>
      <c r="B307" s="275"/>
      <c r="C307" s="275"/>
      <c r="D307" s="275"/>
      <c r="E307" s="276"/>
      <c r="F307" s="276"/>
      <c r="G307" s="277"/>
      <c r="H307" s="276"/>
      <c r="I307" s="276"/>
      <c r="J307" s="276"/>
      <c r="K307" s="276"/>
      <c r="L307" s="276"/>
      <c r="M307" s="276"/>
      <c r="N307" s="276"/>
      <c r="O307" s="276"/>
    </row>
    <row r="308">
      <c r="A308" s="275"/>
      <c r="B308" s="275"/>
      <c r="C308" s="275"/>
      <c r="D308" s="275"/>
      <c r="E308" s="276"/>
      <c r="F308" s="276"/>
      <c r="G308" s="277"/>
      <c r="H308" s="276"/>
      <c r="I308" s="276"/>
      <c r="J308" s="276"/>
      <c r="K308" s="276"/>
      <c r="L308" s="276"/>
      <c r="M308" s="276"/>
      <c r="N308" s="276"/>
      <c r="O308" s="276"/>
    </row>
    <row r="309">
      <c r="A309" s="275"/>
      <c r="B309" s="275"/>
      <c r="C309" s="275"/>
      <c r="D309" s="275"/>
      <c r="E309" s="276"/>
      <c r="F309" s="276"/>
      <c r="G309" s="277"/>
      <c r="H309" s="276"/>
      <c r="I309" s="276"/>
      <c r="J309" s="276"/>
      <c r="K309" s="276"/>
      <c r="L309" s="276"/>
      <c r="M309" s="276"/>
      <c r="N309" s="276"/>
      <c r="O309" s="276"/>
    </row>
    <row r="310">
      <c r="A310" s="275"/>
      <c r="B310" s="275"/>
      <c r="C310" s="275"/>
      <c r="D310" s="275"/>
      <c r="E310" s="276"/>
      <c r="F310" s="276"/>
      <c r="G310" s="277"/>
      <c r="H310" s="276"/>
      <c r="I310" s="276"/>
      <c r="J310" s="276"/>
      <c r="K310" s="276"/>
      <c r="L310" s="276"/>
      <c r="M310" s="276"/>
      <c r="N310" s="276"/>
      <c r="O310" s="276"/>
    </row>
    <row r="311">
      <c r="A311" s="275"/>
      <c r="B311" s="275"/>
      <c r="C311" s="275"/>
      <c r="D311" s="275"/>
      <c r="E311" s="276"/>
      <c r="F311" s="276"/>
      <c r="G311" s="277"/>
      <c r="H311" s="276"/>
      <c r="I311" s="276"/>
      <c r="J311" s="276"/>
      <c r="K311" s="276"/>
      <c r="L311" s="276"/>
      <c r="M311" s="276"/>
      <c r="N311" s="276"/>
      <c r="O311" s="276"/>
    </row>
    <row r="312">
      <c r="A312" s="275"/>
      <c r="B312" s="275"/>
      <c r="C312" s="275"/>
      <c r="D312" s="275"/>
      <c r="E312" s="276"/>
      <c r="F312" s="276"/>
      <c r="G312" s="277"/>
      <c r="H312" s="276"/>
      <c r="I312" s="276"/>
      <c r="J312" s="276"/>
      <c r="K312" s="276"/>
      <c r="L312" s="276"/>
      <c r="M312" s="276"/>
      <c r="N312" s="276"/>
      <c r="O312" s="276"/>
    </row>
    <row r="313">
      <c r="A313" s="275"/>
      <c r="B313" s="275"/>
      <c r="C313" s="275"/>
      <c r="D313" s="275"/>
      <c r="E313" s="276"/>
      <c r="F313" s="276"/>
      <c r="G313" s="277"/>
      <c r="H313" s="276"/>
      <c r="I313" s="276"/>
      <c r="J313" s="276"/>
      <c r="K313" s="276"/>
      <c r="L313" s="276"/>
      <c r="M313" s="276"/>
      <c r="N313" s="276"/>
      <c r="O313" s="276"/>
    </row>
    <row r="314">
      <c r="A314" s="275"/>
      <c r="B314" s="275"/>
      <c r="C314" s="275"/>
      <c r="D314" s="275"/>
      <c r="E314" s="276"/>
      <c r="F314" s="276"/>
      <c r="G314" s="277"/>
      <c r="H314" s="276"/>
      <c r="I314" s="276"/>
      <c r="J314" s="276"/>
      <c r="K314" s="276"/>
      <c r="L314" s="276"/>
      <c r="M314" s="276"/>
      <c r="N314" s="276"/>
      <c r="O314" s="276"/>
    </row>
    <row r="315">
      <c r="A315" s="275"/>
      <c r="B315" s="275"/>
      <c r="C315" s="275"/>
      <c r="D315" s="275"/>
      <c r="E315" s="276"/>
      <c r="F315" s="276"/>
      <c r="G315" s="277"/>
      <c r="H315" s="276"/>
      <c r="I315" s="276"/>
      <c r="J315" s="276"/>
      <c r="K315" s="276"/>
      <c r="L315" s="276"/>
      <c r="M315" s="276"/>
      <c r="N315" s="276"/>
      <c r="O315" s="276"/>
    </row>
    <row r="316">
      <c r="A316" s="275"/>
      <c r="B316" s="275"/>
      <c r="C316" s="275"/>
      <c r="D316" s="275"/>
      <c r="E316" s="276"/>
      <c r="F316" s="276"/>
      <c r="G316" s="277"/>
      <c r="H316" s="276"/>
      <c r="I316" s="276"/>
      <c r="J316" s="276"/>
      <c r="K316" s="276"/>
      <c r="L316" s="276"/>
      <c r="M316" s="276"/>
      <c r="N316" s="276"/>
      <c r="O316" s="276"/>
    </row>
    <row r="317">
      <c r="A317" s="275"/>
      <c r="B317" s="275"/>
      <c r="C317" s="275"/>
      <c r="D317" s="275"/>
      <c r="E317" s="276"/>
      <c r="F317" s="276"/>
      <c r="G317" s="277"/>
      <c r="H317" s="276"/>
      <c r="I317" s="276"/>
      <c r="J317" s="276"/>
      <c r="K317" s="276"/>
      <c r="L317" s="276"/>
      <c r="M317" s="276"/>
      <c r="N317" s="276"/>
      <c r="O317" s="276"/>
    </row>
    <row r="318">
      <c r="A318" s="275"/>
      <c r="B318" s="275"/>
      <c r="C318" s="275"/>
      <c r="D318" s="275"/>
      <c r="E318" s="276"/>
      <c r="F318" s="276"/>
      <c r="G318" s="277"/>
      <c r="H318" s="276"/>
      <c r="I318" s="276"/>
      <c r="J318" s="276"/>
      <c r="K318" s="276"/>
      <c r="L318" s="276"/>
      <c r="M318" s="276"/>
      <c r="N318" s="276"/>
      <c r="O318" s="276"/>
    </row>
    <row r="319">
      <c r="A319" s="275"/>
      <c r="B319" s="275"/>
      <c r="C319" s="275"/>
      <c r="D319" s="275"/>
      <c r="E319" s="276"/>
      <c r="F319" s="276"/>
      <c r="G319" s="277"/>
      <c r="H319" s="276"/>
      <c r="I319" s="276"/>
      <c r="J319" s="276"/>
      <c r="K319" s="276"/>
      <c r="L319" s="276"/>
      <c r="M319" s="276"/>
      <c r="N319" s="276"/>
      <c r="O319" s="276"/>
    </row>
    <row r="320">
      <c r="A320" s="275"/>
      <c r="B320" s="275"/>
      <c r="C320" s="275"/>
      <c r="D320" s="275"/>
      <c r="E320" s="276"/>
      <c r="F320" s="276"/>
      <c r="G320" s="277"/>
      <c r="H320" s="276"/>
      <c r="I320" s="276"/>
      <c r="J320" s="276"/>
      <c r="K320" s="276"/>
      <c r="L320" s="276"/>
      <c r="M320" s="276"/>
      <c r="N320" s="276"/>
      <c r="O320" s="276"/>
    </row>
    <row r="321">
      <c r="A321" s="275"/>
      <c r="B321" s="275"/>
      <c r="C321" s="275"/>
      <c r="D321" s="275"/>
      <c r="E321" s="276"/>
      <c r="F321" s="276"/>
      <c r="G321" s="277"/>
      <c r="H321" s="276"/>
      <c r="I321" s="276"/>
      <c r="J321" s="276"/>
      <c r="K321" s="276"/>
      <c r="L321" s="276"/>
      <c r="M321" s="276"/>
      <c r="N321" s="276"/>
      <c r="O321" s="276"/>
    </row>
    <row r="322">
      <c r="A322" s="275"/>
      <c r="B322" s="275"/>
      <c r="C322" s="275"/>
      <c r="D322" s="275"/>
      <c r="E322" s="276"/>
      <c r="F322" s="276"/>
      <c r="G322" s="277"/>
      <c r="H322" s="276"/>
      <c r="I322" s="276"/>
      <c r="J322" s="276"/>
      <c r="K322" s="276"/>
      <c r="L322" s="276"/>
      <c r="M322" s="276"/>
      <c r="N322" s="276"/>
      <c r="O322" s="276"/>
    </row>
    <row r="323">
      <c r="A323" s="275"/>
      <c r="B323" s="275"/>
      <c r="C323" s="275"/>
      <c r="D323" s="275"/>
      <c r="E323" s="276"/>
      <c r="F323" s="276"/>
      <c r="G323" s="277"/>
      <c r="H323" s="276"/>
      <c r="I323" s="276"/>
      <c r="J323" s="276"/>
      <c r="K323" s="276"/>
      <c r="L323" s="276"/>
      <c r="M323" s="276"/>
      <c r="N323" s="276"/>
      <c r="O323" s="276"/>
    </row>
    <row r="324">
      <c r="A324" s="275"/>
      <c r="B324" s="275"/>
      <c r="C324" s="275"/>
      <c r="D324" s="275"/>
      <c r="E324" s="276"/>
      <c r="F324" s="276"/>
      <c r="G324" s="277"/>
      <c r="H324" s="276"/>
      <c r="I324" s="276"/>
      <c r="J324" s="276"/>
      <c r="K324" s="276"/>
      <c r="L324" s="276"/>
      <c r="M324" s="276"/>
      <c r="N324" s="276"/>
      <c r="O324" s="276"/>
    </row>
    <row r="325">
      <c r="A325" s="275"/>
      <c r="B325" s="275"/>
      <c r="C325" s="275"/>
      <c r="D325" s="275"/>
      <c r="E325" s="276"/>
      <c r="F325" s="276"/>
      <c r="G325" s="277"/>
      <c r="H325" s="276"/>
      <c r="I325" s="276"/>
      <c r="J325" s="276"/>
      <c r="K325" s="276"/>
      <c r="L325" s="276"/>
      <c r="M325" s="276"/>
      <c r="N325" s="276"/>
      <c r="O325" s="276"/>
    </row>
    <row r="326">
      <c r="A326" s="275"/>
      <c r="B326" s="275"/>
      <c r="C326" s="275"/>
      <c r="D326" s="275"/>
      <c r="E326" s="276"/>
      <c r="F326" s="276"/>
      <c r="G326" s="277"/>
      <c r="H326" s="276"/>
      <c r="I326" s="276"/>
      <c r="J326" s="276"/>
      <c r="K326" s="276"/>
      <c r="L326" s="276"/>
      <c r="M326" s="276"/>
      <c r="N326" s="276"/>
      <c r="O326" s="276"/>
    </row>
    <row r="327">
      <c r="A327" s="275"/>
      <c r="B327" s="275"/>
      <c r="C327" s="275"/>
      <c r="D327" s="275"/>
      <c r="E327" s="276"/>
      <c r="F327" s="276"/>
      <c r="G327" s="277"/>
      <c r="H327" s="276"/>
      <c r="I327" s="276"/>
      <c r="J327" s="276"/>
      <c r="K327" s="276"/>
      <c r="L327" s="276"/>
      <c r="M327" s="276"/>
      <c r="N327" s="276"/>
      <c r="O327" s="276"/>
    </row>
    <row r="328">
      <c r="A328" s="275"/>
      <c r="B328" s="275"/>
      <c r="C328" s="275"/>
      <c r="D328" s="275"/>
      <c r="E328" s="276"/>
      <c r="F328" s="276"/>
      <c r="G328" s="277"/>
      <c r="H328" s="276"/>
      <c r="I328" s="276"/>
      <c r="J328" s="276"/>
      <c r="K328" s="276"/>
      <c r="L328" s="276"/>
      <c r="M328" s="276"/>
      <c r="N328" s="276"/>
      <c r="O328" s="276"/>
    </row>
    <row r="329">
      <c r="A329" s="275"/>
      <c r="B329" s="275"/>
      <c r="C329" s="275"/>
      <c r="D329" s="275"/>
      <c r="E329" s="276"/>
      <c r="F329" s="276"/>
      <c r="G329" s="277"/>
      <c r="H329" s="276"/>
      <c r="I329" s="276"/>
      <c r="J329" s="276"/>
      <c r="K329" s="276"/>
      <c r="L329" s="276"/>
      <c r="M329" s="276"/>
      <c r="N329" s="276"/>
      <c r="O329" s="276"/>
    </row>
    <row r="330">
      <c r="A330" s="275"/>
      <c r="B330" s="275"/>
      <c r="C330" s="275"/>
      <c r="D330" s="275"/>
      <c r="E330" s="276"/>
      <c r="F330" s="276"/>
      <c r="G330" s="277"/>
      <c r="H330" s="276"/>
      <c r="I330" s="276"/>
      <c r="J330" s="276"/>
      <c r="K330" s="276"/>
      <c r="L330" s="276"/>
      <c r="M330" s="276"/>
      <c r="N330" s="276"/>
      <c r="O330" s="276"/>
    </row>
    <row r="331">
      <c r="A331" s="275"/>
      <c r="B331" s="275"/>
      <c r="C331" s="275"/>
      <c r="D331" s="275"/>
      <c r="E331" s="276"/>
      <c r="F331" s="276"/>
      <c r="G331" s="277"/>
      <c r="H331" s="276"/>
      <c r="I331" s="276"/>
      <c r="J331" s="276"/>
      <c r="K331" s="276"/>
      <c r="L331" s="276"/>
      <c r="M331" s="276"/>
      <c r="N331" s="276"/>
      <c r="O331" s="276"/>
    </row>
    <row r="332">
      <c r="A332" s="275"/>
      <c r="B332" s="275"/>
      <c r="C332" s="275"/>
      <c r="D332" s="275"/>
      <c r="E332" s="276"/>
      <c r="F332" s="276"/>
      <c r="G332" s="277"/>
      <c r="H332" s="276"/>
      <c r="I332" s="276"/>
      <c r="J332" s="276"/>
      <c r="K332" s="276"/>
      <c r="L332" s="276"/>
      <c r="M332" s="276"/>
      <c r="N332" s="276"/>
      <c r="O332" s="276"/>
    </row>
    <row r="333">
      <c r="A333" s="275"/>
      <c r="B333" s="275"/>
      <c r="C333" s="275"/>
      <c r="D333" s="275"/>
      <c r="E333" s="276"/>
      <c r="F333" s="276"/>
      <c r="G333" s="277"/>
      <c r="H333" s="276"/>
      <c r="I333" s="276"/>
      <c r="J333" s="276"/>
      <c r="K333" s="276"/>
      <c r="L333" s="276"/>
      <c r="M333" s="276"/>
      <c r="N333" s="276"/>
      <c r="O333" s="276"/>
    </row>
    <row r="334">
      <c r="A334" s="275"/>
      <c r="B334" s="275"/>
      <c r="C334" s="275"/>
      <c r="D334" s="275"/>
      <c r="E334" s="276"/>
      <c r="F334" s="276"/>
      <c r="G334" s="277"/>
      <c r="H334" s="276"/>
      <c r="I334" s="276"/>
      <c r="J334" s="276"/>
      <c r="K334" s="276"/>
      <c r="L334" s="276"/>
      <c r="M334" s="276"/>
      <c r="N334" s="276"/>
      <c r="O334" s="276"/>
    </row>
    <row r="335">
      <c r="A335" s="275"/>
      <c r="B335" s="275"/>
      <c r="C335" s="275"/>
      <c r="D335" s="275"/>
      <c r="E335" s="276"/>
      <c r="F335" s="276"/>
      <c r="G335" s="277"/>
      <c r="H335" s="276"/>
      <c r="I335" s="276"/>
      <c r="J335" s="276"/>
      <c r="K335" s="276"/>
      <c r="L335" s="276"/>
      <c r="M335" s="276"/>
      <c r="N335" s="276"/>
      <c r="O335" s="276"/>
    </row>
    <row r="336">
      <c r="A336" s="275"/>
      <c r="B336" s="275"/>
      <c r="C336" s="275"/>
      <c r="D336" s="275"/>
      <c r="E336" s="276"/>
      <c r="F336" s="276"/>
      <c r="G336" s="277"/>
      <c r="H336" s="276"/>
      <c r="I336" s="276"/>
      <c r="J336" s="276"/>
      <c r="K336" s="276"/>
      <c r="L336" s="276"/>
      <c r="M336" s="276"/>
      <c r="N336" s="276"/>
      <c r="O336" s="276"/>
    </row>
    <row r="337">
      <c r="A337" s="275"/>
      <c r="B337" s="275"/>
      <c r="C337" s="275"/>
      <c r="D337" s="275"/>
      <c r="E337" s="276"/>
      <c r="F337" s="276"/>
      <c r="G337" s="277"/>
      <c r="H337" s="276"/>
      <c r="I337" s="276"/>
      <c r="J337" s="276"/>
      <c r="K337" s="276"/>
      <c r="L337" s="276"/>
      <c r="M337" s="276"/>
      <c r="N337" s="276"/>
      <c r="O337" s="276"/>
    </row>
    <row r="338">
      <c r="A338" s="275"/>
      <c r="B338" s="275"/>
      <c r="C338" s="275"/>
      <c r="D338" s="275"/>
      <c r="E338" s="276"/>
      <c r="F338" s="276"/>
      <c r="G338" s="277"/>
      <c r="H338" s="276"/>
      <c r="I338" s="276"/>
      <c r="J338" s="276"/>
      <c r="K338" s="276"/>
      <c r="L338" s="276"/>
      <c r="M338" s="276"/>
      <c r="N338" s="276"/>
      <c r="O338" s="276"/>
    </row>
    <row r="339">
      <c r="A339" s="275"/>
      <c r="B339" s="275"/>
      <c r="C339" s="275"/>
      <c r="D339" s="275"/>
      <c r="E339" s="276"/>
      <c r="F339" s="276"/>
      <c r="G339" s="277"/>
      <c r="H339" s="276"/>
      <c r="I339" s="276"/>
      <c r="J339" s="276"/>
      <c r="K339" s="276"/>
      <c r="L339" s="276"/>
      <c r="M339" s="276"/>
      <c r="N339" s="276"/>
      <c r="O339" s="276"/>
    </row>
    <row r="340">
      <c r="A340" s="275"/>
      <c r="B340" s="275"/>
      <c r="C340" s="275"/>
      <c r="D340" s="275"/>
      <c r="E340" s="276"/>
      <c r="F340" s="276"/>
      <c r="G340" s="277"/>
      <c r="H340" s="276"/>
      <c r="I340" s="276"/>
      <c r="J340" s="276"/>
      <c r="K340" s="276"/>
      <c r="L340" s="276"/>
      <c r="M340" s="276"/>
      <c r="N340" s="276"/>
      <c r="O340" s="276"/>
    </row>
    <row r="341">
      <c r="A341" s="275"/>
      <c r="B341" s="275"/>
      <c r="C341" s="275"/>
      <c r="D341" s="275"/>
      <c r="E341" s="276"/>
      <c r="F341" s="276"/>
      <c r="G341" s="277"/>
      <c r="H341" s="276"/>
      <c r="I341" s="276"/>
      <c r="J341" s="276"/>
      <c r="K341" s="276"/>
      <c r="L341" s="276"/>
      <c r="M341" s="276"/>
      <c r="N341" s="276"/>
      <c r="O341" s="276"/>
    </row>
    <row r="342">
      <c r="A342" s="275"/>
      <c r="B342" s="275"/>
      <c r="C342" s="275"/>
      <c r="D342" s="275"/>
      <c r="E342" s="276"/>
      <c r="F342" s="276"/>
      <c r="G342" s="277"/>
      <c r="H342" s="276"/>
      <c r="I342" s="276"/>
      <c r="J342" s="276"/>
      <c r="K342" s="276"/>
      <c r="L342" s="276"/>
      <c r="M342" s="276"/>
      <c r="N342" s="276"/>
      <c r="O342" s="276"/>
    </row>
    <row r="343">
      <c r="A343" s="275"/>
      <c r="B343" s="275"/>
      <c r="C343" s="275"/>
      <c r="D343" s="275"/>
      <c r="E343" s="276"/>
      <c r="F343" s="276"/>
      <c r="G343" s="277"/>
      <c r="H343" s="276"/>
      <c r="I343" s="276"/>
      <c r="J343" s="276"/>
      <c r="K343" s="276"/>
      <c r="L343" s="276"/>
      <c r="M343" s="276"/>
      <c r="N343" s="276"/>
      <c r="O343" s="276"/>
    </row>
    <row r="344">
      <c r="A344" s="275"/>
      <c r="B344" s="275"/>
      <c r="C344" s="275"/>
      <c r="D344" s="275"/>
      <c r="E344" s="276"/>
      <c r="F344" s="276"/>
      <c r="G344" s="277"/>
      <c r="H344" s="276"/>
      <c r="I344" s="276"/>
      <c r="J344" s="276"/>
      <c r="K344" s="276"/>
      <c r="L344" s="276"/>
      <c r="M344" s="276"/>
      <c r="N344" s="276"/>
      <c r="O344" s="276"/>
    </row>
    <row r="345">
      <c r="A345" s="275"/>
      <c r="B345" s="275"/>
      <c r="C345" s="275"/>
      <c r="D345" s="275"/>
      <c r="E345" s="276"/>
      <c r="F345" s="276"/>
      <c r="G345" s="277"/>
      <c r="H345" s="276"/>
      <c r="I345" s="276"/>
      <c r="J345" s="276"/>
      <c r="K345" s="276"/>
      <c r="L345" s="276"/>
      <c r="M345" s="276"/>
      <c r="N345" s="276"/>
      <c r="O345" s="276"/>
    </row>
    <row r="346">
      <c r="A346" s="275"/>
      <c r="B346" s="275"/>
      <c r="C346" s="275"/>
      <c r="D346" s="275"/>
      <c r="E346" s="276"/>
      <c r="F346" s="276"/>
      <c r="G346" s="277"/>
      <c r="H346" s="276"/>
      <c r="I346" s="276"/>
      <c r="J346" s="276"/>
      <c r="K346" s="276"/>
      <c r="L346" s="276"/>
      <c r="M346" s="276"/>
      <c r="N346" s="276"/>
      <c r="O346" s="276"/>
    </row>
    <row r="347">
      <c r="A347" s="275"/>
      <c r="B347" s="275"/>
      <c r="C347" s="275"/>
      <c r="D347" s="275"/>
      <c r="E347" s="276"/>
      <c r="F347" s="276"/>
      <c r="G347" s="277"/>
      <c r="H347" s="276"/>
      <c r="I347" s="276"/>
      <c r="J347" s="276"/>
      <c r="K347" s="276"/>
      <c r="L347" s="276"/>
      <c r="M347" s="276"/>
      <c r="N347" s="276"/>
      <c r="O347" s="276"/>
    </row>
    <row r="348">
      <c r="A348" s="275"/>
      <c r="B348" s="275"/>
      <c r="C348" s="275"/>
      <c r="D348" s="275"/>
      <c r="E348" s="276"/>
      <c r="F348" s="276"/>
      <c r="G348" s="277"/>
      <c r="H348" s="276"/>
      <c r="I348" s="276"/>
      <c r="J348" s="276"/>
      <c r="K348" s="276"/>
      <c r="L348" s="276"/>
      <c r="M348" s="276"/>
      <c r="N348" s="276"/>
      <c r="O348" s="276"/>
    </row>
    <row r="349">
      <c r="A349" s="275"/>
      <c r="B349" s="275"/>
      <c r="C349" s="275"/>
      <c r="D349" s="275"/>
      <c r="E349" s="276"/>
      <c r="F349" s="276"/>
      <c r="G349" s="277"/>
      <c r="H349" s="276"/>
      <c r="I349" s="276"/>
      <c r="J349" s="276"/>
      <c r="K349" s="276"/>
      <c r="L349" s="276"/>
      <c r="M349" s="276"/>
      <c r="N349" s="276"/>
      <c r="O349" s="276"/>
    </row>
    <row r="350">
      <c r="A350" s="275"/>
      <c r="B350" s="275"/>
      <c r="C350" s="275"/>
      <c r="D350" s="275"/>
      <c r="E350" s="276"/>
      <c r="F350" s="276"/>
      <c r="G350" s="277"/>
      <c r="H350" s="276"/>
      <c r="I350" s="276"/>
      <c r="J350" s="276"/>
      <c r="K350" s="276"/>
      <c r="L350" s="276"/>
      <c r="M350" s="276"/>
      <c r="N350" s="276"/>
      <c r="O350" s="276"/>
    </row>
    <row r="351">
      <c r="A351" s="275"/>
      <c r="B351" s="275"/>
      <c r="C351" s="275"/>
      <c r="D351" s="275"/>
      <c r="E351" s="276"/>
      <c r="F351" s="276"/>
      <c r="G351" s="277"/>
      <c r="H351" s="276"/>
      <c r="I351" s="276"/>
      <c r="J351" s="276"/>
      <c r="K351" s="276"/>
      <c r="L351" s="276"/>
      <c r="M351" s="276"/>
      <c r="N351" s="276"/>
      <c r="O351" s="276"/>
    </row>
    <row r="352">
      <c r="A352" s="275"/>
      <c r="B352" s="275"/>
      <c r="C352" s="275"/>
      <c r="D352" s="275"/>
      <c r="E352" s="276"/>
      <c r="F352" s="276"/>
      <c r="G352" s="277"/>
      <c r="H352" s="276"/>
      <c r="I352" s="276"/>
      <c r="J352" s="276"/>
      <c r="K352" s="276"/>
      <c r="L352" s="276"/>
      <c r="M352" s="276"/>
      <c r="N352" s="276"/>
      <c r="O352" s="276"/>
    </row>
    <row r="353">
      <c r="A353" s="275"/>
      <c r="B353" s="275"/>
      <c r="C353" s="275"/>
      <c r="D353" s="275"/>
      <c r="E353" s="276"/>
      <c r="F353" s="276"/>
      <c r="G353" s="277"/>
      <c r="H353" s="276"/>
      <c r="I353" s="276"/>
      <c r="J353" s="276"/>
      <c r="K353" s="276"/>
      <c r="L353" s="276"/>
      <c r="M353" s="276"/>
      <c r="N353" s="276"/>
      <c r="O353" s="276"/>
    </row>
    <row r="354">
      <c r="A354" s="275"/>
      <c r="B354" s="275"/>
      <c r="C354" s="275"/>
      <c r="D354" s="275"/>
      <c r="E354" s="276"/>
      <c r="F354" s="276"/>
      <c r="G354" s="277"/>
      <c r="H354" s="276"/>
      <c r="I354" s="276"/>
      <c r="J354" s="276"/>
      <c r="K354" s="276"/>
      <c r="L354" s="276"/>
      <c r="M354" s="276"/>
      <c r="N354" s="276"/>
      <c r="O354" s="276"/>
    </row>
    <row r="355">
      <c r="A355" s="275"/>
      <c r="B355" s="275"/>
      <c r="C355" s="275"/>
      <c r="D355" s="275"/>
      <c r="E355" s="276"/>
      <c r="F355" s="276"/>
      <c r="G355" s="277"/>
      <c r="H355" s="276"/>
      <c r="I355" s="276"/>
      <c r="J355" s="276"/>
      <c r="K355" s="276"/>
      <c r="L355" s="276"/>
      <c r="M355" s="276"/>
      <c r="N355" s="276"/>
      <c r="O355" s="276"/>
    </row>
    <row r="356">
      <c r="A356" s="275"/>
      <c r="B356" s="275"/>
      <c r="C356" s="275"/>
      <c r="D356" s="275"/>
      <c r="E356" s="276"/>
      <c r="F356" s="276"/>
      <c r="G356" s="277"/>
      <c r="H356" s="276"/>
      <c r="I356" s="276"/>
      <c r="J356" s="276"/>
      <c r="K356" s="276"/>
      <c r="L356" s="276"/>
      <c r="M356" s="276"/>
      <c r="N356" s="276"/>
      <c r="O356" s="276"/>
    </row>
    <row r="357">
      <c r="A357" s="275"/>
      <c r="B357" s="275"/>
      <c r="C357" s="275"/>
      <c r="D357" s="275"/>
      <c r="E357" s="276"/>
      <c r="F357" s="276"/>
      <c r="G357" s="277"/>
      <c r="H357" s="276"/>
      <c r="I357" s="276"/>
      <c r="J357" s="276"/>
      <c r="K357" s="276"/>
      <c r="L357" s="276"/>
      <c r="M357" s="276"/>
      <c r="N357" s="276"/>
      <c r="O357" s="276"/>
    </row>
    <row r="358">
      <c r="A358" s="275"/>
      <c r="B358" s="275"/>
      <c r="C358" s="275"/>
      <c r="D358" s="275"/>
      <c r="E358" s="276"/>
      <c r="F358" s="276"/>
      <c r="G358" s="277"/>
      <c r="H358" s="276"/>
      <c r="I358" s="276"/>
      <c r="J358" s="276"/>
      <c r="K358" s="276"/>
      <c r="L358" s="276"/>
      <c r="M358" s="276"/>
      <c r="N358" s="276"/>
      <c r="O358" s="276"/>
    </row>
    <row r="359">
      <c r="A359" s="275"/>
      <c r="B359" s="275"/>
      <c r="C359" s="275"/>
      <c r="D359" s="275"/>
      <c r="E359" s="276"/>
      <c r="F359" s="276"/>
      <c r="G359" s="277"/>
      <c r="H359" s="276"/>
      <c r="I359" s="276"/>
      <c r="J359" s="276"/>
      <c r="K359" s="276"/>
      <c r="L359" s="276"/>
      <c r="M359" s="276"/>
      <c r="N359" s="276"/>
      <c r="O359" s="276"/>
    </row>
    <row r="360">
      <c r="A360" s="275"/>
      <c r="B360" s="275"/>
      <c r="C360" s="275"/>
      <c r="D360" s="275"/>
      <c r="E360" s="276"/>
      <c r="F360" s="276"/>
      <c r="G360" s="277"/>
      <c r="H360" s="276"/>
      <c r="I360" s="276"/>
      <c r="J360" s="276"/>
      <c r="K360" s="276"/>
      <c r="L360" s="276"/>
      <c r="M360" s="276"/>
      <c r="N360" s="276"/>
      <c r="O360" s="276"/>
    </row>
    <row r="361">
      <c r="A361" s="275"/>
      <c r="B361" s="275"/>
      <c r="C361" s="275"/>
      <c r="D361" s="275"/>
      <c r="E361" s="276"/>
      <c r="F361" s="276"/>
      <c r="G361" s="277"/>
      <c r="H361" s="276"/>
      <c r="I361" s="276"/>
      <c r="J361" s="276"/>
      <c r="K361" s="276"/>
      <c r="L361" s="276"/>
      <c r="M361" s="276"/>
      <c r="N361" s="276"/>
      <c r="O361" s="276"/>
    </row>
    <row r="362">
      <c r="A362" s="275"/>
      <c r="B362" s="275"/>
      <c r="C362" s="275"/>
      <c r="D362" s="275"/>
      <c r="E362" s="276"/>
      <c r="F362" s="276"/>
      <c r="G362" s="277"/>
      <c r="H362" s="276"/>
      <c r="I362" s="276"/>
      <c r="J362" s="276"/>
      <c r="K362" s="276"/>
      <c r="L362" s="276"/>
      <c r="M362" s="276"/>
      <c r="N362" s="276"/>
      <c r="O362" s="276"/>
    </row>
    <row r="363">
      <c r="A363" s="275"/>
      <c r="B363" s="275"/>
      <c r="C363" s="275"/>
      <c r="D363" s="275"/>
      <c r="E363" s="276"/>
      <c r="F363" s="276"/>
      <c r="G363" s="277"/>
      <c r="H363" s="276"/>
      <c r="I363" s="276"/>
      <c r="J363" s="276"/>
      <c r="K363" s="276"/>
      <c r="L363" s="276"/>
      <c r="M363" s="276"/>
      <c r="N363" s="276"/>
      <c r="O363" s="276"/>
    </row>
    <row r="364">
      <c r="A364" s="275"/>
      <c r="B364" s="275"/>
      <c r="C364" s="275"/>
      <c r="D364" s="275"/>
      <c r="E364" s="276"/>
      <c r="F364" s="276"/>
      <c r="G364" s="277"/>
      <c r="H364" s="276"/>
      <c r="I364" s="276"/>
      <c r="J364" s="276"/>
      <c r="K364" s="276"/>
      <c r="L364" s="276"/>
      <c r="M364" s="276"/>
      <c r="N364" s="276"/>
      <c r="O364" s="276"/>
    </row>
    <row r="365">
      <c r="A365" s="275"/>
      <c r="B365" s="275"/>
      <c r="C365" s="275"/>
      <c r="D365" s="275"/>
      <c r="E365" s="276"/>
      <c r="F365" s="276"/>
      <c r="G365" s="277"/>
      <c r="H365" s="276"/>
      <c r="I365" s="276"/>
      <c r="J365" s="276"/>
      <c r="K365" s="276"/>
      <c r="L365" s="276"/>
      <c r="M365" s="276"/>
      <c r="N365" s="276"/>
      <c r="O365" s="276"/>
    </row>
    <row r="366">
      <c r="A366" s="275"/>
      <c r="B366" s="275"/>
      <c r="C366" s="275"/>
      <c r="D366" s="275"/>
      <c r="E366" s="276"/>
      <c r="F366" s="276"/>
      <c r="G366" s="277"/>
      <c r="H366" s="276"/>
      <c r="I366" s="276"/>
      <c r="J366" s="276"/>
      <c r="K366" s="276"/>
      <c r="L366" s="276"/>
      <c r="M366" s="276"/>
      <c r="N366" s="276"/>
      <c r="O366" s="276"/>
    </row>
    <row r="367">
      <c r="A367" s="275"/>
      <c r="B367" s="275"/>
      <c r="C367" s="275"/>
      <c r="D367" s="275"/>
      <c r="E367" s="276"/>
      <c r="F367" s="276"/>
      <c r="G367" s="277"/>
      <c r="H367" s="276"/>
      <c r="I367" s="276"/>
      <c r="J367" s="276"/>
      <c r="K367" s="276"/>
      <c r="L367" s="276"/>
      <c r="M367" s="276"/>
      <c r="N367" s="276"/>
      <c r="O367" s="276"/>
    </row>
    <row r="368">
      <c r="A368" s="275"/>
      <c r="B368" s="275"/>
      <c r="C368" s="275"/>
      <c r="D368" s="275"/>
      <c r="E368" s="276"/>
      <c r="F368" s="276"/>
      <c r="G368" s="277"/>
      <c r="H368" s="276"/>
      <c r="I368" s="276"/>
      <c r="J368" s="276"/>
      <c r="K368" s="276"/>
      <c r="L368" s="276"/>
      <c r="M368" s="276"/>
      <c r="N368" s="276"/>
      <c r="O368" s="276"/>
    </row>
    <row r="369">
      <c r="A369" s="275"/>
      <c r="B369" s="275"/>
      <c r="C369" s="275"/>
      <c r="D369" s="275"/>
      <c r="E369" s="276"/>
      <c r="F369" s="276"/>
      <c r="G369" s="277"/>
      <c r="H369" s="276"/>
      <c r="I369" s="276"/>
      <c r="J369" s="276"/>
      <c r="K369" s="276"/>
      <c r="L369" s="276"/>
      <c r="M369" s="276"/>
      <c r="N369" s="276"/>
      <c r="O369" s="276"/>
    </row>
    <row r="370">
      <c r="A370" s="275"/>
      <c r="B370" s="275"/>
      <c r="C370" s="275"/>
      <c r="D370" s="275"/>
      <c r="E370" s="276"/>
      <c r="F370" s="276"/>
      <c r="G370" s="277"/>
      <c r="H370" s="276"/>
      <c r="I370" s="276"/>
      <c r="J370" s="276"/>
      <c r="K370" s="276"/>
      <c r="L370" s="276"/>
      <c r="M370" s="276"/>
      <c r="N370" s="276"/>
      <c r="O370" s="276"/>
    </row>
    <row r="371">
      <c r="A371" s="275"/>
      <c r="B371" s="275"/>
      <c r="C371" s="275"/>
      <c r="D371" s="275"/>
      <c r="E371" s="276"/>
      <c r="F371" s="276"/>
      <c r="G371" s="277"/>
      <c r="H371" s="276"/>
      <c r="I371" s="276"/>
      <c r="J371" s="276"/>
      <c r="K371" s="276"/>
      <c r="L371" s="276"/>
      <c r="M371" s="276"/>
      <c r="N371" s="276"/>
      <c r="O371" s="276"/>
    </row>
    <row r="372">
      <c r="A372" s="275"/>
      <c r="B372" s="275"/>
      <c r="C372" s="275"/>
      <c r="D372" s="275"/>
      <c r="E372" s="276"/>
      <c r="F372" s="276"/>
      <c r="G372" s="277"/>
      <c r="H372" s="276"/>
      <c r="I372" s="276"/>
      <c r="J372" s="276"/>
      <c r="K372" s="276"/>
      <c r="L372" s="276"/>
      <c r="M372" s="276"/>
      <c r="N372" s="276"/>
      <c r="O372" s="276"/>
    </row>
    <row r="373">
      <c r="A373" s="275"/>
      <c r="B373" s="275"/>
      <c r="C373" s="275"/>
      <c r="D373" s="275"/>
      <c r="E373" s="276"/>
      <c r="F373" s="276"/>
      <c r="G373" s="277"/>
      <c r="H373" s="276"/>
      <c r="I373" s="276"/>
      <c r="J373" s="276"/>
      <c r="K373" s="276"/>
      <c r="L373" s="276"/>
      <c r="M373" s="276"/>
      <c r="N373" s="276"/>
      <c r="O373" s="276"/>
    </row>
    <row r="374">
      <c r="A374" s="275"/>
      <c r="B374" s="275"/>
      <c r="C374" s="275"/>
      <c r="D374" s="275"/>
      <c r="E374" s="276"/>
      <c r="F374" s="276"/>
      <c r="G374" s="277"/>
      <c r="H374" s="276"/>
      <c r="I374" s="276"/>
      <c r="J374" s="276"/>
      <c r="K374" s="276"/>
      <c r="L374" s="276"/>
      <c r="M374" s="276"/>
      <c r="N374" s="276"/>
      <c r="O374" s="276"/>
    </row>
    <row r="375">
      <c r="A375" s="275"/>
      <c r="B375" s="275"/>
      <c r="C375" s="275"/>
      <c r="D375" s="275"/>
      <c r="E375" s="276"/>
      <c r="F375" s="276"/>
      <c r="G375" s="277"/>
      <c r="H375" s="276"/>
      <c r="I375" s="276"/>
      <c r="J375" s="276"/>
      <c r="K375" s="276"/>
      <c r="L375" s="276"/>
      <c r="M375" s="276"/>
      <c r="N375" s="276"/>
      <c r="O375" s="276"/>
    </row>
    <row r="376">
      <c r="A376" s="275"/>
      <c r="B376" s="275"/>
      <c r="C376" s="275"/>
      <c r="D376" s="275"/>
      <c r="E376" s="276"/>
      <c r="F376" s="276"/>
      <c r="G376" s="277"/>
      <c r="H376" s="276"/>
      <c r="I376" s="276"/>
      <c r="J376" s="276"/>
      <c r="K376" s="276"/>
      <c r="L376" s="276"/>
      <c r="M376" s="276"/>
      <c r="N376" s="276"/>
      <c r="O376" s="276"/>
    </row>
    <row r="377">
      <c r="A377" s="275"/>
      <c r="B377" s="275"/>
      <c r="C377" s="275"/>
      <c r="D377" s="275"/>
      <c r="E377" s="276"/>
      <c r="F377" s="276"/>
      <c r="G377" s="277"/>
      <c r="H377" s="276"/>
      <c r="I377" s="276"/>
      <c r="J377" s="276"/>
      <c r="K377" s="276"/>
      <c r="L377" s="276"/>
      <c r="M377" s="276"/>
      <c r="N377" s="276"/>
      <c r="O377" s="276"/>
    </row>
    <row r="378">
      <c r="A378" s="275"/>
      <c r="B378" s="275"/>
      <c r="C378" s="275"/>
      <c r="D378" s="275"/>
      <c r="E378" s="276"/>
      <c r="F378" s="276"/>
      <c r="G378" s="277"/>
      <c r="H378" s="276"/>
      <c r="I378" s="276"/>
      <c r="J378" s="276"/>
      <c r="K378" s="276"/>
      <c r="L378" s="276"/>
      <c r="M378" s="276"/>
      <c r="N378" s="276"/>
      <c r="O378" s="276"/>
    </row>
    <row r="379">
      <c r="A379" s="275"/>
      <c r="B379" s="275"/>
      <c r="C379" s="275"/>
      <c r="D379" s="275"/>
      <c r="E379" s="276"/>
      <c r="F379" s="276"/>
      <c r="G379" s="277"/>
      <c r="H379" s="276"/>
      <c r="I379" s="276"/>
      <c r="J379" s="276"/>
      <c r="K379" s="276"/>
      <c r="L379" s="276"/>
      <c r="M379" s="276"/>
      <c r="N379" s="276"/>
      <c r="O379" s="276"/>
    </row>
    <row r="380">
      <c r="A380" s="275"/>
      <c r="B380" s="275"/>
      <c r="C380" s="275"/>
      <c r="D380" s="275"/>
      <c r="E380" s="276"/>
      <c r="F380" s="276"/>
      <c r="G380" s="277"/>
      <c r="H380" s="276"/>
      <c r="I380" s="276"/>
      <c r="J380" s="276"/>
      <c r="K380" s="276"/>
      <c r="L380" s="276"/>
      <c r="M380" s="276"/>
      <c r="N380" s="276"/>
      <c r="O380" s="276"/>
    </row>
    <row r="381">
      <c r="A381" s="275"/>
      <c r="B381" s="275"/>
      <c r="C381" s="275"/>
      <c r="D381" s="275"/>
      <c r="E381" s="276"/>
      <c r="F381" s="276"/>
      <c r="G381" s="277"/>
      <c r="H381" s="276"/>
      <c r="I381" s="276"/>
      <c r="J381" s="276"/>
      <c r="K381" s="276"/>
      <c r="L381" s="276"/>
      <c r="M381" s="276"/>
      <c r="N381" s="276"/>
      <c r="O381" s="276"/>
    </row>
    <row r="382">
      <c r="A382" s="275"/>
      <c r="B382" s="275"/>
      <c r="C382" s="275"/>
      <c r="D382" s="275"/>
      <c r="E382" s="276"/>
      <c r="F382" s="276"/>
      <c r="G382" s="277"/>
      <c r="H382" s="276"/>
      <c r="I382" s="276"/>
      <c r="J382" s="276"/>
      <c r="K382" s="276"/>
      <c r="L382" s="276"/>
      <c r="M382" s="276"/>
      <c r="N382" s="276"/>
      <c r="O382" s="276"/>
    </row>
    <row r="383">
      <c r="A383" s="275"/>
      <c r="B383" s="275"/>
      <c r="C383" s="275"/>
      <c r="D383" s="275"/>
      <c r="E383" s="276"/>
      <c r="F383" s="276"/>
      <c r="G383" s="277"/>
      <c r="H383" s="276"/>
      <c r="I383" s="276"/>
      <c r="J383" s="276"/>
      <c r="K383" s="276"/>
      <c r="L383" s="276"/>
      <c r="M383" s="276"/>
      <c r="N383" s="276"/>
      <c r="O383" s="276"/>
    </row>
    <row r="384">
      <c r="A384" s="275"/>
      <c r="B384" s="275"/>
      <c r="C384" s="275"/>
      <c r="D384" s="275"/>
      <c r="E384" s="276"/>
      <c r="F384" s="276"/>
      <c r="G384" s="277"/>
      <c r="H384" s="276"/>
      <c r="I384" s="276"/>
      <c r="J384" s="276"/>
      <c r="K384" s="276"/>
      <c r="L384" s="276"/>
      <c r="M384" s="276"/>
      <c r="N384" s="276"/>
      <c r="O384" s="276"/>
    </row>
    <row r="385">
      <c r="A385" s="275"/>
      <c r="B385" s="275"/>
      <c r="C385" s="275"/>
      <c r="D385" s="275"/>
      <c r="E385" s="276"/>
      <c r="F385" s="276"/>
      <c r="G385" s="277"/>
      <c r="H385" s="276"/>
      <c r="I385" s="276"/>
      <c r="J385" s="276"/>
      <c r="K385" s="276"/>
      <c r="L385" s="276"/>
      <c r="M385" s="276"/>
      <c r="N385" s="276"/>
      <c r="O385" s="276"/>
    </row>
    <row r="386">
      <c r="A386" s="275"/>
      <c r="B386" s="275"/>
      <c r="C386" s="275"/>
      <c r="D386" s="275"/>
      <c r="E386" s="276"/>
      <c r="F386" s="276"/>
      <c r="G386" s="277"/>
      <c r="H386" s="276"/>
      <c r="I386" s="276"/>
      <c r="J386" s="276"/>
      <c r="K386" s="276"/>
      <c r="L386" s="276"/>
      <c r="M386" s="276"/>
      <c r="N386" s="276"/>
      <c r="O386" s="276"/>
    </row>
    <row r="387">
      <c r="A387" s="275"/>
      <c r="B387" s="275"/>
      <c r="C387" s="275"/>
      <c r="D387" s="275"/>
      <c r="E387" s="276"/>
      <c r="F387" s="276"/>
      <c r="G387" s="277"/>
      <c r="H387" s="276"/>
      <c r="I387" s="276"/>
      <c r="J387" s="276"/>
      <c r="K387" s="276"/>
      <c r="L387" s="276"/>
      <c r="M387" s="276"/>
      <c r="N387" s="276"/>
      <c r="O387" s="276"/>
    </row>
    <row r="388">
      <c r="A388" s="275"/>
      <c r="B388" s="275"/>
      <c r="C388" s="275"/>
      <c r="D388" s="275"/>
      <c r="E388" s="276"/>
      <c r="F388" s="276"/>
      <c r="G388" s="277"/>
      <c r="H388" s="276"/>
      <c r="I388" s="276"/>
      <c r="J388" s="276"/>
      <c r="K388" s="276"/>
      <c r="L388" s="276"/>
      <c r="M388" s="276"/>
      <c r="N388" s="276"/>
      <c r="O388" s="276"/>
    </row>
    <row r="389">
      <c r="A389" s="275"/>
      <c r="B389" s="275"/>
      <c r="C389" s="275"/>
      <c r="D389" s="275"/>
      <c r="E389" s="276"/>
      <c r="F389" s="276"/>
      <c r="G389" s="277"/>
      <c r="H389" s="276"/>
      <c r="I389" s="276"/>
      <c r="J389" s="276"/>
      <c r="K389" s="276"/>
      <c r="L389" s="276"/>
      <c r="M389" s="276"/>
      <c r="N389" s="276"/>
      <c r="O389" s="276"/>
    </row>
    <row r="390">
      <c r="A390" s="275"/>
      <c r="B390" s="275"/>
      <c r="C390" s="275"/>
      <c r="D390" s="275"/>
      <c r="E390" s="276"/>
      <c r="F390" s="276"/>
      <c r="G390" s="277"/>
      <c r="H390" s="276"/>
      <c r="I390" s="276"/>
      <c r="J390" s="276"/>
      <c r="K390" s="276"/>
      <c r="L390" s="276"/>
      <c r="M390" s="276"/>
      <c r="N390" s="276"/>
      <c r="O390" s="276"/>
    </row>
    <row r="391">
      <c r="A391" s="275"/>
      <c r="B391" s="275"/>
      <c r="C391" s="275"/>
      <c r="D391" s="275"/>
      <c r="E391" s="276"/>
      <c r="F391" s="276"/>
      <c r="G391" s="277"/>
      <c r="H391" s="276"/>
      <c r="I391" s="276"/>
      <c r="J391" s="276"/>
      <c r="K391" s="276"/>
      <c r="L391" s="276"/>
      <c r="M391" s="276"/>
      <c r="N391" s="276"/>
      <c r="O391" s="276"/>
    </row>
    <row r="392">
      <c r="A392" s="275"/>
      <c r="B392" s="275"/>
      <c r="C392" s="275"/>
      <c r="D392" s="275"/>
      <c r="E392" s="276"/>
      <c r="F392" s="276"/>
      <c r="G392" s="277"/>
      <c r="H392" s="276"/>
      <c r="I392" s="276"/>
      <c r="J392" s="276"/>
      <c r="K392" s="276"/>
      <c r="L392" s="276"/>
      <c r="M392" s="276"/>
      <c r="N392" s="276"/>
      <c r="O392" s="276"/>
    </row>
    <row r="393">
      <c r="A393" s="275"/>
      <c r="B393" s="275"/>
      <c r="C393" s="275"/>
      <c r="D393" s="275"/>
      <c r="E393" s="276"/>
      <c r="F393" s="276"/>
      <c r="G393" s="277"/>
      <c r="H393" s="276"/>
      <c r="I393" s="276"/>
      <c r="J393" s="276"/>
      <c r="K393" s="276"/>
      <c r="L393" s="276"/>
      <c r="M393" s="276"/>
      <c r="N393" s="276"/>
      <c r="O393" s="276"/>
    </row>
    <row r="394">
      <c r="A394" s="275"/>
      <c r="B394" s="275"/>
      <c r="C394" s="275"/>
      <c r="D394" s="275"/>
      <c r="E394" s="276"/>
      <c r="F394" s="276"/>
      <c r="G394" s="277"/>
      <c r="H394" s="276"/>
      <c r="I394" s="276"/>
      <c r="J394" s="276"/>
      <c r="K394" s="276"/>
      <c r="L394" s="276"/>
      <c r="M394" s="276"/>
      <c r="N394" s="276"/>
      <c r="O394" s="276"/>
    </row>
    <row r="395">
      <c r="A395" s="275"/>
      <c r="B395" s="275"/>
      <c r="C395" s="275"/>
      <c r="D395" s="275"/>
      <c r="E395" s="276"/>
      <c r="F395" s="276"/>
      <c r="G395" s="277"/>
      <c r="H395" s="276"/>
      <c r="I395" s="276"/>
      <c r="J395" s="276"/>
      <c r="K395" s="276"/>
      <c r="L395" s="276"/>
      <c r="M395" s="276"/>
      <c r="N395" s="276"/>
      <c r="O395" s="276"/>
    </row>
    <row r="396">
      <c r="A396" s="275"/>
      <c r="B396" s="275"/>
      <c r="C396" s="275"/>
      <c r="D396" s="275"/>
      <c r="E396" s="276"/>
      <c r="F396" s="276"/>
      <c r="G396" s="277"/>
      <c r="H396" s="276"/>
      <c r="I396" s="276"/>
      <c r="J396" s="276"/>
      <c r="K396" s="276"/>
      <c r="L396" s="276"/>
      <c r="M396" s="276"/>
      <c r="N396" s="276"/>
      <c r="O396" s="276"/>
    </row>
    <row r="397">
      <c r="A397" s="275"/>
      <c r="B397" s="275"/>
      <c r="C397" s="275"/>
      <c r="D397" s="275"/>
      <c r="E397" s="276"/>
      <c r="F397" s="276"/>
      <c r="G397" s="277"/>
      <c r="H397" s="276"/>
      <c r="I397" s="276"/>
      <c r="J397" s="276"/>
      <c r="K397" s="276"/>
      <c r="L397" s="276"/>
      <c r="M397" s="276"/>
      <c r="N397" s="276"/>
      <c r="O397" s="276"/>
    </row>
    <row r="398">
      <c r="A398" s="275"/>
      <c r="B398" s="275"/>
      <c r="C398" s="275"/>
      <c r="D398" s="275"/>
      <c r="E398" s="276"/>
      <c r="F398" s="276"/>
      <c r="G398" s="277"/>
      <c r="H398" s="276"/>
      <c r="I398" s="276"/>
      <c r="J398" s="276"/>
      <c r="K398" s="276"/>
      <c r="L398" s="276"/>
      <c r="M398" s="276"/>
      <c r="N398" s="276"/>
      <c r="O398" s="276"/>
    </row>
    <row r="399">
      <c r="A399" s="275"/>
      <c r="B399" s="275"/>
      <c r="C399" s="275"/>
      <c r="D399" s="275"/>
      <c r="E399" s="276"/>
      <c r="F399" s="276"/>
      <c r="G399" s="277"/>
      <c r="H399" s="276"/>
      <c r="I399" s="276"/>
      <c r="J399" s="276"/>
      <c r="K399" s="276"/>
      <c r="L399" s="276"/>
      <c r="M399" s="276"/>
      <c r="N399" s="276"/>
      <c r="O399" s="276"/>
    </row>
    <row r="400">
      <c r="A400" s="275"/>
      <c r="B400" s="275"/>
      <c r="C400" s="275"/>
      <c r="D400" s="275"/>
      <c r="E400" s="276"/>
      <c r="F400" s="276"/>
      <c r="G400" s="277"/>
      <c r="H400" s="276"/>
      <c r="I400" s="276"/>
      <c r="J400" s="276"/>
      <c r="K400" s="276"/>
      <c r="L400" s="276"/>
      <c r="M400" s="276"/>
      <c r="N400" s="276"/>
      <c r="O400" s="276"/>
    </row>
    <row r="401">
      <c r="A401" s="275"/>
      <c r="B401" s="275"/>
      <c r="C401" s="275"/>
      <c r="D401" s="275"/>
      <c r="E401" s="276"/>
      <c r="F401" s="276"/>
      <c r="G401" s="277"/>
      <c r="H401" s="276"/>
      <c r="I401" s="276"/>
      <c r="J401" s="276"/>
      <c r="K401" s="276"/>
      <c r="L401" s="276"/>
      <c r="M401" s="276"/>
      <c r="N401" s="276"/>
      <c r="O401" s="276"/>
    </row>
    <row r="402">
      <c r="A402" s="275"/>
      <c r="B402" s="275"/>
      <c r="C402" s="275"/>
      <c r="D402" s="275"/>
      <c r="E402" s="276"/>
      <c r="F402" s="276"/>
      <c r="G402" s="277"/>
      <c r="H402" s="276"/>
      <c r="I402" s="276"/>
      <c r="J402" s="276"/>
      <c r="K402" s="276"/>
      <c r="L402" s="276"/>
      <c r="M402" s="276"/>
      <c r="N402" s="276"/>
      <c r="O402" s="276"/>
    </row>
    <row r="403">
      <c r="A403" s="275"/>
      <c r="B403" s="275"/>
      <c r="C403" s="275"/>
      <c r="D403" s="275"/>
      <c r="E403" s="276"/>
      <c r="F403" s="276"/>
      <c r="G403" s="277"/>
      <c r="H403" s="276"/>
      <c r="I403" s="276"/>
      <c r="J403" s="276"/>
      <c r="K403" s="276"/>
      <c r="L403" s="276"/>
      <c r="M403" s="276"/>
      <c r="N403" s="276"/>
      <c r="O403" s="276"/>
    </row>
    <row r="404">
      <c r="A404" s="275"/>
      <c r="B404" s="275"/>
      <c r="C404" s="275"/>
      <c r="D404" s="275"/>
      <c r="E404" s="276"/>
      <c r="F404" s="276"/>
      <c r="G404" s="277"/>
      <c r="H404" s="276"/>
      <c r="I404" s="276"/>
      <c r="J404" s="276"/>
      <c r="K404" s="276"/>
      <c r="L404" s="276"/>
      <c r="M404" s="276"/>
      <c r="N404" s="276"/>
      <c r="O404" s="276"/>
    </row>
    <row r="405">
      <c r="A405" s="275"/>
      <c r="B405" s="275"/>
      <c r="C405" s="275"/>
      <c r="D405" s="275"/>
      <c r="E405" s="276"/>
      <c r="F405" s="276"/>
      <c r="G405" s="277"/>
      <c r="H405" s="276"/>
      <c r="I405" s="276"/>
      <c r="J405" s="276"/>
      <c r="K405" s="276"/>
      <c r="L405" s="276"/>
      <c r="M405" s="276"/>
      <c r="N405" s="276"/>
      <c r="O405" s="276"/>
    </row>
    <row r="406">
      <c r="A406" s="275"/>
      <c r="B406" s="275"/>
      <c r="C406" s="275"/>
      <c r="D406" s="275"/>
      <c r="E406" s="276"/>
      <c r="F406" s="276"/>
      <c r="G406" s="277"/>
      <c r="H406" s="276"/>
      <c r="I406" s="276"/>
      <c r="J406" s="276"/>
      <c r="K406" s="276"/>
      <c r="L406" s="276"/>
      <c r="M406" s="276"/>
      <c r="N406" s="276"/>
      <c r="O406" s="276"/>
    </row>
    <row r="407">
      <c r="A407" s="275"/>
      <c r="B407" s="275"/>
      <c r="C407" s="275"/>
      <c r="D407" s="275"/>
      <c r="E407" s="276"/>
      <c r="F407" s="276"/>
      <c r="G407" s="277"/>
      <c r="H407" s="276"/>
      <c r="I407" s="276"/>
      <c r="J407" s="276"/>
      <c r="K407" s="276"/>
      <c r="L407" s="276"/>
      <c r="M407" s="276"/>
      <c r="N407" s="276"/>
      <c r="O407" s="276"/>
    </row>
    <row r="408">
      <c r="A408" s="275"/>
      <c r="B408" s="275"/>
      <c r="C408" s="275"/>
      <c r="D408" s="275"/>
      <c r="E408" s="276"/>
      <c r="F408" s="276"/>
      <c r="G408" s="277"/>
      <c r="H408" s="276"/>
      <c r="I408" s="276"/>
      <c r="J408" s="276"/>
      <c r="K408" s="276"/>
      <c r="L408" s="276"/>
      <c r="M408" s="276"/>
      <c r="N408" s="276"/>
      <c r="O408" s="276"/>
    </row>
    <row r="409">
      <c r="A409" s="275"/>
      <c r="B409" s="275"/>
      <c r="C409" s="275"/>
      <c r="D409" s="275"/>
      <c r="E409" s="276"/>
      <c r="F409" s="276"/>
      <c r="G409" s="277"/>
      <c r="H409" s="276"/>
      <c r="I409" s="276"/>
      <c r="J409" s="276"/>
      <c r="K409" s="276"/>
      <c r="L409" s="276"/>
      <c r="M409" s="276"/>
      <c r="N409" s="276"/>
      <c r="O409" s="276"/>
    </row>
    <row r="410">
      <c r="A410" s="275"/>
      <c r="B410" s="275"/>
      <c r="C410" s="275"/>
      <c r="D410" s="275"/>
      <c r="E410" s="276"/>
      <c r="F410" s="276"/>
      <c r="G410" s="277"/>
      <c r="H410" s="276"/>
      <c r="I410" s="276"/>
      <c r="J410" s="276"/>
      <c r="K410" s="276"/>
      <c r="L410" s="276"/>
      <c r="M410" s="276"/>
      <c r="N410" s="276"/>
      <c r="O410" s="276"/>
    </row>
    <row r="411">
      <c r="A411" s="275"/>
      <c r="B411" s="275"/>
      <c r="C411" s="275"/>
      <c r="D411" s="275"/>
      <c r="E411" s="276"/>
      <c r="F411" s="276"/>
      <c r="G411" s="277"/>
      <c r="H411" s="276"/>
      <c r="I411" s="276"/>
      <c r="J411" s="276"/>
      <c r="K411" s="276"/>
      <c r="L411" s="276"/>
      <c r="M411" s="276"/>
      <c r="N411" s="276"/>
      <c r="O411" s="276"/>
    </row>
    <row r="412">
      <c r="A412" s="275"/>
      <c r="B412" s="275"/>
      <c r="C412" s="275"/>
      <c r="D412" s="275"/>
      <c r="E412" s="276"/>
      <c r="F412" s="276"/>
      <c r="G412" s="277"/>
      <c r="H412" s="276"/>
      <c r="I412" s="276"/>
      <c r="J412" s="276"/>
      <c r="K412" s="276"/>
      <c r="L412" s="276"/>
      <c r="M412" s="276"/>
      <c r="N412" s="276"/>
      <c r="O412" s="276"/>
    </row>
    <row r="413">
      <c r="A413" s="275"/>
      <c r="B413" s="275"/>
      <c r="C413" s="275"/>
      <c r="D413" s="275"/>
      <c r="E413" s="276"/>
      <c r="F413" s="276"/>
      <c r="G413" s="277"/>
      <c r="H413" s="276"/>
      <c r="I413" s="276"/>
      <c r="J413" s="276"/>
      <c r="K413" s="276"/>
      <c r="L413" s="276"/>
      <c r="M413" s="276"/>
      <c r="N413" s="276"/>
      <c r="O413" s="276"/>
    </row>
    <row r="414">
      <c r="A414" s="275"/>
      <c r="B414" s="275"/>
      <c r="C414" s="275"/>
      <c r="D414" s="275"/>
      <c r="E414" s="276"/>
      <c r="F414" s="276"/>
      <c r="G414" s="277"/>
      <c r="H414" s="276"/>
      <c r="I414" s="276"/>
      <c r="J414" s="276"/>
      <c r="K414" s="276"/>
      <c r="L414" s="276"/>
      <c r="M414" s="276"/>
      <c r="N414" s="276"/>
      <c r="O414" s="276"/>
    </row>
    <row r="415">
      <c r="A415" s="275"/>
      <c r="B415" s="275"/>
      <c r="C415" s="275"/>
      <c r="D415" s="275"/>
      <c r="E415" s="276"/>
      <c r="F415" s="276"/>
      <c r="G415" s="277"/>
      <c r="H415" s="276"/>
      <c r="I415" s="276"/>
      <c r="J415" s="276"/>
      <c r="K415" s="276"/>
      <c r="L415" s="276"/>
      <c r="M415" s="276"/>
      <c r="N415" s="276"/>
      <c r="O415" s="276"/>
    </row>
    <row r="416">
      <c r="A416" s="275"/>
      <c r="B416" s="275"/>
      <c r="C416" s="275"/>
      <c r="D416" s="275"/>
      <c r="E416" s="276"/>
      <c r="F416" s="276"/>
      <c r="G416" s="277"/>
      <c r="H416" s="276"/>
      <c r="I416" s="276"/>
      <c r="J416" s="276"/>
      <c r="K416" s="276"/>
      <c r="L416" s="276"/>
      <c r="M416" s="276"/>
      <c r="N416" s="276"/>
      <c r="O416" s="276"/>
    </row>
    <row r="417">
      <c r="A417" s="275"/>
      <c r="B417" s="275"/>
      <c r="C417" s="275"/>
      <c r="D417" s="275"/>
      <c r="E417" s="276"/>
      <c r="F417" s="276"/>
      <c r="G417" s="277"/>
      <c r="H417" s="276"/>
      <c r="I417" s="276"/>
      <c r="J417" s="276"/>
      <c r="K417" s="276"/>
      <c r="L417" s="276"/>
      <c r="M417" s="276"/>
      <c r="N417" s="276"/>
      <c r="O417" s="276"/>
    </row>
    <row r="418">
      <c r="A418" s="275"/>
      <c r="B418" s="275"/>
      <c r="C418" s="275"/>
      <c r="D418" s="275"/>
      <c r="E418" s="276"/>
      <c r="F418" s="276"/>
      <c r="G418" s="277"/>
      <c r="H418" s="276"/>
      <c r="I418" s="276"/>
      <c r="J418" s="276"/>
      <c r="K418" s="276"/>
      <c r="L418" s="276"/>
      <c r="M418" s="276"/>
      <c r="N418" s="276"/>
      <c r="O418" s="276"/>
    </row>
    <row r="419">
      <c r="A419" s="275"/>
      <c r="B419" s="275"/>
      <c r="C419" s="275"/>
      <c r="D419" s="275"/>
      <c r="E419" s="276"/>
      <c r="F419" s="276"/>
      <c r="G419" s="277"/>
      <c r="H419" s="276"/>
      <c r="I419" s="276"/>
      <c r="J419" s="276"/>
      <c r="K419" s="276"/>
      <c r="L419" s="276"/>
      <c r="M419" s="276"/>
      <c r="N419" s="276"/>
      <c r="O419" s="276"/>
    </row>
    <row r="420">
      <c r="A420" s="275"/>
      <c r="B420" s="275"/>
      <c r="C420" s="275"/>
      <c r="D420" s="275"/>
      <c r="E420" s="276"/>
      <c r="F420" s="276"/>
      <c r="G420" s="277"/>
      <c r="H420" s="276"/>
      <c r="I420" s="276"/>
      <c r="J420" s="276"/>
      <c r="K420" s="276"/>
      <c r="L420" s="276"/>
      <c r="M420" s="276"/>
      <c r="N420" s="276"/>
      <c r="O420" s="276"/>
    </row>
    <row r="421">
      <c r="A421" s="275"/>
      <c r="B421" s="275"/>
      <c r="C421" s="275"/>
      <c r="D421" s="275"/>
      <c r="E421" s="276"/>
      <c r="F421" s="276"/>
      <c r="G421" s="277"/>
      <c r="H421" s="276"/>
      <c r="I421" s="276"/>
      <c r="J421" s="276"/>
      <c r="K421" s="276"/>
      <c r="L421" s="276"/>
      <c r="M421" s="276"/>
      <c r="N421" s="276"/>
      <c r="O421" s="276"/>
    </row>
    <row r="422">
      <c r="A422" s="275"/>
      <c r="B422" s="275"/>
      <c r="C422" s="275"/>
      <c r="D422" s="275"/>
      <c r="E422" s="276"/>
      <c r="F422" s="276"/>
      <c r="G422" s="277"/>
      <c r="H422" s="276"/>
      <c r="I422" s="276"/>
      <c r="J422" s="276"/>
      <c r="K422" s="276"/>
      <c r="L422" s="276"/>
      <c r="M422" s="276"/>
      <c r="N422" s="276"/>
      <c r="O422" s="276"/>
    </row>
    <row r="423">
      <c r="A423" s="275"/>
      <c r="B423" s="275"/>
      <c r="C423" s="275"/>
      <c r="D423" s="275"/>
      <c r="E423" s="276"/>
      <c r="F423" s="276"/>
      <c r="G423" s="277"/>
      <c r="H423" s="276"/>
      <c r="I423" s="276"/>
      <c r="J423" s="276"/>
      <c r="K423" s="276"/>
      <c r="L423" s="276"/>
      <c r="M423" s="276"/>
      <c r="N423" s="276"/>
      <c r="O423" s="276"/>
    </row>
    <row r="424">
      <c r="A424" s="275"/>
      <c r="B424" s="275"/>
      <c r="C424" s="275"/>
      <c r="D424" s="275"/>
      <c r="E424" s="276"/>
      <c r="F424" s="276"/>
      <c r="G424" s="277"/>
      <c r="H424" s="276"/>
      <c r="I424" s="276"/>
      <c r="J424" s="276"/>
      <c r="K424" s="276"/>
      <c r="L424" s="276"/>
      <c r="M424" s="276"/>
      <c r="N424" s="276"/>
      <c r="O424" s="276"/>
    </row>
    <row r="425">
      <c r="A425" s="275"/>
      <c r="B425" s="275"/>
      <c r="C425" s="275"/>
      <c r="D425" s="275"/>
      <c r="E425" s="276"/>
      <c r="F425" s="276"/>
      <c r="G425" s="277"/>
      <c r="H425" s="276"/>
      <c r="I425" s="276"/>
      <c r="J425" s="276"/>
      <c r="K425" s="276"/>
      <c r="L425" s="276"/>
      <c r="M425" s="276"/>
      <c r="N425" s="276"/>
      <c r="O425" s="276"/>
    </row>
    <row r="426">
      <c r="A426" s="275"/>
      <c r="B426" s="275"/>
      <c r="C426" s="275"/>
      <c r="D426" s="275"/>
      <c r="E426" s="276"/>
      <c r="F426" s="276"/>
      <c r="G426" s="277"/>
      <c r="H426" s="276"/>
      <c r="I426" s="276"/>
      <c r="J426" s="276"/>
      <c r="K426" s="276"/>
      <c r="L426" s="276"/>
      <c r="M426" s="276"/>
      <c r="N426" s="276"/>
      <c r="O426" s="276"/>
    </row>
    <row r="427">
      <c r="A427" s="275"/>
      <c r="B427" s="275"/>
      <c r="C427" s="275"/>
      <c r="D427" s="275"/>
      <c r="E427" s="276"/>
      <c r="F427" s="276"/>
      <c r="G427" s="277"/>
      <c r="H427" s="276"/>
      <c r="I427" s="276"/>
      <c r="J427" s="276"/>
      <c r="K427" s="276"/>
      <c r="L427" s="276"/>
      <c r="M427" s="276"/>
      <c r="N427" s="276"/>
      <c r="O427" s="276"/>
    </row>
    <row r="428">
      <c r="A428" s="275"/>
      <c r="B428" s="275"/>
      <c r="C428" s="275"/>
      <c r="D428" s="275"/>
      <c r="E428" s="276"/>
      <c r="F428" s="276"/>
      <c r="G428" s="277"/>
      <c r="H428" s="276"/>
      <c r="I428" s="276"/>
      <c r="J428" s="276"/>
      <c r="K428" s="276"/>
      <c r="L428" s="276"/>
      <c r="M428" s="276"/>
      <c r="N428" s="276"/>
      <c r="O428" s="276"/>
    </row>
    <row r="429">
      <c r="A429" s="275"/>
      <c r="B429" s="275"/>
      <c r="C429" s="275"/>
      <c r="D429" s="275"/>
      <c r="E429" s="276"/>
      <c r="F429" s="276"/>
      <c r="G429" s="277"/>
      <c r="H429" s="276"/>
      <c r="I429" s="276"/>
      <c r="J429" s="276"/>
      <c r="K429" s="276"/>
      <c r="L429" s="276"/>
      <c r="M429" s="276"/>
      <c r="N429" s="276"/>
      <c r="O429" s="276"/>
    </row>
    <row r="430">
      <c r="A430" s="275"/>
      <c r="B430" s="275"/>
      <c r="C430" s="275"/>
      <c r="D430" s="275"/>
      <c r="E430" s="276"/>
      <c r="F430" s="276"/>
      <c r="G430" s="277"/>
      <c r="H430" s="276"/>
      <c r="I430" s="276"/>
      <c r="J430" s="276"/>
      <c r="K430" s="276"/>
      <c r="L430" s="276"/>
      <c r="M430" s="276"/>
      <c r="N430" s="276"/>
      <c r="O430" s="276"/>
    </row>
    <row r="431">
      <c r="A431" s="275"/>
      <c r="B431" s="275"/>
      <c r="C431" s="275"/>
      <c r="D431" s="275"/>
      <c r="E431" s="276"/>
      <c r="F431" s="276"/>
      <c r="G431" s="277"/>
      <c r="H431" s="276"/>
      <c r="I431" s="276"/>
      <c r="J431" s="276"/>
      <c r="K431" s="276"/>
      <c r="L431" s="276"/>
      <c r="M431" s="276"/>
      <c r="N431" s="276"/>
      <c r="O431" s="276"/>
    </row>
    <row r="432">
      <c r="A432" s="275"/>
      <c r="B432" s="275"/>
      <c r="C432" s="275"/>
      <c r="D432" s="275"/>
      <c r="E432" s="276"/>
      <c r="F432" s="276"/>
      <c r="G432" s="277"/>
      <c r="H432" s="276"/>
      <c r="I432" s="276"/>
      <c r="J432" s="276"/>
      <c r="K432" s="276"/>
      <c r="L432" s="276"/>
      <c r="M432" s="276"/>
      <c r="N432" s="276"/>
      <c r="O432" s="276"/>
    </row>
    <row r="433">
      <c r="A433" s="275"/>
      <c r="B433" s="275"/>
      <c r="C433" s="275"/>
      <c r="D433" s="275"/>
      <c r="E433" s="276"/>
      <c r="F433" s="276"/>
      <c r="G433" s="277"/>
      <c r="H433" s="276"/>
      <c r="I433" s="276"/>
      <c r="J433" s="276"/>
      <c r="K433" s="276"/>
      <c r="L433" s="276"/>
      <c r="M433" s="276"/>
      <c r="N433" s="276"/>
      <c r="O433" s="276"/>
    </row>
    <row r="434">
      <c r="A434" s="275"/>
      <c r="B434" s="275"/>
      <c r="C434" s="275"/>
      <c r="D434" s="275"/>
      <c r="E434" s="276"/>
      <c r="F434" s="276"/>
      <c r="G434" s="277"/>
      <c r="H434" s="276"/>
      <c r="I434" s="276"/>
      <c r="J434" s="276"/>
      <c r="K434" s="276"/>
      <c r="L434" s="276"/>
      <c r="M434" s="276"/>
      <c r="N434" s="276"/>
      <c r="O434" s="276"/>
    </row>
    <row r="435">
      <c r="A435" s="275"/>
      <c r="B435" s="275"/>
      <c r="C435" s="275"/>
      <c r="D435" s="275"/>
      <c r="E435" s="276"/>
      <c r="F435" s="276"/>
      <c r="G435" s="277"/>
      <c r="H435" s="276"/>
      <c r="I435" s="276"/>
      <c r="J435" s="276"/>
      <c r="K435" s="276"/>
      <c r="L435" s="276"/>
      <c r="M435" s="276"/>
      <c r="N435" s="276"/>
      <c r="O435" s="276"/>
    </row>
    <row r="436">
      <c r="A436" s="275"/>
      <c r="B436" s="275"/>
      <c r="C436" s="275"/>
      <c r="D436" s="275"/>
      <c r="E436" s="276"/>
      <c r="F436" s="276"/>
      <c r="G436" s="277"/>
      <c r="H436" s="276"/>
      <c r="I436" s="276"/>
      <c r="J436" s="276"/>
      <c r="K436" s="276"/>
      <c r="L436" s="276"/>
      <c r="M436" s="276"/>
      <c r="N436" s="276"/>
      <c r="O436" s="276"/>
    </row>
    <row r="437">
      <c r="A437" s="275"/>
      <c r="B437" s="275"/>
      <c r="C437" s="275"/>
      <c r="D437" s="275"/>
      <c r="E437" s="276"/>
      <c r="F437" s="276"/>
      <c r="G437" s="277"/>
      <c r="H437" s="276"/>
      <c r="I437" s="276"/>
      <c r="J437" s="276"/>
      <c r="K437" s="276"/>
      <c r="L437" s="276"/>
      <c r="M437" s="276"/>
      <c r="N437" s="276"/>
      <c r="O437" s="276"/>
    </row>
    <row r="438">
      <c r="A438" s="275"/>
      <c r="B438" s="275"/>
      <c r="C438" s="275"/>
      <c r="D438" s="275"/>
      <c r="E438" s="276"/>
      <c r="F438" s="276"/>
      <c r="G438" s="277"/>
      <c r="H438" s="276"/>
      <c r="I438" s="276"/>
      <c r="J438" s="276"/>
      <c r="K438" s="276"/>
      <c r="L438" s="276"/>
      <c r="M438" s="276"/>
      <c r="N438" s="276"/>
      <c r="O438" s="276"/>
    </row>
    <row r="439">
      <c r="A439" s="275"/>
      <c r="B439" s="275"/>
      <c r="C439" s="275"/>
      <c r="D439" s="275"/>
      <c r="E439" s="276"/>
      <c r="F439" s="276"/>
      <c r="G439" s="277"/>
      <c r="H439" s="276"/>
      <c r="I439" s="276"/>
      <c r="J439" s="276"/>
      <c r="K439" s="276"/>
      <c r="L439" s="276"/>
      <c r="M439" s="276"/>
      <c r="N439" s="276"/>
      <c r="O439" s="276"/>
    </row>
    <row r="440">
      <c r="A440" s="275"/>
      <c r="B440" s="275"/>
      <c r="C440" s="275"/>
      <c r="D440" s="275"/>
      <c r="E440" s="276"/>
      <c r="F440" s="276"/>
      <c r="G440" s="277"/>
      <c r="H440" s="276"/>
      <c r="I440" s="276"/>
      <c r="J440" s="276"/>
      <c r="K440" s="276"/>
      <c r="L440" s="276"/>
      <c r="M440" s="276"/>
      <c r="N440" s="276"/>
      <c r="O440" s="276"/>
    </row>
    <row r="441">
      <c r="A441" s="275"/>
      <c r="B441" s="275"/>
      <c r="C441" s="275"/>
      <c r="D441" s="275"/>
      <c r="E441" s="276"/>
      <c r="F441" s="276"/>
      <c r="G441" s="277"/>
      <c r="H441" s="276"/>
      <c r="I441" s="276"/>
      <c r="J441" s="276"/>
      <c r="K441" s="276"/>
      <c r="L441" s="276"/>
      <c r="M441" s="276"/>
      <c r="N441" s="276"/>
      <c r="O441" s="276"/>
    </row>
    <row r="442">
      <c r="A442" s="275"/>
      <c r="B442" s="275"/>
      <c r="C442" s="275"/>
      <c r="D442" s="275"/>
      <c r="E442" s="276"/>
      <c r="F442" s="276"/>
      <c r="G442" s="277"/>
      <c r="H442" s="276"/>
      <c r="I442" s="276"/>
      <c r="J442" s="276"/>
      <c r="K442" s="276"/>
      <c r="L442" s="276"/>
      <c r="M442" s="276"/>
      <c r="N442" s="276"/>
      <c r="O442" s="276"/>
    </row>
    <row r="443">
      <c r="A443" s="275"/>
      <c r="B443" s="275"/>
      <c r="C443" s="275"/>
      <c r="D443" s="275"/>
      <c r="E443" s="276"/>
      <c r="F443" s="276"/>
      <c r="G443" s="277"/>
      <c r="H443" s="276"/>
      <c r="I443" s="276"/>
      <c r="J443" s="276"/>
      <c r="K443" s="276"/>
      <c r="L443" s="276"/>
      <c r="M443" s="276"/>
      <c r="N443" s="276"/>
      <c r="O443" s="276"/>
    </row>
    <row r="444">
      <c r="A444" s="275"/>
      <c r="B444" s="275"/>
      <c r="C444" s="275"/>
      <c r="D444" s="275"/>
      <c r="E444" s="276"/>
      <c r="F444" s="276"/>
      <c r="G444" s="277"/>
      <c r="H444" s="276"/>
      <c r="I444" s="276"/>
      <c r="J444" s="276"/>
      <c r="K444" s="276"/>
      <c r="L444" s="276"/>
      <c r="M444" s="276"/>
      <c r="N444" s="276"/>
      <c r="O444" s="276"/>
    </row>
    <row r="445">
      <c r="A445" s="275"/>
      <c r="B445" s="275"/>
      <c r="C445" s="275"/>
      <c r="D445" s="275"/>
      <c r="E445" s="276"/>
      <c r="F445" s="276"/>
      <c r="G445" s="277"/>
      <c r="H445" s="276"/>
      <c r="I445" s="276"/>
      <c r="J445" s="276"/>
      <c r="K445" s="276"/>
      <c r="L445" s="276"/>
      <c r="M445" s="276"/>
      <c r="N445" s="276"/>
      <c r="O445" s="276"/>
    </row>
    <row r="446">
      <c r="A446" s="275"/>
      <c r="B446" s="275"/>
      <c r="C446" s="275"/>
      <c r="D446" s="275"/>
      <c r="E446" s="276"/>
      <c r="F446" s="276"/>
      <c r="G446" s="277"/>
      <c r="H446" s="276"/>
      <c r="I446" s="276"/>
      <c r="J446" s="276"/>
      <c r="K446" s="276"/>
      <c r="L446" s="276"/>
      <c r="M446" s="276"/>
      <c r="N446" s="276"/>
      <c r="O446" s="276"/>
    </row>
    <row r="447">
      <c r="A447" s="275"/>
      <c r="B447" s="275"/>
      <c r="C447" s="275"/>
      <c r="D447" s="275"/>
      <c r="E447" s="276"/>
      <c r="F447" s="276"/>
      <c r="G447" s="277"/>
      <c r="H447" s="276"/>
      <c r="I447" s="276"/>
      <c r="J447" s="276"/>
      <c r="K447" s="276"/>
      <c r="L447" s="276"/>
      <c r="M447" s="276"/>
      <c r="N447" s="276"/>
      <c r="O447" s="276"/>
    </row>
    <row r="448">
      <c r="A448" s="275"/>
      <c r="B448" s="275"/>
      <c r="C448" s="275"/>
      <c r="D448" s="275"/>
      <c r="E448" s="276"/>
      <c r="F448" s="276"/>
      <c r="G448" s="277"/>
      <c r="H448" s="276"/>
      <c r="I448" s="276"/>
      <c r="J448" s="276"/>
      <c r="K448" s="276"/>
      <c r="L448" s="276"/>
      <c r="M448" s="276"/>
      <c r="N448" s="276"/>
      <c r="O448" s="276"/>
    </row>
    <row r="449">
      <c r="A449" s="275"/>
      <c r="B449" s="275"/>
      <c r="C449" s="275"/>
      <c r="D449" s="275"/>
      <c r="E449" s="276"/>
      <c r="F449" s="276"/>
      <c r="G449" s="277"/>
      <c r="H449" s="276"/>
      <c r="I449" s="276"/>
      <c r="J449" s="276"/>
      <c r="K449" s="276"/>
      <c r="L449" s="276"/>
      <c r="M449" s="276"/>
      <c r="N449" s="276"/>
      <c r="O449" s="276"/>
    </row>
    <row r="450">
      <c r="A450" s="275"/>
      <c r="B450" s="275"/>
      <c r="C450" s="275"/>
      <c r="D450" s="275"/>
      <c r="E450" s="276"/>
      <c r="F450" s="276"/>
      <c r="G450" s="277"/>
      <c r="H450" s="276"/>
      <c r="I450" s="276"/>
      <c r="J450" s="276"/>
      <c r="K450" s="276"/>
      <c r="L450" s="276"/>
      <c r="M450" s="276"/>
      <c r="N450" s="276"/>
      <c r="O450" s="276"/>
    </row>
    <row r="451">
      <c r="A451" s="275"/>
      <c r="B451" s="275"/>
      <c r="C451" s="275"/>
      <c r="D451" s="275"/>
      <c r="E451" s="276"/>
      <c r="F451" s="276"/>
      <c r="G451" s="277"/>
      <c r="H451" s="276"/>
      <c r="I451" s="276"/>
      <c r="J451" s="276"/>
      <c r="K451" s="276"/>
      <c r="L451" s="276"/>
      <c r="M451" s="276"/>
      <c r="N451" s="276"/>
      <c r="O451" s="276"/>
    </row>
    <row r="452">
      <c r="A452" s="275"/>
      <c r="B452" s="275"/>
      <c r="C452" s="275"/>
      <c r="D452" s="275"/>
      <c r="E452" s="276"/>
      <c r="F452" s="276"/>
      <c r="G452" s="277"/>
      <c r="H452" s="276"/>
      <c r="I452" s="276"/>
      <c r="J452" s="276"/>
      <c r="K452" s="276"/>
      <c r="L452" s="276"/>
      <c r="M452" s="276"/>
      <c r="N452" s="276"/>
      <c r="O452" s="276"/>
    </row>
    <row r="453">
      <c r="A453" s="275"/>
      <c r="B453" s="275"/>
      <c r="C453" s="275"/>
      <c r="D453" s="275"/>
      <c r="E453" s="276"/>
      <c r="F453" s="276"/>
      <c r="G453" s="277"/>
      <c r="H453" s="276"/>
      <c r="I453" s="276"/>
      <c r="J453" s="276"/>
      <c r="K453" s="276"/>
      <c r="L453" s="276"/>
      <c r="M453" s="276"/>
      <c r="N453" s="276"/>
      <c r="O453" s="276"/>
    </row>
    <row r="454">
      <c r="A454" s="275"/>
      <c r="B454" s="275"/>
      <c r="C454" s="275"/>
      <c r="D454" s="275"/>
      <c r="E454" s="276"/>
      <c r="F454" s="276"/>
      <c r="G454" s="277"/>
      <c r="H454" s="276"/>
      <c r="I454" s="276"/>
      <c r="J454" s="276"/>
      <c r="K454" s="276"/>
      <c r="L454" s="276"/>
      <c r="M454" s="276"/>
      <c r="N454" s="276"/>
      <c r="O454" s="276"/>
    </row>
    <row r="455">
      <c r="A455" s="275"/>
      <c r="B455" s="275"/>
      <c r="C455" s="275"/>
      <c r="D455" s="275"/>
      <c r="E455" s="276"/>
      <c r="F455" s="276"/>
      <c r="G455" s="277"/>
      <c r="H455" s="276"/>
      <c r="I455" s="276"/>
      <c r="J455" s="276"/>
      <c r="K455" s="276"/>
      <c r="L455" s="276"/>
      <c r="M455" s="276"/>
      <c r="N455" s="276"/>
      <c r="O455" s="276"/>
    </row>
    <row r="456">
      <c r="A456" s="275"/>
      <c r="B456" s="275"/>
      <c r="C456" s="275"/>
      <c r="D456" s="275"/>
      <c r="E456" s="276"/>
      <c r="F456" s="276"/>
      <c r="G456" s="277"/>
      <c r="H456" s="276"/>
      <c r="I456" s="276"/>
      <c r="J456" s="276"/>
      <c r="K456" s="276"/>
      <c r="L456" s="276"/>
      <c r="M456" s="276"/>
      <c r="N456" s="276"/>
      <c r="O456" s="276"/>
    </row>
    <row r="457">
      <c r="A457" s="275"/>
      <c r="B457" s="275"/>
      <c r="C457" s="275"/>
      <c r="D457" s="275"/>
      <c r="E457" s="276"/>
      <c r="F457" s="276"/>
      <c r="G457" s="277"/>
      <c r="H457" s="276"/>
      <c r="I457" s="276"/>
      <c r="J457" s="276"/>
      <c r="K457" s="276"/>
      <c r="L457" s="276"/>
      <c r="M457" s="276"/>
      <c r="N457" s="276"/>
      <c r="O457" s="276"/>
    </row>
    <row r="458">
      <c r="A458" s="275"/>
      <c r="B458" s="275"/>
      <c r="C458" s="275"/>
      <c r="D458" s="275"/>
      <c r="E458" s="276"/>
      <c r="F458" s="276"/>
      <c r="G458" s="277"/>
      <c r="H458" s="276"/>
      <c r="I458" s="276"/>
      <c r="J458" s="276"/>
      <c r="K458" s="276"/>
      <c r="L458" s="276"/>
      <c r="M458" s="276"/>
      <c r="N458" s="276"/>
      <c r="O458" s="276"/>
    </row>
    <row r="459">
      <c r="A459" s="275"/>
      <c r="B459" s="275"/>
      <c r="C459" s="275"/>
      <c r="D459" s="275"/>
      <c r="E459" s="276"/>
      <c r="F459" s="276"/>
      <c r="G459" s="277"/>
      <c r="H459" s="276"/>
      <c r="I459" s="276"/>
      <c r="J459" s="276"/>
      <c r="K459" s="276"/>
      <c r="L459" s="276"/>
      <c r="M459" s="276"/>
      <c r="N459" s="276"/>
      <c r="O459" s="276"/>
    </row>
    <row r="460">
      <c r="A460" s="275"/>
      <c r="B460" s="275"/>
      <c r="C460" s="275"/>
      <c r="D460" s="275"/>
      <c r="E460" s="276"/>
      <c r="F460" s="276"/>
      <c r="G460" s="277"/>
      <c r="H460" s="276"/>
      <c r="I460" s="276"/>
      <c r="J460" s="276"/>
      <c r="K460" s="276"/>
      <c r="L460" s="276"/>
      <c r="M460" s="276"/>
      <c r="N460" s="276"/>
      <c r="O460" s="276"/>
    </row>
    <row r="461">
      <c r="A461" s="275"/>
      <c r="B461" s="275"/>
      <c r="C461" s="275"/>
      <c r="D461" s="275"/>
      <c r="E461" s="276"/>
      <c r="F461" s="276"/>
      <c r="G461" s="277"/>
      <c r="H461" s="276"/>
      <c r="I461" s="276"/>
      <c r="J461" s="276"/>
      <c r="K461" s="276"/>
      <c r="L461" s="276"/>
      <c r="M461" s="276"/>
      <c r="N461" s="276"/>
      <c r="O461" s="276"/>
    </row>
    <row r="462">
      <c r="A462" s="275"/>
      <c r="B462" s="275"/>
      <c r="C462" s="275"/>
      <c r="D462" s="275"/>
      <c r="E462" s="276"/>
      <c r="F462" s="276"/>
      <c r="G462" s="277"/>
      <c r="H462" s="276"/>
      <c r="I462" s="276"/>
      <c r="J462" s="276"/>
      <c r="K462" s="276"/>
      <c r="L462" s="276"/>
      <c r="M462" s="276"/>
      <c r="N462" s="276"/>
      <c r="O462" s="276"/>
    </row>
    <row r="463">
      <c r="A463" s="275"/>
      <c r="B463" s="275"/>
      <c r="C463" s="275"/>
      <c r="D463" s="275"/>
      <c r="E463" s="276"/>
      <c r="F463" s="276"/>
      <c r="G463" s="277"/>
      <c r="H463" s="276"/>
      <c r="I463" s="276"/>
      <c r="J463" s="276"/>
      <c r="K463" s="276"/>
      <c r="L463" s="276"/>
      <c r="M463" s="276"/>
      <c r="N463" s="276"/>
      <c r="O463" s="276"/>
    </row>
    <row r="464">
      <c r="A464" s="275"/>
      <c r="B464" s="275"/>
      <c r="C464" s="275"/>
      <c r="D464" s="275"/>
      <c r="E464" s="276"/>
      <c r="F464" s="276"/>
      <c r="G464" s="277"/>
      <c r="H464" s="276"/>
      <c r="I464" s="276"/>
      <c r="J464" s="276"/>
      <c r="K464" s="276"/>
      <c r="L464" s="276"/>
      <c r="M464" s="276"/>
      <c r="N464" s="276"/>
      <c r="O464" s="276"/>
    </row>
    <row r="465">
      <c r="A465" s="275"/>
      <c r="B465" s="275"/>
      <c r="C465" s="275"/>
      <c r="D465" s="275"/>
      <c r="E465" s="276"/>
      <c r="F465" s="276"/>
      <c r="G465" s="277"/>
      <c r="H465" s="276"/>
      <c r="I465" s="276"/>
      <c r="J465" s="276"/>
      <c r="K465" s="276"/>
      <c r="L465" s="276"/>
      <c r="M465" s="276"/>
      <c r="N465" s="276"/>
      <c r="O465" s="276"/>
    </row>
    <row r="466">
      <c r="A466" s="275"/>
      <c r="B466" s="275"/>
      <c r="C466" s="275"/>
      <c r="D466" s="275"/>
      <c r="E466" s="276"/>
      <c r="F466" s="276"/>
      <c r="G466" s="277"/>
      <c r="H466" s="276"/>
      <c r="I466" s="276"/>
      <c r="J466" s="276"/>
      <c r="K466" s="276"/>
      <c r="L466" s="276"/>
      <c r="M466" s="276"/>
      <c r="N466" s="276"/>
      <c r="O466" s="276"/>
    </row>
    <row r="467">
      <c r="A467" s="275"/>
      <c r="B467" s="275"/>
      <c r="C467" s="275"/>
      <c r="D467" s="275"/>
      <c r="E467" s="276"/>
      <c r="F467" s="276"/>
      <c r="G467" s="277"/>
      <c r="H467" s="276"/>
      <c r="I467" s="276"/>
      <c r="J467" s="276"/>
      <c r="K467" s="276"/>
      <c r="L467" s="276"/>
      <c r="M467" s="276"/>
      <c r="N467" s="276"/>
      <c r="O467" s="276"/>
    </row>
    <row r="468">
      <c r="A468" s="275"/>
      <c r="B468" s="275"/>
      <c r="C468" s="275"/>
      <c r="D468" s="275"/>
      <c r="E468" s="276"/>
      <c r="F468" s="276"/>
      <c r="G468" s="277"/>
      <c r="H468" s="276"/>
      <c r="I468" s="276"/>
      <c r="J468" s="276"/>
      <c r="K468" s="276"/>
      <c r="L468" s="276"/>
      <c r="M468" s="276"/>
      <c r="N468" s="276"/>
      <c r="O468" s="276"/>
    </row>
    <row r="469">
      <c r="A469" s="275"/>
      <c r="B469" s="275"/>
      <c r="C469" s="275"/>
      <c r="D469" s="275"/>
      <c r="E469" s="276"/>
      <c r="F469" s="276"/>
      <c r="G469" s="277"/>
      <c r="H469" s="276"/>
      <c r="I469" s="276"/>
      <c r="J469" s="276"/>
      <c r="K469" s="276"/>
      <c r="L469" s="276"/>
      <c r="M469" s="276"/>
      <c r="N469" s="276"/>
      <c r="O469" s="276"/>
    </row>
    <row r="470">
      <c r="A470" s="275"/>
      <c r="B470" s="275"/>
      <c r="C470" s="275"/>
      <c r="D470" s="275"/>
      <c r="E470" s="276"/>
      <c r="F470" s="276"/>
      <c r="G470" s="277"/>
      <c r="H470" s="276"/>
      <c r="I470" s="276"/>
      <c r="J470" s="276"/>
      <c r="K470" s="276"/>
      <c r="L470" s="276"/>
      <c r="M470" s="276"/>
      <c r="N470" s="276"/>
      <c r="O470" s="276"/>
    </row>
    <row r="471">
      <c r="A471" s="275"/>
      <c r="B471" s="275"/>
      <c r="C471" s="275"/>
      <c r="D471" s="275"/>
      <c r="E471" s="276"/>
      <c r="F471" s="276"/>
      <c r="G471" s="277"/>
      <c r="H471" s="276"/>
      <c r="I471" s="276"/>
      <c r="J471" s="276"/>
      <c r="K471" s="276"/>
      <c r="L471" s="276"/>
      <c r="M471" s="276"/>
      <c r="N471" s="276"/>
      <c r="O471" s="276"/>
    </row>
    <row r="472">
      <c r="A472" s="275"/>
      <c r="B472" s="275"/>
      <c r="C472" s="275"/>
      <c r="D472" s="275"/>
      <c r="E472" s="276"/>
      <c r="F472" s="276"/>
      <c r="G472" s="277"/>
      <c r="H472" s="276"/>
      <c r="I472" s="276"/>
      <c r="J472" s="276"/>
      <c r="K472" s="276"/>
      <c r="L472" s="276"/>
      <c r="M472" s="276"/>
      <c r="N472" s="276"/>
      <c r="O472" s="276"/>
    </row>
    <row r="473">
      <c r="A473" s="275"/>
      <c r="B473" s="275"/>
      <c r="C473" s="275"/>
      <c r="D473" s="275"/>
      <c r="E473" s="276"/>
      <c r="F473" s="276"/>
      <c r="G473" s="277"/>
      <c r="H473" s="276"/>
      <c r="I473" s="276"/>
      <c r="J473" s="276"/>
      <c r="K473" s="276"/>
      <c r="L473" s="276"/>
      <c r="M473" s="276"/>
      <c r="N473" s="276"/>
      <c r="O473" s="276"/>
    </row>
    <row r="474">
      <c r="A474" s="275"/>
      <c r="B474" s="275"/>
      <c r="C474" s="275"/>
      <c r="D474" s="275"/>
      <c r="E474" s="276"/>
      <c r="F474" s="276"/>
      <c r="G474" s="277"/>
      <c r="H474" s="276"/>
      <c r="I474" s="276"/>
      <c r="J474" s="276"/>
      <c r="K474" s="276"/>
      <c r="L474" s="276"/>
      <c r="M474" s="276"/>
      <c r="N474" s="276"/>
      <c r="O474" s="276"/>
    </row>
    <row r="475">
      <c r="A475" s="275"/>
      <c r="B475" s="275"/>
      <c r="C475" s="275"/>
      <c r="D475" s="275"/>
      <c r="E475" s="276"/>
      <c r="F475" s="276"/>
      <c r="G475" s="277"/>
      <c r="H475" s="276"/>
      <c r="I475" s="276"/>
      <c r="J475" s="276"/>
      <c r="K475" s="276"/>
      <c r="L475" s="276"/>
      <c r="M475" s="276"/>
      <c r="N475" s="276"/>
      <c r="O475" s="276"/>
    </row>
    <row r="476">
      <c r="A476" s="275"/>
      <c r="B476" s="275"/>
      <c r="C476" s="275"/>
      <c r="D476" s="275"/>
      <c r="E476" s="276"/>
      <c r="F476" s="276"/>
      <c r="G476" s="277"/>
      <c r="H476" s="276"/>
      <c r="I476" s="276"/>
      <c r="J476" s="276"/>
      <c r="K476" s="276"/>
      <c r="L476" s="276"/>
      <c r="M476" s="276"/>
      <c r="N476" s="276"/>
      <c r="O476" s="276"/>
    </row>
    <row r="477">
      <c r="A477" s="275"/>
      <c r="B477" s="275"/>
      <c r="C477" s="275"/>
      <c r="D477" s="275"/>
      <c r="E477" s="276"/>
      <c r="F477" s="276"/>
      <c r="G477" s="277"/>
      <c r="H477" s="276"/>
      <c r="I477" s="276"/>
      <c r="J477" s="276"/>
      <c r="K477" s="276"/>
      <c r="L477" s="276"/>
      <c r="M477" s="276"/>
      <c r="N477" s="276"/>
      <c r="O477" s="276"/>
    </row>
    <row r="478">
      <c r="A478" s="275"/>
      <c r="B478" s="275"/>
      <c r="C478" s="275"/>
      <c r="D478" s="275"/>
      <c r="E478" s="276"/>
      <c r="F478" s="276"/>
      <c r="G478" s="277"/>
      <c r="H478" s="276"/>
      <c r="I478" s="276"/>
      <c r="J478" s="276"/>
      <c r="K478" s="276"/>
      <c r="L478" s="276"/>
      <c r="M478" s="276"/>
      <c r="N478" s="276"/>
      <c r="O478" s="276"/>
    </row>
    <row r="479">
      <c r="A479" s="275"/>
      <c r="B479" s="275"/>
      <c r="C479" s="275"/>
      <c r="D479" s="275"/>
      <c r="E479" s="276"/>
      <c r="F479" s="276"/>
      <c r="G479" s="277"/>
      <c r="H479" s="276"/>
      <c r="I479" s="276"/>
      <c r="J479" s="276"/>
      <c r="K479" s="276"/>
      <c r="L479" s="276"/>
      <c r="M479" s="276"/>
      <c r="N479" s="276"/>
      <c r="O479" s="276"/>
    </row>
    <row r="480">
      <c r="A480" s="275"/>
      <c r="B480" s="275"/>
      <c r="C480" s="275"/>
      <c r="D480" s="275"/>
      <c r="E480" s="276"/>
      <c r="F480" s="276"/>
      <c r="G480" s="277"/>
      <c r="H480" s="276"/>
      <c r="I480" s="276"/>
      <c r="J480" s="276"/>
      <c r="K480" s="276"/>
      <c r="L480" s="276"/>
      <c r="M480" s="276"/>
      <c r="N480" s="276"/>
      <c r="O480" s="276"/>
    </row>
    <row r="481">
      <c r="A481" s="275"/>
      <c r="B481" s="275"/>
      <c r="C481" s="275"/>
      <c r="D481" s="275"/>
      <c r="E481" s="276"/>
      <c r="F481" s="276"/>
      <c r="G481" s="277"/>
      <c r="H481" s="276"/>
      <c r="I481" s="276"/>
      <c r="J481" s="276"/>
      <c r="K481" s="276"/>
      <c r="L481" s="276"/>
      <c r="M481" s="276"/>
      <c r="N481" s="276"/>
      <c r="O481" s="276"/>
    </row>
    <row r="482">
      <c r="A482" s="275"/>
      <c r="B482" s="275"/>
      <c r="C482" s="275"/>
      <c r="D482" s="275"/>
      <c r="E482" s="276"/>
      <c r="F482" s="276"/>
      <c r="G482" s="277"/>
      <c r="H482" s="276"/>
      <c r="I482" s="276"/>
      <c r="J482" s="276"/>
      <c r="K482" s="276"/>
      <c r="L482" s="276"/>
      <c r="M482" s="276"/>
      <c r="N482" s="276"/>
      <c r="O482" s="276"/>
    </row>
    <row r="483">
      <c r="A483" s="275"/>
      <c r="B483" s="275"/>
      <c r="C483" s="275"/>
      <c r="D483" s="275"/>
      <c r="E483" s="276"/>
      <c r="F483" s="276"/>
      <c r="G483" s="277"/>
      <c r="H483" s="276"/>
      <c r="I483" s="276"/>
      <c r="J483" s="276"/>
      <c r="K483" s="276"/>
      <c r="L483" s="276"/>
      <c r="M483" s="276"/>
      <c r="N483" s="276"/>
      <c r="O483" s="276"/>
    </row>
    <row r="484">
      <c r="A484" s="275"/>
      <c r="B484" s="275"/>
      <c r="C484" s="275"/>
      <c r="D484" s="275"/>
      <c r="E484" s="276"/>
      <c r="F484" s="276"/>
      <c r="G484" s="277"/>
      <c r="H484" s="276"/>
      <c r="I484" s="276"/>
      <c r="J484" s="276"/>
      <c r="K484" s="276"/>
      <c r="L484" s="276"/>
      <c r="M484" s="276"/>
      <c r="N484" s="276"/>
      <c r="O484" s="276"/>
    </row>
    <row r="485">
      <c r="A485" s="275"/>
      <c r="B485" s="275"/>
      <c r="C485" s="275"/>
      <c r="D485" s="275"/>
      <c r="E485" s="276"/>
      <c r="F485" s="276"/>
      <c r="G485" s="277"/>
      <c r="H485" s="276"/>
      <c r="I485" s="276"/>
      <c r="J485" s="276"/>
      <c r="K485" s="276"/>
      <c r="L485" s="276"/>
      <c r="M485" s="276"/>
      <c r="N485" s="276"/>
      <c r="O485" s="276"/>
    </row>
    <row r="486">
      <c r="A486" s="275"/>
      <c r="B486" s="275"/>
      <c r="C486" s="275"/>
      <c r="D486" s="275"/>
      <c r="E486" s="276"/>
      <c r="F486" s="276"/>
      <c r="G486" s="277"/>
      <c r="H486" s="276"/>
      <c r="I486" s="276"/>
      <c r="J486" s="276"/>
      <c r="K486" s="276"/>
      <c r="L486" s="276"/>
      <c r="M486" s="276"/>
      <c r="N486" s="276"/>
      <c r="O486" s="276"/>
    </row>
    <row r="487">
      <c r="A487" s="275"/>
      <c r="B487" s="275"/>
      <c r="C487" s="275"/>
      <c r="D487" s="275"/>
      <c r="E487" s="276"/>
      <c r="F487" s="276"/>
      <c r="G487" s="277"/>
      <c r="H487" s="276"/>
      <c r="I487" s="276"/>
      <c r="J487" s="276"/>
      <c r="K487" s="276"/>
      <c r="L487" s="276"/>
      <c r="M487" s="276"/>
      <c r="N487" s="276"/>
      <c r="O487" s="276"/>
    </row>
    <row r="488">
      <c r="A488" s="275"/>
      <c r="B488" s="275"/>
      <c r="C488" s="275"/>
      <c r="D488" s="275"/>
      <c r="E488" s="276"/>
      <c r="F488" s="276"/>
      <c r="G488" s="277"/>
      <c r="H488" s="276"/>
      <c r="I488" s="276"/>
      <c r="J488" s="276"/>
      <c r="K488" s="276"/>
      <c r="L488" s="276"/>
      <c r="M488" s="276"/>
      <c r="N488" s="276"/>
      <c r="O488" s="276"/>
    </row>
    <row r="489">
      <c r="A489" s="275"/>
      <c r="B489" s="275"/>
      <c r="C489" s="275"/>
      <c r="D489" s="275"/>
      <c r="E489" s="276"/>
      <c r="F489" s="276"/>
      <c r="G489" s="277"/>
      <c r="H489" s="276"/>
      <c r="I489" s="276"/>
      <c r="J489" s="276"/>
      <c r="K489" s="276"/>
      <c r="L489" s="276"/>
      <c r="M489" s="276"/>
      <c r="N489" s="276"/>
      <c r="O489" s="276"/>
    </row>
    <row r="490">
      <c r="A490" s="275"/>
      <c r="B490" s="275"/>
      <c r="C490" s="275"/>
      <c r="D490" s="275"/>
      <c r="E490" s="276"/>
      <c r="F490" s="276"/>
      <c r="G490" s="277"/>
      <c r="H490" s="276"/>
      <c r="I490" s="276"/>
      <c r="J490" s="276"/>
      <c r="K490" s="276"/>
      <c r="L490" s="276"/>
      <c r="M490" s="276"/>
      <c r="N490" s="276"/>
      <c r="O490" s="276"/>
    </row>
    <row r="491">
      <c r="A491" s="275"/>
      <c r="B491" s="275"/>
      <c r="C491" s="275"/>
      <c r="D491" s="275"/>
      <c r="E491" s="276"/>
      <c r="F491" s="276"/>
      <c r="G491" s="277"/>
      <c r="H491" s="276"/>
      <c r="I491" s="276"/>
      <c r="J491" s="276"/>
      <c r="K491" s="276"/>
      <c r="L491" s="276"/>
      <c r="M491" s="276"/>
      <c r="N491" s="276"/>
      <c r="O491" s="276"/>
    </row>
    <row r="492">
      <c r="A492" s="275"/>
      <c r="B492" s="275"/>
      <c r="C492" s="275"/>
      <c r="D492" s="275"/>
      <c r="E492" s="276"/>
      <c r="F492" s="276"/>
      <c r="G492" s="277"/>
      <c r="H492" s="276"/>
      <c r="I492" s="276"/>
      <c r="J492" s="276"/>
      <c r="K492" s="276"/>
      <c r="L492" s="276"/>
      <c r="M492" s="276"/>
      <c r="N492" s="276"/>
      <c r="O492" s="276"/>
    </row>
    <row r="493">
      <c r="A493" s="275"/>
      <c r="B493" s="275"/>
      <c r="C493" s="275"/>
      <c r="D493" s="275"/>
      <c r="E493" s="276"/>
      <c r="F493" s="276"/>
      <c r="G493" s="277"/>
      <c r="H493" s="276"/>
      <c r="I493" s="276"/>
      <c r="J493" s="276"/>
      <c r="K493" s="276"/>
      <c r="L493" s="276"/>
      <c r="M493" s="276"/>
      <c r="N493" s="276"/>
      <c r="O493" s="276"/>
    </row>
    <row r="494">
      <c r="A494" s="275"/>
      <c r="B494" s="275"/>
      <c r="C494" s="275"/>
      <c r="D494" s="275"/>
      <c r="E494" s="276"/>
      <c r="F494" s="276"/>
      <c r="G494" s="277"/>
      <c r="H494" s="276"/>
      <c r="I494" s="276"/>
      <c r="J494" s="276"/>
      <c r="K494" s="276"/>
      <c r="L494" s="276"/>
      <c r="M494" s="276"/>
      <c r="N494" s="276"/>
      <c r="O494" s="276"/>
    </row>
    <row r="495">
      <c r="A495" s="275"/>
      <c r="B495" s="275"/>
      <c r="C495" s="275"/>
      <c r="D495" s="275"/>
      <c r="E495" s="276"/>
      <c r="F495" s="276"/>
      <c r="G495" s="277"/>
      <c r="H495" s="276"/>
      <c r="I495" s="276"/>
      <c r="J495" s="276"/>
      <c r="K495" s="276"/>
      <c r="L495" s="276"/>
      <c r="M495" s="276"/>
      <c r="N495" s="276"/>
      <c r="O495" s="276"/>
    </row>
    <row r="496">
      <c r="A496" s="275"/>
      <c r="B496" s="275"/>
      <c r="C496" s="275"/>
      <c r="D496" s="275"/>
      <c r="E496" s="276"/>
      <c r="F496" s="276"/>
      <c r="G496" s="277"/>
      <c r="H496" s="276"/>
      <c r="I496" s="276"/>
      <c r="J496" s="276"/>
      <c r="K496" s="276"/>
      <c r="L496" s="276"/>
      <c r="M496" s="276"/>
      <c r="N496" s="276"/>
      <c r="O496" s="276"/>
    </row>
    <row r="497">
      <c r="A497" s="275"/>
      <c r="B497" s="275"/>
      <c r="C497" s="275"/>
      <c r="D497" s="275"/>
      <c r="E497" s="276"/>
      <c r="F497" s="276"/>
      <c r="G497" s="277"/>
      <c r="H497" s="276"/>
      <c r="I497" s="276"/>
      <c r="J497" s="276"/>
      <c r="K497" s="276"/>
      <c r="L497" s="276"/>
      <c r="M497" s="276"/>
      <c r="N497" s="276"/>
      <c r="O497" s="276"/>
    </row>
    <row r="498">
      <c r="A498" s="275"/>
      <c r="B498" s="275"/>
      <c r="C498" s="275"/>
      <c r="D498" s="275"/>
      <c r="E498" s="276"/>
      <c r="F498" s="276"/>
      <c r="G498" s="277"/>
      <c r="H498" s="276"/>
      <c r="I498" s="276"/>
      <c r="J498" s="276"/>
      <c r="K498" s="276"/>
      <c r="L498" s="276"/>
      <c r="M498" s="276"/>
      <c r="N498" s="276"/>
      <c r="O498" s="276"/>
    </row>
    <row r="499">
      <c r="A499" s="275"/>
      <c r="B499" s="275"/>
      <c r="C499" s="275"/>
      <c r="D499" s="275"/>
      <c r="E499" s="276"/>
      <c r="F499" s="276"/>
      <c r="G499" s="277"/>
      <c r="H499" s="276"/>
      <c r="I499" s="276"/>
      <c r="J499" s="276"/>
      <c r="K499" s="276"/>
      <c r="L499" s="276"/>
      <c r="M499" s="276"/>
      <c r="N499" s="276"/>
      <c r="O499" s="276"/>
    </row>
    <row r="500">
      <c r="A500" s="275"/>
      <c r="B500" s="275"/>
      <c r="C500" s="275"/>
      <c r="D500" s="275"/>
      <c r="E500" s="276"/>
      <c r="F500" s="276"/>
      <c r="G500" s="277"/>
      <c r="H500" s="276"/>
      <c r="I500" s="276"/>
      <c r="J500" s="276"/>
      <c r="K500" s="276"/>
      <c r="L500" s="276"/>
      <c r="M500" s="276"/>
      <c r="N500" s="276"/>
      <c r="O500" s="276"/>
    </row>
    <row r="501">
      <c r="A501" s="275"/>
      <c r="B501" s="275"/>
      <c r="C501" s="275"/>
      <c r="D501" s="275"/>
      <c r="E501" s="276"/>
      <c r="F501" s="276"/>
      <c r="G501" s="277"/>
      <c r="H501" s="276"/>
      <c r="I501" s="276"/>
      <c r="J501" s="276"/>
      <c r="K501" s="276"/>
      <c r="L501" s="276"/>
      <c r="M501" s="276"/>
      <c r="N501" s="276"/>
      <c r="O501" s="276"/>
    </row>
    <row r="502">
      <c r="A502" s="275"/>
      <c r="B502" s="275"/>
      <c r="C502" s="275"/>
      <c r="D502" s="275"/>
      <c r="E502" s="276"/>
      <c r="F502" s="276"/>
      <c r="G502" s="277"/>
      <c r="H502" s="276"/>
      <c r="I502" s="276"/>
      <c r="J502" s="276"/>
      <c r="K502" s="276"/>
      <c r="L502" s="276"/>
      <c r="M502" s="276"/>
      <c r="N502" s="276"/>
      <c r="O502" s="276"/>
    </row>
    <row r="503">
      <c r="A503" s="275"/>
      <c r="B503" s="275"/>
      <c r="C503" s="275"/>
      <c r="D503" s="275"/>
      <c r="E503" s="276"/>
      <c r="F503" s="276"/>
      <c r="G503" s="277"/>
      <c r="H503" s="276"/>
      <c r="I503" s="276"/>
      <c r="J503" s="276"/>
      <c r="K503" s="276"/>
      <c r="L503" s="276"/>
      <c r="M503" s="276"/>
      <c r="N503" s="276"/>
      <c r="O503" s="276"/>
    </row>
    <row r="504">
      <c r="A504" s="275"/>
      <c r="B504" s="275"/>
      <c r="C504" s="275"/>
      <c r="D504" s="275"/>
      <c r="E504" s="276"/>
      <c r="F504" s="276"/>
      <c r="G504" s="277"/>
      <c r="H504" s="276"/>
      <c r="I504" s="276"/>
      <c r="J504" s="276"/>
      <c r="K504" s="276"/>
      <c r="L504" s="276"/>
      <c r="M504" s="276"/>
      <c r="N504" s="276"/>
      <c r="O504" s="276"/>
    </row>
    <row r="505">
      <c r="A505" s="275"/>
      <c r="B505" s="275"/>
      <c r="C505" s="275"/>
      <c r="D505" s="275"/>
      <c r="E505" s="276"/>
      <c r="F505" s="276"/>
      <c r="G505" s="277"/>
      <c r="H505" s="276"/>
      <c r="I505" s="276"/>
      <c r="J505" s="276"/>
      <c r="K505" s="276"/>
      <c r="L505" s="276"/>
      <c r="M505" s="276"/>
      <c r="N505" s="276"/>
      <c r="O505" s="276"/>
    </row>
    <row r="506">
      <c r="A506" s="275"/>
      <c r="B506" s="275"/>
      <c r="C506" s="275"/>
      <c r="D506" s="275"/>
      <c r="E506" s="276"/>
      <c r="F506" s="276"/>
      <c r="G506" s="277"/>
      <c r="H506" s="276"/>
      <c r="I506" s="276"/>
      <c r="J506" s="276"/>
      <c r="K506" s="276"/>
      <c r="L506" s="276"/>
      <c r="M506" s="276"/>
      <c r="N506" s="276"/>
      <c r="O506" s="276"/>
    </row>
    <row r="507">
      <c r="A507" s="275"/>
      <c r="B507" s="275"/>
      <c r="C507" s="275"/>
      <c r="D507" s="275"/>
      <c r="E507" s="276"/>
      <c r="F507" s="276"/>
      <c r="G507" s="277"/>
      <c r="H507" s="276"/>
      <c r="I507" s="276"/>
      <c r="J507" s="276"/>
      <c r="K507" s="276"/>
      <c r="L507" s="276"/>
      <c r="M507" s="276"/>
      <c r="N507" s="276"/>
      <c r="O507" s="276"/>
    </row>
    <row r="508">
      <c r="A508" s="275"/>
      <c r="B508" s="275"/>
      <c r="C508" s="275"/>
      <c r="D508" s="275"/>
      <c r="E508" s="276"/>
      <c r="F508" s="276"/>
      <c r="G508" s="277"/>
      <c r="H508" s="276"/>
      <c r="I508" s="276"/>
      <c r="J508" s="276"/>
      <c r="K508" s="276"/>
      <c r="L508" s="276"/>
      <c r="M508" s="276"/>
      <c r="N508" s="276"/>
      <c r="O508" s="276"/>
    </row>
    <row r="509">
      <c r="A509" s="275"/>
      <c r="B509" s="275"/>
      <c r="C509" s="275"/>
      <c r="D509" s="275"/>
      <c r="E509" s="276"/>
      <c r="F509" s="276"/>
      <c r="G509" s="277"/>
      <c r="H509" s="276"/>
      <c r="I509" s="276"/>
      <c r="J509" s="276"/>
      <c r="K509" s="276"/>
      <c r="L509" s="276"/>
      <c r="M509" s="276"/>
      <c r="N509" s="276"/>
      <c r="O509" s="276"/>
    </row>
    <row r="510">
      <c r="A510" s="275"/>
      <c r="B510" s="275"/>
      <c r="C510" s="275"/>
      <c r="D510" s="275"/>
      <c r="E510" s="276"/>
      <c r="F510" s="276"/>
      <c r="G510" s="277"/>
      <c r="H510" s="276"/>
      <c r="I510" s="276"/>
      <c r="J510" s="276"/>
      <c r="K510" s="276"/>
      <c r="L510" s="276"/>
      <c r="M510" s="276"/>
      <c r="N510" s="276"/>
      <c r="O510" s="276"/>
    </row>
    <row r="511">
      <c r="A511" s="275"/>
      <c r="B511" s="275"/>
      <c r="C511" s="275"/>
      <c r="D511" s="275"/>
      <c r="E511" s="276"/>
      <c r="F511" s="276"/>
      <c r="G511" s="277"/>
      <c r="H511" s="276"/>
      <c r="I511" s="276"/>
      <c r="J511" s="276"/>
      <c r="K511" s="276"/>
      <c r="L511" s="276"/>
      <c r="M511" s="276"/>
      <c r="N511" s="276"/>
      <c r="O511" s="276"/>
    </row>
    <row r="512">
      <c r="A512" s="275"/>
      <c r="B512" s="275"/>
      <c r="C512" s="275"/>
      <c r="D512" s="275"/>
      <c r="E512" s="276"/>
      <c r="F512" s="276"/>
      <c r="G512" s="277"/>
      <c r="H512" s="276"/>
      <c r="I512" s="276"/>
      <c r="J512" s="276"/>
      <c r="K512" s="276"/>
      <c r="L512" s="276"/>
      <c r="M512" s="276"/>
      <c r="N512" s="276"/>
      <c r="O512" s="276"/>
    </row>
    <row r="513">
      <c r="A513" s="275"/>
      <c r="B513" s="275"/>
      <c r="C513" s="275"/>
      <c r="D513" s="275"/>
      <c r="E513" s="276"/>
      <c r="F513" s="276"/>
      <c r="G513" s="277"/>
      <c r="H513" s="276"/>
      <c r="I513" s="276"/>
      <c r="J513" s="276"/>
      <c r="K513" s="276"/>
      <c r="L513" s="276"/>
      <c r="M513" s="276"/>
      <c r="N513" s="276"/>
      <c r="O513" s="276"/>
    </row>
    <row r="514">
      <c r="A514" s="275"/>
      <c r="B514" s="275"/>
      <c r="C514" s="275"/>
      <c r="D514" s="275"/>
      <c r="E514" s="276"/>
      <c r="F514" s="276"/>
      <c r="G514" s="277"/>
      <c r="H514" s="276"/>
      <c r="I514" s="276"/>
      <c r="J514" s="276"/>
      <c r="K514" s="276"/>
      <c r="L514" s="276"/>
      <c r="M514" s="276"/>
      <c r="N514" s="276"/>
      <c r="O514" s="276"/>
    </row>
    <row r="515">
      <c r="A515" s="275"/>
      <c r="B515" s="275"/>
      <c r="C515" s="275"/>
      <c r="D515" s="275"/>
      <c r="E515" s="276"/>
      <c r="F515" s="276"/>
      <c r="G515" s="277"/>
      <c r="H515" s="276"/>
      <c r="I515" s="276"/>
      <c r="J515" s="276"/>
      <c r="K515" s="276"/>
      <c r="L515" s="276"/>
      <c r="M515" s="276"/>
      <c r="N515" s="276"/>
      <c r="O515" s="276"/>
    </row>
    <row r="516">
      <c r="A516" s="275"/>
      <c r="B516" s="275"/>
      <c r="C516" s="275"/>
      <c r="D516" s="275"/>
      <c r="E516" s="276"/>
      <c r="F516" s="276"/>
      <c r="G516" s="277"/>
      <c r="H516" s="276"/>
      <c r="I516" s="276"/>
      <c r="J516" s="276"/>
      <c r="K516" s="276"/>
      <c r="L516" s="276"/>
      <c r="M516" s="276"/>
      <c r="N516" s="276"/>
      <c r="O516" s="276"/>
    </row>
    <row r="517">
      <c r="A517" s="275"/>
      <c r="B517" s="275"/>
      <c r="C517" s="275"/>
      <c r="D517" s="275"/>
      <c r="E517" s="276"/>
      <c r="F517" s="276"/>
      <c r="G517" s="277"/>
      <c r="H517" s="276"/>
      <c r="I517" s="276"/>
      <c r="J517" s="276"/>
      <c r="K517" s="276"/>
      <c r="L517" s="276"/>
      <c r="M517" s="276"/>
      <c r="N517" s="276"/>
      <c r="O517" s="276"/>
    </row>
    <row r="518">
      <c r="A518" s="275"/>
      <c r="B518" s="275"/>
      <c r="C518" s="275"/>
      <c r="D518" s="275"/>
      <c r="E518" s="276"/>
      <c r="F518" s="276"/>
      <c r="G518" s="277"/>
      <c r="H518" s="276"/>
      <c r="I518" s="276"/>
      <c r="J518" s="276"/>
      <c r="K518" s="276"/>
      <c r="L518" s="276"/>
      <c r="M518" s="276"/>
      <c r="N518" s="276"/>
      <c r="O518" s="276"/>
    </row>
    <row r="519">
      <c r="A519" s="275"/>
      <c r="B519" s="275"/>
      <c r="C519" s="275"/>
      <c r="D519" s="275"/>
      <c r="E519" s="276"/>
      <c r="F519" s="276"/>
      <c r="G519" s="277"/>
      <c r="H519" s="276"/>
      <c r="I519" s="276"/>
      <c r="J519" s="276"/>
      <c r="K519" s="276"/>
      <c r="L519" s="276"/>
      <c r="M519" s="276"/>
      <c r="N519" s="276"/>
      <c r="O519" s="276"/>
    </row>
    <row r="520">
      <c r="A520" s="275"/>
      <c r="B520" s="275"/>
      <c r="C520" s="275"/>
      <c r="D520" s="275"/>
      <c r="E520" s="276"/>
      <c r="F520" s="276"/>
      <c r="G520" s="277"/>
      <c r="H520" s="276"/>
      <c r="I520" s="276"/>
      <c r="J520" s="276"/>
      <c r="K520" s="276"/>
      <c r="L520" s="276"/>
      <c r="M520" s="276"/>
      <c r="N520" s="276"/>
      <c r="O520" s="276"/>
    </row>
    <row r="521">
      <c r="A521" s="275"/>
      <c r="B521" s="275"/>
      <c r="C521" s="275"/>
      <c r="D521" s="275"/>
      <c r="E521" s="276"/>
      <c r="F521" s="276"/>
      <c r="G521" s="277"/>
      <c r="H521" s="276"/>
      <c r="I521" s="276"/>
      <c r="J521" s="276"/>
      <c r="K521" s="276"/>
      <c r="L521" s="276"/>
      <c r="M521" s="276"/>
      <c r="N521" s="276"/>
      <c r="O521" s="276"/>
    </row>
    <row r="522">
      <c r="A522" s="275"/>
      <c r="B522" s="275"/>
      <c r="C522" s="275"/>
      <c r="D522" s="275"/>
      <c r="E522" s="276"/>
      <c r="F522" s="276"/>
      <c r="G522" s="277"/>
      <c r="H522" s="276"/>
      <c r="I522" s="276"/>
      <c r="J522" s="276"/>
      <c r="K522" s="276"/>
      <c r="L522" s="276"/>
      <c r="M522" s="276"/>
      <c r="N522" s="276"/>
      <c r="O522" s="276"/>
    </row>
    <row r="523">
      <c r="A523" s="275"/>
      <c r="B523" s="275"/>
      <c r="C523" s="275"/>
      <c r="D523" s="275"/>
      <c r="E523" s="276"/>
      <c r="F523" s="276"/>
      <c r="G523" s="277"/>
      <c r="H523" s="276"/>
      <c r="I523" s="276"/>
      <c r="J523" s="276"/>
      <c r="K523" s="276"/>
      <c r="L523" s="276"/>
      <c r="M523" s="276"/>
      <c r="N523" s="276"/>
      <c r="O523" s="276"/>
    </row>
    <row r="524">
      <c r="A524" s="275"/>
      <c r="B524" s="275"/>
      <c r="C524" s="275"/>
      <c r="D524" s="275"/>
      <c r="E524" s="276"/>
      <c r="F524" s="276"/>
      <c r="G524" s="277"/>
      <c r="H524" s="276"/>
      <c r="I524" s="276"/>
      <c r="J524" s="276"/>
      <c r="K524" s="276"/>
      <c r="L524" s="276"/>
      <c r="M524" s="276"/>
      <c r="N524" s="276"/>
      <c r="O524" s="276"/>
    </row>
    <row r="525">
      <c r="A525" s="275"/>
      <c r="B525" s="275"/>
      <c r="C525" s="275"/>
      <c r="D525" s="275"/>
      <c r="E525" s="276"/>
      <c r="F525" s="276"/>
      <c r="G525" s="277"/>
      <c r="H525" s="276"/>
      <c r="I525" s="276"/>
      <c r="J525" s="276"/>
      <c r="K525" s="276"/>
      <c r="L525" s="276"/>
      <c r="M525" s="276"/>
      <c r="N525" s="276"/>
      <c r="O525" s="276"/>
    </row>
    <row r="526">
      <c r="A526" s="275"/>
      <c r="B526" s="275"/>
      <c r="C526" s="275"/>
      <c r="D526" s="275"/>
      <c r="E526" s="276"/>
      <c r="F526" s="276"/>
      <c r="G526" s="277"/>
      <c r="H526" s="276"/>
      <c r="I526" s="276"/>
      <c r="J526" s="276"/>
      <c r="K526" s="276"/>
      <c r="L526" s="276"/>
      <c r="M526" s="276"/>
      <c r="N526" s="276"/>
      <c r="O526" s="276"/>
    </row>
    <row r="527">
      <c r="A527" s="275"/>
      <c r="B527" s="275"/>
      <c r="C527" s="275"/>
      <c r="D527" s="275"/>
      <c r="E527" s="276"/>
      <c r="F527" s="276"/>
      <c r="G527" s="277"/>
      <c r="H527" s="276"/>
      <c r="I527" s="276"/>
      <c r="J527" s="276"/>
      <c r="K527" s="276"/>
      <c r="L527" s="276"/>
      <c r="M527" s="276"/>
      <c r="N527" s="276"/>
      <c r="O527" s="276"/>
    </row>
    <row r="528">
      <c r="A528" s="275"/>
      <c r="B528" s="275"/>
      <c r="C528" s="275"/>
      <c r="D528" s="275"/>
      <c r="E528" s="276"/>
      <c r="F528" s="276"/>
      <c r="G528" s="277"/>
      <c r="H528" s="276"/>
      <c r="I528" s="276"/>
      <c r="J528" s="276"/>
      <c r="K528" s="276"/>
      <c r="L528" s="276"/>
      <c r="M528" s="276"/>
      <c r="N528" s="276"/>
      <c r="O528" s="276"/>
    </row>
    <row r="529">
      <c r="A529" s="275"/>
      <c r="B529" s="275"/>
      <c r="C529" s="275"/>
      <c r="D529" s="275"/>
      <c r="E529" s="276"/>
      <c r="F529" s="276"/>
      <c r="G529" s="277"/>
      <c r="H529" s="276"/>
      <c r="I529" s="276"/>
      <c r="J529" s="276"/>
      <c r="K529" s="276"/>
      <c r="L529" s="276"/>
      <c r="M529" s="276"/>
      <c r="N529" s="276"/>
      <c r="O529" s="276"/>
    </row>
    <row r="530">
      <c r="A530" s="275"/>
      <c r="B530" s="275"/>
      <c r="C530" s="275"/>
      <c r="D530" s="275"/>
      <c r="E530" s="276"/>
      <c r="F530" s="276"/>
      <c r="G530" s="277"/>
      <c r="H530" s="276"/>
      <c r="I530" s="276"/>
      <c r="J530" s="276"/>
      <c r="K530" s="276"/>
      <c r="L530" s="276"/>
      <c r="M530" s="276"/>
      <c r="N530" s="276"/>
      <c r="O530" s="276"/>
    </row>
    <row r="531">
      <c r="A531" s="275"/>
      <c r="B531" s="275"/>
      <c r="C531" s="275"/>
      <c r="D531" s="275"/>
      <c r="E531" s="276"/>
      <c r="F531" s="276"/>
      <c r="G531" s="277"/>
      <c r="H531" s="276"/>
      <c r="I531" s="276"/>
      <c r="J531" s="276"/>
      <c r="K531" s="276"/>
      <c r="L531" s="276"/>
      <c r="M531" s="276"/>
      <c r="N531" s="276"/>
      <c r="O531" s="276"/>
    </row>
    <row r="532">
      <c r="A532" s="275"/>
      <c r="B532" s="275"/>
      <c r="C532" s="275"/>
      <c r="D532" s="275"/>
      <c r="E532" s="276"/>
      <c r="F532" s="276"/>
      <c r="G532" s="277"/>
      <c r="H532" s="276"/>
      <c r="I532" s="276"/>
      <c r="J532" s="276"/>
      <c r="K532" s="276"/>
      <c r="L532" s="276"/>
      <c r="M532" s="276"/>
      <c r="N532" s="276"/>
      <c r="O532" s="276"/>
    </row>
    <row r="533">
      <c r="A533" s="275"/>
      <c r="B533" s="275"/>
      <c r="C533" s="275"/>
      <c r="D533" s="275"/>
      <c r="E533" s="276"/>
      <c r="F533" s="276"/>
      <c r="G533" s="277"/>
      <c r="H533" s="276"/>
      <c r="I533" s="276"/>
      <c r="J533" s="276"/>
      <c r="K533" s="276"/>
      <c r="L533" s="276"/>
      <c r="M533" s="276"/>
      <c r="N533" s="276"/>
      <c r="O533" s="276"/>
    </row>
    <row r="534">
      <c r="A534" s="275"/>
      <c r="B534" s="275"/>
      <c r="C534" s="275"/>
      <c r="D534" s="275"/>
      <c r="E534" s="276"/>
      <c r="F534" s="276"/>
      <c r="G534" s="277"/>
      <c r="H534" s="276"/>
      <c r="I534" s="276"/>
      <c r="J534" s="276"/>
      <c r="K534" s="276"/>
      <c r="L534" s="276"/>
      <c r="M534" s="276"/>
      <c r="N534" s="276"/>
      <c r="O534" s="276"/>
    </row>
    <row r="535">
      <c r="A535" s="275"/>
      <c r="B535" s="275"/>
      <c r="C535" s="275"/>
      <c r="D535" s="275"/>
      <c r="E535" s="276"/>
      <c r="F535" s="276"/>
      <c r="G535" s="277"/>
      <c r="H535" s="276"/>
      <c r="I535" s="276"/>
      <c r="J535" s="276"/>
      <c r="K535" s="276"/>
      <c r="L535" s="276"/>
      <c r="M535" s="276"/>
      <c r="N535" s="276"/>
      <c r="O535" s="276"/>
    </row>
    <row r="536">
      <c r="A536" s="275"/>
      <c r="B536" s="275"/>
      <c r="C536" s="275"/>
      <c r="D536" s="275"/>
      <c r="E536" s="276"/>
      <c r="F536" s="276"/>
      <c r="G536" s="277"/>
      <c r="H536" s="276"/>
      <c r="I536" s="276"/>
      <c r="J536" s="276"/>
      <c r="K536" s="276"/>
      <c r="L536" s="276"/>
      <c r="M536" s="276"/>
      <c r="N536" s="276"/>
      <c r="O536" s="276"/>
    </row>
    <row r="537">
      <c r="A537" s="275"/>
      <c r="B537" s="275"/>
      <c r="C537" s="275"/>
      <c r="D537" s="275"/>
      <c r="E537" s="276"/>
      <c r="F537" s="276"/>
      <c r="G537" s="277"/>
      <c r="H537" s="276"/>
      <c r="I537" s="276"/>
      <c r="J537" s="276"/>
      <c r="K537" s="276"/>
      <c r="L537" s="276"/>
      <c r="M537" s="276"/>
      <c r="N537" s="276"/>
      <c r="O537" s="276"/>
    </row>
    <row r="538">
      <c r="A538" s="275"/>
      <c r="B538" s="275"/>
      <c r="C538" s="275"/>
      <c r="D538" s="275"/>
      <c r="E538" s="276"/>
      <c r="F538" s="276"/>
      <c r="G538" s="277"/>
      <c r="H538" s="276"/>
      <c r="I538" s="276"/>
      <c r="J538" s="276"/>
      <c r="K538" s="276"/>
      <c r="L538" s="276"/>
      <c r="M538" s="276"/>
      <c r="N538" s="276"/>
      <c r="O538" s="276"/>
    </row>
    <row r="539">
      <c r="A539" s="275"/>
      <c r="B539" s="275"/>
      <c r="C539" s="275"/>
      <c r="D539" s="275"/>
      <c r="E539" s="276"/>
      <c r="F539" s="276"/>
      <c r="G539" s="277"/>
      <c r="H539" s="276"/>
      <c r="I539" s="276"/>
      <c r="J539" s="276"/>
      <c r="K539" s="276"/>
      <c r="L539" s="276"/>
      <c r="M539" s="276"/>
      <c r="N539" s="276"/>
      <c r="O539" s="276"/>
    </row>
    <row r="540">
      <c r="A540" s="275"/>
      <c r="B540" s="275"/>
      <c r="C540" s="275"/>
      <c r="D540" s="275"/>
      <c r="E540" s="276"/>
      <c r="F540" s="276"/>
      <c r="G540" s="277"/>
      <c r="H540" s="276"/>
      <c r="I540" s="276"/>
      <c r="J540" s="276"/>
      <c r="K540" s="276"/>
      <c r="L540" s="276"/>
      <c r="M540" s="276"/>
      <c r="N540" s="276"/>
      <c r="O540" s="276"/>
    </row>
    <row r="541">
      <c r="A541" s="275"/>
      <c r="B541" s="275"/>
      <c r="C541" s="275"/>
      <c r="D541" s="275"/>
      <c r="E541" s="276"/>
      <c r="F541" s="276"/>
      <c r="G541" s="277"/>
      <c r="H541" s="276"/>
      <c r="I541" s="276"/>
      <c r="J541" s="276"/>
      <c r="K541" s="276"/>
      <c r="L541" s="276"/>
      <c r="M541" s="276"/>
      <c r="N541" s="276"/>
      <c r="O541" s="276"/>
    </row>
    <row r="542">
      <c r="A542" s="275"/>
      <c r="B542" s="275"/>
      <c r="C542" s="275"/>
      <c r="D542" s="275"/>
      <c r="E542" s="276"/>
      <c r="F542" s="276"/>
      <c r="G542" s="277"/>
      <c r="H542" s="276"/>
      <c r="I542" s="276"/>
      <c r="J542" s="276"/>
      <c r="K542" s="276"/>
      <c r="L542" s="276"/>
      <c r="M542" s="276"/>
      <c r="N542" s="276"/>
      <c r="O542" s="276"/>
    </row>
    <row r="543">
      <c r="A543" s="275"/>
      <c r="B543" s="275"/>
      <c r="C543" s="275"/>
      <c r="D543" s="275"/>
      <c r="E543" s="276"/>
      <c r="F543" s="276"/>
      <c r="G543" s="277"/>
      <c r="H543" s="276"/>
      <c r="I543" s="276"/>
      <c r="J543" s="276"/>
      <c r="K543" s="276"/>
      <c r="L543" s="276"/>
      <c r="M543" s="276"/>
      <c r="N543" s="276"/>
      <c r="O543" s="276"/>
    </row>
    <row r="544">
      <c r="A544" s="275"/>
      <c r="B544" s="275"/>
      <c r="C544" s="275"/>
      <c r="D544" s="275"/>
      <c r="E544" s="276"/>
      <c r="F544" s="276"/>
      <c r="G544" s="277"/>
      <c r="H544" s="276"/>
      <c r="I544" s="276"/>
      <c r="J544" s="276"/>
      <c r="K544" s="276"/>
      <c r="L544" s="276"/>
      <c r="M544" s="276"/>
      <c r="N544" s="276"/>
      <c r="O544" s="276"/>
    </row>
    <row r="545">
      <c r="A545" s="275"/>
      <c r="B545" s="275"/>
      <c r="C545" s="275"/>
      <c r="D545" s="275"/>
      <c r="E545" s="276"/>
      <c r="F545" s="276"/>
      <c r="G545" s="277"/>
      <c r="H545" s="276"/>
      <c r="I545" s="276"/>
      <c r="J545" s="276"/>
      <c r="K545" s="276"/>
      <c r="L545" s="276"/>
      <c r="M545" s="276"/>
      <c r="N545" s="276"/>
      <c r="O545" s="276"/>
    </row>
    <row r="546">
      <c r="A546" s="275"/>
      <c r="B546" s="275"/>
      <c r="C546" s="275"/>
      <c r="D546" s="275"/>
      <c r="E546" s="276"/>
      <c r="F546" s="276"/>
      <c r="G546" s="277"/>
      <c r="H546" s="276"/>
      <c r="I546" s="276"/>
      <c r="J546" s="276"/>
      <c r="K546" s="276"/>
      <c r="L546" s="276"/>
      <c r="M546" s="276"/>
      <c r="N546" s="276"/>
      <c r="O546" s="276"/>
    </row>
    <row r="547">
      <c r="A547" s="275"/>
      <c r="B547" s="275"/>
      <c r="C547" s="275"/>
      <c r="D547" s="275"/>
      <c r="E547" s="276"/>
      <c r="F547" s="276"/>
      <c r="G547" s="277"/>
      <c r="H547" s="276"/>
      <c r="I547" s="276"/>
      <c r="J547" s="276"/>
      <c r="K547" s="276"/>
      <c r="L547" s="276"/>
      <c r="M547" s="276"/>
      <c r="N547" s="276"/>
      <c r="O547" s="276"/>
    </row>
    <row r="548">
      <c r="A548" s="275"/>
      <c r="B548" s="275"/>
      <c r="C548" s="275"/>
      <c r="D548" s="275"/>
      <c r="E548" s="276"/>
      <c r="F548" s="276"/>
      <c r="G548" s="277"/>
      <c r="H548" s="276"/>
      <c r="I548" s="276"/>
      <c r="J548" s="276"/>
      <c r="K548" s="276"/>
      <c r="L548" s="276"/>
      <c r="M548" s="276"/>
      <c r="N548" s="276"/>
      <c r="O548" s="276"/>
    </row>
    <row r="549">
      <c r="A549" s="275"/>
      <c r="B549" s="275"/>
      <c r="C549" s="275"/>
      <c r="D549" s="275"/>
      <c r="E549" s="276"/>
      <c r="F549" s="276"/>
      <c r="G549" s="277"/>
      <c r="H549" s="276"/>
      <c r="I549" s="276"/>
      <c r="J549" s="276"/>
      <c r="K549" s="276"/>
      <c r="L549" s="276"/>
      <c r="M549" s="276"/>
      <c r="N549" s="276"/>
      <c r="O549" s="276"/>
    </row>
    <row r="550">
      <c r="A550" s="275"/>
      <c r="B550" s="275"/>
      <c r="C550" s="275"/>
      <c r="D550" s="275"/>
      <c r="E550" s="276"/>
      <c r="F550" s="276"/>
      <c r="G550" s="277"/>
      <c r="H550" s="276"/>
      <c r="I550" s="276"/>
      <c r="J550" s="276"/>
      <c r="K550" s="276"/>
      <c r="L550" s="276"/>
      <c r="M550" s="276"/>
      <c r="N550" s="276"/>
      <c r="O550" s="276"/>
    </row>
    <row r="551">
      <c r="A551" s="275"/>
      <c r="B551" s="275"/>
      <c r="C551" s="275"/>
      <c r="D551" s="275"/>
      <c r="E551" s="276"/>
      <c r="F551" s="276"/>
      <c r="G551" s="277"/>
      <c r="H551" s="276"/>
      <c r="I551" s="276"/>
      <c r="J551" s="276"/>
      <c r="K551" s="276"/>
      <c r="L551" s="276"/>
      <c r="M551" s="276"/>
      <c r="N551" s="276"/>
      <c r="O551" s="276"/>
    </row>
    <row r="552">
      <c r="A552" s="275"/>
      <c r="B552" s="275"/>
      <c r="C552" s="275"/>
      <c r="D552" s="275"/>
      <c r="E552" s="276"/>
      <c r="F552" s="276"/>
      <c r="G552" s="277"/>
      <c r="H552" s="276"/>
      <c r="I552" s="276"/>
      <c r="J552" s="276"/>
      <c r="K552" s="276"/>
      <c r="L552" s="276"/>
      <c r="M552" s="276"/>
      <c r="N552" s="276"/>
      <c r="O552" s="276"/>
    </row>
    <row r="553">
      <c r="A553" s="275"/>
      <c r="B553" s="275"/>
      <c r="C553" s="275"/>
      <c r="D553" s="275"/>
      <c r="E553" s="276"/>
      <c r="F553" s="276"/>
      <c r="G553" s="277"/>
      <c r="H553" s="276"/>
      <c r="I553" s="276"/>
      <c r="J553" s="276"/>
      <c r="K553" s="276"/>
      <c r="L553" s="276"/>
      <c r="M553" s="276"/>
      <c r="N553" s="276"/>
      <c r="O553" s="276"/>
    </row>
    <row r="554">
      <c r="A554" s="275"/>
      <c r="B554" s="275"/>
      <c r="C554" s="275"/>
      <c r="D554" s="275"/>
      <c r="E554" s="276"/>
      <c r="F554" s="276"/>
      <c r="G554" s="277"/>
      <c r="H554" s="276"/>
      <c r="I554" s="276"/>
      <c r="J554" s="276"/>
      <c r="K554" s="276"/>
      <c r="L554" s="276"/>
      <c r="M554" s="276"/>
      <c r="N554" s="276"/>
      <c r="O554" s="276"/>
    </row>
    <row r="555">
      <c r="A555" s="275"/>
      <c r="B555" s="275"/>
      <c r="C555" s="275"/>
      <c r="D555" s="275"/>
      <c r="E555" s="276"/>
      <c r="F555" s="276"/>
      <c r="G555" s="277"/>
      <c r="H555" s="276"/>
      <c r="I555" s="276"/>
      <c r="J555" s="276"/>
      <c r="K555" s="276"/>
      <c r="L555" s="276"/>
      <c r="M555" s="276"/>
      <c r="N555" s="276"/>
      <c r="O555" s="276"/>
    </row>
    <row r="556">
      <c r="A556" s="275"/>
      <c r="B556" s="275"/>
      <c r="C556" s="275"/>
      <c r="D556" s="275"/>
      <c r="E556" s="276"/>
      <c r="F556" s="276"/>
      <c r="G556" s="277"/>
      <c r="H556" s="276"/>
      <c r="I556" s="276"/>
      <c r="J556" s="276"/>
      <c r="K556" s="276"/>
      <c r="L556" s="276"/>
      <c r="M556" s="276"/>
      <c r="N556" s="276"/>
      <c r="O556" s="276"/>
    </row>
    <row r="557">
      <c r="A557" s="275"/>
      <c r="B557" s="275"/>
      <c r="C557" s="275"/>
      <c r="D557" s="275"/>
      <c r="E557" s="276"/>
      <c r="F557" s="276"/>
      <c r="G557" s="277"/>
      <c r="H557" s="276"/>
      <c r="I557" s="276"/>
      <c r="J557" s="276"/>
      <c r="K557" s="276"/>
      <c r="L557" s="276"/>
      <c r="M557" s="276"/>
      <c r="N557" s="276"/>
      <c r="O557" s="276"/>
    </row>
    <row r="558">
      <c r="A558" s="275"/>
      <c r="B558" s="275"/>
      <c r="C558" s="275"/>
      <c r="D558" s="275"/>
      <c r="E558" s="276"/>
      <c r="F558" s="276"/>
      <c r="G558" s="277"/>
      <c r="H558" s="276"/>
      <c r="I558" s="276"/>
      <c r="J558" s="276"/>
      <c r="K558" s="276"/>
      <c r="L558" s="276"/>
      <c r="M558" s="276"/>
      <c r="N558" s="276"/>
      <c r="O558" s="276"/>
    </row>
    <row r="559">
      <c r="A559" s="275"/>
      <c r="B559" s="275"/>
      <c r="C559" s="275"/>
      <c r="D559" s="275"/>
      <c r="E559" s="276"/>
      <c r="F559" s="276"/>
      <c r="G559" s="277"/>
      <c r="H559" s="276"/>
      <c r="I559" s="276"/>
      <c r="J559" s="276"/>
      <c r="K559" s="276"/>
      <c r="L559" s="276"/>
      <c r="M559" s="276"/>
      <c r="N559" s="276"/>
      <c r="O559" s="276"/>
    </row>
    <row r="560">
      <c r="A560" s="275"/>
      <c r="B560" s="275"/>
      <c r="C560" s="275"/>
      <c r="D560" s="275"/>
      <c r="E560" s="276"/>
      <c r="F560" s="276"/>
      <c r="G560" s="277"/>
      <c r="H560" s="276"/>
      <c r="I560" s="276"/>
      <c r="J560" s="276"/>
      <c r="K560" s="276"/>
      <c r="L560" s="276"/>
      <c r="M560" s="276"/>
      <c r="N560" s="276"/>
      <c r="O560" s="276"/>
    </row>
    <row r="561">
      <c r="A561" s="275"/>
      <c r="B561" s="275"/>
      <c r="C561" s="275"/>
      <c r="D561" s="275"/>
      <c r="E561" s="276"/>
      <c r="F561" s="276"/>
      <c r="G561" s="277"/>
      <c r="H561" s="276"/>
      <c r="I561" s="276"/>
      <c r="J561" s="276"/>
      <c r="K561" s="276"/>
      <c r="L561" s="276"/>
      <c r="M561" s="276"/>
      <c r="N561" s="276"/>
      <c r="O561" s="276"/>
    </row>
    <row r="562">
      <c r="A562" s="275"/>
      <c r="B562" s="275"/>
      <c r="C562" s="275"/>
      <c r="D562" s="275"/>
      <c r="E562" s="276"/>
      <c r="F562" s="276"/>
      <c r="G562" s="277"/>
      <c r="H562" s="276"/>
      <c r="I562" s="276"/>
      <c r="J562" s="276"/>
      <c r="K562" s="276"/>
      <c r="L562" s="276"/>
      <c r="M562" s="276"/>
      <c r="N562" s="276"/>
      <c r="O562" s="276"/>
    </row>
    <row r="563">
      <c r="A563" s="275"/>
      <c r="B563" s="275"/>
      <c r="C563" s="275"/>
      <c r="D563" s="275"/>
      <c r="E563" s="276"/>
      <c r="F563" s="276"/>
      <c r="G563" s="277"/>
      <c r="H563" s="276"/>
      <c r="I563" s="276"/>
      <c r="J563" s="276"/>
      <c r="K563" s="276"/>
      <c r="L563" s="276"/>
      <c r="M563" s="276"/>
      <c r="N563" s="276"/>
      <c r="O563" s="276"/>
    </row>
    <row r="564">
      <c r="A564" s="275"/>
      <c r="B564" s="275"/>
      <c r="C564" s="275"/>
      <c r="D564" s="275"/>
      <c r="E564" s="276"/>
      <c r="F564" s="276"/>
      <c r="G564" s="277"/>
      <c r="H564" s="276"/>
      <c r="I564" s="276"/>
      <c r="J564" s="276"/>
      <c r="K564" s="276"/>
      <c r="L564" s="276"/>
      <c r="M564" s="276"/>
      <c r="N564" s="276"/>
      <c r="O564" s="276"/>
    </row>
    <row r="565">
      <c r="A565" s="275"/>
      <c r="B565" s="275"/>
      <c r="C565" s="275"/>
      <c r="D565" s="275"/>
      <c r="E565" s="276"/>
      <c r="F565" s="276"/>
      <c r="G565" s="277"/>
      <c r="H565" s="276"/>
      <c r="I565" s="276"/>
      <c r="J565" s="276"/>
      <c r="K565" s="276"/>
      <c r="L565" s="276"/>
      <c r="M565" s="276"/>
      <c r="N565" s="276"/>
      <c r="O565" s="276"/>
    </row>
    <row r="566">
      <c r="A566" s="275"/>
      <c r="B566" s="275"/>
      <c r="C566" s="275"/>
      <c r="D566" s="275"/>
      <c r="E566" s="276"/>
      <c r="F566" s="276"/>
      <c r="G566" s="277"/>
      <c r="H566" s="276"/>
      <c r="I566" s="276"/>
      <c r="J566" s="276"/>
      <c r="K566" s="276"/>
      <c r="L566" s="276"/>
      <c r="M566" s="276"/>
      <c r="N566" s="276"/>
      <c r="O566" s="276"/>
    </row>
    <row r="567">
      <c r="A567" s="275"/>
      <c r="B567" s="275"/>
      <c r="C567" s="275"/>
      <c r="D567" s="275"/>
      <c r="E567" s="276"/>
      <c r="F567" s="276"/>
      <c r="G567" s="277"/>
      <c r="H567" s="276"/>
      <c r="I567" s="276"/>
      <c r="J567" s="276"/>
      <c r="K567" s="276"/>
      <c r="L567" s="276"/>
      <c r="M567" s="276"/>
      <c r="N567" s="276"/>
      <c r="O567" s="276"/>
    </row>
    <row r="568">
      <c r="A568" s="275"/>
      <c r="B568" s="275"/>
      <c r="C568" s="275"/>
      <c r="D568" s="275"/>
      <c r="E568" s="276"/>
      <c r="F568" s="276"/>
      <c r="G568" s="277"/>
      <c r="H568" s="276"/>
      <c r="I568" s="276"/>
      <c r="J568" s="276"/>
      <c r="K568" s="276"/>
      <c r="L568" s="276"/>
      <c r="M568" s="276"/>
      <c r="N568" s="276"/>
      <c r="O568" s="276"/>
    </row>
    <row r="569">
      <c r="A569" s="275"/>
      <c r="B569" s="275"/>
      <c r="C569" s="275"/>
      <c r="D569" s="275"/>
      <c r="E569" s="276"/>
      <c r="F569" s="276"/>
      <c r="G569" s="277"/>
      <c r="H569" s="276"/>
      <c r="I569" s="276"/>
      <c r="J569" s="276"/>
      <c r="K569" s="276"/>
      <c r="L569" s="276"/>
      <c r="M569" s="276"/>
      <c r="N569" s="276"/>
      <c r="O569" s="276"/>
    </row>
    <row r="570">
      <c r="A570" s="275"/>
      <c r="B570" s="275"/>
      <c r="C570" s="275"/>
      <c r="D570" s="275"/>
      <c r="E570" s="276"/>
      <c r="F570" s="276"/>
      <c r="G570" s="277"/>
      <c r="H570" s="276"/>
      <c r="I570" s="276"/>
      <c r="J570" s="276"/>
      <c r="K570" s="276"/>
      <c r="L570" s="276"/>
      <c r="M570" s="276"/>
      <c r="N570" s="276"/>
      <c r="O570" s="276"/>
    </row>
    <row r="571">
      <c r="A571" s="275"/>
      <c r="B571" s="275"/>
      <c r="C571" s="275"/>
      <c r="D571" s="275"/>
      <c r="E571" s="276"/>
      <c r="F571" s="276"/>
      <c r="G571" s="277"/>
      <c r="H571" s="276"/>
      <c r="I571" s="276"/>
      <c r="J571" s="276"/>
      <c r="K571" s="276"/>
      <c r="L571" s="276"/>
      <c r="M571" s="276"/>
      <c r="N571" s="276"/>
      <c r="O571" s="276"/>
    </row>
    <row r="572">
      <c r="A572" s="275"/>
      <c r="B572" s="275"/>
      <c r="C572" s="275"/>
      <c r="D572" s="275"/>
      <c r="E572" s="276"/>
      <c r="F572" s="276"/>
      <c r="G572" s="277"/>
      <c r="H572" s="276"/>
      <c r="I572" s="276"/>
      <c r="J572" s="276"/>
      <c r="K572" s="276"/>
      <c r="L572" s="276"/>
      <c r="M572" s="276"/>
      <c r="N572" s="276"/>
      <c r="O572" s="276"/>
    </row>
    <row r="573">
      <c r="A573" s="275"/>
      <c r="B573" s="275"/>
      <c r="C573" s="275"/>
      <c r="D573" s="275"/>
      <c r="E573" s="276"/>
      <c r="F573" s="276"/>
      <c r="G573" s="277"/>
      <c r="H573" s="276"/>
      <c r="I573" s="276"/>
      <c r="J573" s="276"/>
      <c r="K573" s="276"/>
      <c r="L573" s="276"/>
      <c r="M573" s="276"/>
      <c r="N573" s="276"/>
      <c r="O573" s="276"/>
    </row>
    <row r="574">
      <c r="A574" s="275"/>
      <c r="B574" s="275"/>
      <c r="C574" s="275"/>
      <c r="D574" s="275"/>
      <c r="E574" s="276"/>
      <c r="F574" s="276"/>
      <c r="G574" s="277"/>
      <c r="H574" s="276"/>
      <c r="I574" s="276"/>
      <c r="J574" s="276"/>
      <c r="K574" s="276"/>
      <c r="L574" s="276"/>
      <c r="M574" s="276"/>
      <c r="N574" s="276"/>
      <c r="O574" s="276"/>
    </row>
    <row r="575">
      <c r="A575" s="275"/>
      <c r="B575" s="275"/>
      <c r="C575" s="275"/>
      <c r="D575" s="275"/>
      <c r="E575" s="276"/>
      <c r="F575" s="276"/>
      <c r="G575" s="277"/>
      <c r="H575" s="276"/>
      <c r="I575" s="276"/>
      <c r="J575" s="276"/>
      <c r="K575" s="276"/>
      <c r="L575" s="276"/>
      <c r="M575" s="276"/>
      <c r="N575" s="276"/>
      <c r="O575" s="276"/>
    </row>
    <row r="576">
      <c r="A576" s="275"/>
      <c r="B576" s="275"/>
      <c r="C576" s="275"/>
      <c r="D576" s="275"/>
      <c r="E576" s="276"/>
      <c r="F576" s="276"/>
      <c r="G576" s="277"/>
      <c r="H576" s="276"/>
      <c r="I576" s="276"/>
      <c r="J576" s="276"/>
      <c r="K576" s="276"/>
      <c r="L576" s="276"/>
      <c r="M576" s="276"/>
      <c r="N576" s="276"/>
      <c r="O576" s="276"/>
    </row>
    <row r="577">
      <c r="A577" s="275"/>
      <c r="B577" s="275"/>
      <c r="C577" s="275"/>
      <c r="D577" s="275"/>
      <c r="E577" s="276"/>
      <c r="F577" s="276"/>
      <c r="G577" s="277"/>
      <c r="H577" s="276"/>
      <c r="I577" s="276"/>
      <c r="J577" s="276"/>
      <c r="K577" s="276"/>
      <c r="L577" s="276"/>
      <c r="M577" s="276"/>
      <c r="N577" s="276"/>
      <c r="O577" s="276"/>
    </row>
    <row r="578">
      <c r="A578" s="275"/>
      <c r="B578" s="275"/>
      <c r="C578" s="275"/>
      <c r="D578" s="275"/>
      <c r="E578" s="276"/>
      <c r="F578" s="276"/>
      <c r="G578" s="277"/>
      <c r="H578" s="276"/>
      <c r="I578" s="276"/>
      <c r="J578" s="276"/>
      <c r="K578" s="276"/>
      <c r="L578" s="276"/>
      <c r="M578" s="276"/>
      <c r="N578" s="276"/>
      <c r="O578" s="276"/>
    </row>
    <row r="579">
      <c r="A579" s="275"/>
      <c r="B579" s="275"/>
      <c r="C579" s="275"/>
      <c r="D579" s="275"/>
      <c r="E579" s="276"/>
      <c r="F579" s="276"/>
      <c r="G579" s="277"/>
      <c r="H579" s="276"/>
      <c r="I579" s="276"/>
      <c r="J579" s="276"/>
      <c r="K579" s="276"/>
      <c r="L579" s="276"/>
      <c r="M579" s="276"/>
      <c r="N579" s="276"/>
      <c r="O579" s="276"/>
    </row>
    <row r="580">
      <c r="A580" s="275"/>
      <c r="B580" s="275"/>
      <c r="C580" s="275"/>
      <c r="D580" s="275"/>
      <c r="E580" s="276"/>
      <c r="F580" s="276"/>
      <c r="G580" s="277"/>
      <c r="H580" s="276"/>
      <c r="I580" s="276"/>
      <c r="J580" s="276"/>
      <c r="K580" s="276"/>
      <c r="L580" s="276"/>
      <c r="M580" s="276"/>
      <c r="N580" s="276"/>
      <c r="O580" s="276"/>
    </row>
    <row r="581">
      <c r="A581" s="275"/>
      <c r="B581" s="275"/>
      <c r="C581" s="275"/>
      <c r="D581" s="275"/>
      <c r="E581" s="276"/>
      <c r="F581" s="276"/>
      <c r="G581" s="277"/>
      <c r="H581" s="276"/>
      <c r="I581" s="276"/>
      <c r="J581" s="276"/>
      <c r="K581" s="276"/>
      <c r="L581" s="276"/>
      <c r="M581" s="276"/>
      <c r="N581" s="276"/>
      <c r="O581" s="276"/>
    </row>
    <row r="582">
      <c r="A582" s="275"/>
      <c r="B582" s="275"/>
      <c r="C582" s="275"/>
      <c r="D582" s="275"/>
      <c r="E582" s="276"/>
      <c r="F582" s="276"/>
      <c r="G582" s="277"/>
      <c r="H582" s="276"/>
      <c r="I582" s="276"/>
      <c r="J582" s="276"/>
      <c r="K582" s="276"/>
      <c r="L582" s="276"/>
      <c r="M582" s="276"/>
      <c r="N582" s="276"/>
      <c r="O582" s="276"/>
    </row>
    <row r="583">
      <c r="A583" s="275"/>
      <c r="B583" s="275"/>
      <c r="C583" s="275"/>
      <c r="D583" s="275"/>
      <c r="E583" s="276"/>
      <c r="F583" s="276"/>
      <c r="G583" s="277"/>
      <c r="H583" s="276"/>
      <c r="I583" s="276"/>
      <c r="J583" s="276"/>
      <c r="K583" s="276"/>
      <c r="L583" s="276"/>
      <c r="M583" s="276"/>
      <c r="N583" s="276"/>
      <c r="O583" s="276"/>
    </row>
    <row r="584">
      <c r="A584" s="275"/>
      <c r="B584" s="275"/>
      <c r="C584" s="275"/>
      <c r="D584" s="275"/>
      <c r="E584" s="276"/>
      <c r="F584" s="276"/>
      <c r="G584" s="277"/>
      <c r="H584" s="276"/>
      <c r="I584" s="276"/>
      <c r="J584" s="276"/>
      <c r="K584" s="276"/>
      <c r="L584" s="276"/>
      <c r="M584" s="276"/>
      <c r="N584" s="276"/>
      <c r="O584" s="276"/>
    </row>
    <row r="585">
      <c r="A585" s="275"/>
      <c r="B585" s="275"/>
      <c r="C585" s="275"/>
      <c r="D585" s="275"/>
      <c r="E585" s="276"/>
      <c r="F585" s="276"/>
      <c r="G585" s="277"/>
      <c r="H585" s="276"/>
      <c r="I585" s="276"/>
      <c r="J585" s="276"/>
      <c r="K585" s="276"/>
      <c r="L585" s="276"/>
      <c r="M585" s="276"/>
      <c r="N585" s="276"/>
      <c r="O585" s="276"/>
    </row>
    <row r="586">
      <c r="A586" s="275"/>
      <c r="B586" s="275"/>
      <c r="C586" s="275"/>
      <c r="D586" s="275"/>
      <c r="E586" s="276"/>
      <c r="F586" s="276"/>
      <c r="G586" s="277"/>
      <c r="H586" s="276"/>
      <c r="I586" s="276"/>
      <c r="J586" s="276"/>
      <c r="K586" s="276"/>
      <c r="L586" s="276"/>
      <c r="M586" s="276"/>
      <c r="N586" s="276"/>
      <c r="O586" s="276"/>
    </row>
    <row r="587">
      <c r="A587" s="275"/>
      <c r="B587" s="275"/>
      <c r="C587" s="275"/>
      <c r="D587" s="275"/>
      <c r="E587" s="276"/>
      <c r="F587" s="276"/>
      <c r="G587" s="277"/>
      <c r="H587" s="276"/>
      <c r="I587" s="276"/>
      <c r="J587" s="276"/>
      <c r="K587" s="276"/>
      <c r="L587" s="276"/>
      <c r="M587" s="276"/>
      <c r="N587" s="276"/>
      <c r="O587" s="276"/>
    </row>
    <row r="588">
      <c r="A588" s="275"/>
      <c r="B588" s="275"/>
      <c r="C588" s="275"/>
      <c r="D588" s="275"/>
      <c r="E588" s="276"/>
      <c r="F588" s="276"/>
      <c r="G588" s="277"/>
      <c r="H588" s="276"/>
      <c r="I588" s="276"/>
      <c r="J588" s="276"/>
      <c r="K588" s="276"/>
      <c r="L588" s="276"/>
      <c r="M588" s="276"/>
      <c r="N588" s="276"/>
      <c r="O588" s="276"/>
    </row>
    <row r="589">
      <c r="A589" s="275"/>
      <c r="B589" s="275"/>
      <c r="C589" s="275"/>
      <c r="D589" s="275"/>
      <c r="E589" s="276"/>
      <c r="F589" s="276"/>
      <c r="G589" s="277"/>
      <c r="H589" s="276"/>
      <c r="I589" s="276"/>
      <c r="J589" s="276"/>
      <c r="K589" s="276"/>
      <c r="L589" s="276"/>
      <c r="M589" s="276"/>
      <c r="N589" s="276"/>
      <c r="O589" s="276"/>
    </row>
    <row r="590">
      <c r="A590" s="275"/>
      <c r="B590" s="275"/>
      <c r="C590" s="275"/>
      <c r="D590" s="275"/>
      <c r="E590" s="276"/>
      <c r="F590" s="276"/>
      <c r="G590" s="277"/>
      <c r="H590" s="276"/>
      <c r="I590" s="276"/>
      <c r="J590" s="276"/>
      <c r="K590" s="276"/>
      <c r="L590" s="276"/>
      <c r="M590" s="276"/>
      <c r="N590" s="276"/>
      <c r="O590" s="276"/>
    </row>
    <row r="591">
      <c r="A591" s="275"/>
      <c r="B591" s="275"/>
      <c r="C591" s="275"/>
      <c r="D591" s="275"/>
      <c r="E591" s="276"/>
      <c r="F591" s="276"/>
      <c r="G591" s="277"/>
      <c r="H591" s="276"/>
      <c r="I591" s="276"/>
      <c r="J591" s="276"/>
      <c r="K591" s="276"/>
      <c r="L591" s="276"/>
      <c r="M591" s="276"/>
      <c r="N591" s="276"/>
      <c r="O591" s="276"/>
    </row>
    <row r="592">
      <c r="A592" s="275"/>
      <c r="B592" s="275"/>
      <c r="C592" s="275"/>
      <c r="D592" s="275"/>
      <c r="E592" s="276"/>
      <c r="F592" s="276"/>
      <c r="G592" s="277"/>
      <c r="H592" s="276"/>
      <c r="I592" s="276"/>
      <c r="J592" s="276"/>
      <c r="K592" s="276"/>
      <c r="L592" s="276"/>
      <c r="M592" s="276"/>
      <c r="N592" s="276"/>
      <c r="O592" s="276"/>
    </row>
    <row r="593">
      <c r="A593" s="275"/>
      <c r="B593" s="275"/>
      <c r="C593" s="275"/>
      <c r="D593" s="275"/>
      <c r="E593" s="276"/>
      <c r="F593" s="276"/>
      <c r="G593" s="277"/>
      <c r="H593" s="276"/>
      <c r="I593" s="276"/>
      <c r="J593" s="276"/>
      <c r="K593" s="276"/>
      <c r="L593" s="276"/>
      <c r="M593" s="276"/>
      <c r="N593" s="276"/>
      <c r="O593" s="276"/>
    </row>
    <row r="594">
      <c r="A594" s="275"/>
      <c r="B594" s="275"/>
      <c r="C594" s="275"/>
      <c r="D594" s="275"/>
      <c r="E594" s="276"/>
      <c r="F594" s="276"/>
      <c r="G594" s="277"/>
      <c r="H594" s="276"/>
      <c r="I594" s="276"/>
      <c r="J594" s="276"/>
      <c r="K594" s="276"/>
      <c r="L594" s="276"/>
      <c r="M594" s="276"/>
      <c r="N594" s="276"/>
      <c r="O594" s="276"/>
    </row>
    <row r="595">
      <c r="A595" s="275"/>
      <c r="B595" s="275"/>
      <c r="C595" s="275"/>
      <c r="D595" s="275"/>
      <c r="E595" s="276"/>
      <c r="F595" s="276"/>
      <c r="G595" s="277"/>
      <c r="H595" s="276"/>
      <c r="I595" s="276"/>
      <c r="J595" s="276"/>
      <c r="K595" s="276"/>
      <c r="L595" s="276"/>
      <c r="M595" s="276"/>
      <c r="N595" s="276"/>
      <c r="O595" s="276"/>
    </row>
    <row r="596">
      <c r="A596" s="275"/>
      <c r="B596" s="275"/>
      <c r="C596" s="275"/>
      <c r="D596" s="275"/>
      <c r="E596" s="276"/>
      <c r="F596" s="276"/>
      <c r="G596" s="277"/>
      <c r="H596" s="276"/>
      <c r="I596" s="276"/>
      <c r="J596" s="276"/>
      <c r="K596" s="276"/>
      <c r="L596" s="276"/>
      <c r="M596" s="276"/>
      <c r="N596" s="276"/>
      <c r="O596" s="276"/>
    </row>
    <row r="597">
      <c r="A597" s="275"/>
      <c r="B597" s="275"/>
      <c r="C597" s="275"/>
      <c r="D597" s="275"/>
      <c r="E597" s="276"/>
      <c r="F597" s="276"/>
      <c r="G597" s="277"/>
      <c r="H597" s="276"/>
      <c r="I597" s="276"/>
      <c r="J597" s="276"/>
      <c r="K597" s="276"/>
      <c r="L597" s="276"/>
      <c r="M597" s="276"/>
      <c r="N597" s="276"/>
      <c r="O597" s="276"/>
    </row>
    <row r="598">
      <c r="A598" s="275"/>
      <c r="B598" s="275"/>
      <c r="C598" s="275"/>
      <c r="D598" s="275"/>
      <c r="E598" s="276"/>
      <c r="F598" s="276"/>
      <c r="G598" s="277"/>
      <c r="H598" s="276"/>
      <c r="I598" s="276"/>
      <c r="J598" s="276"/>
      <c r="K598" s="276"/>
      <c r="L598" s="276"/>
      <c r="M598" s="276"/>
      <c r="N598" s="276"/>
      <c r="O598" s="276"/>
    </row>
    <row r="599">
      <c r="A599" s="275"/>
      <c r="B599" s="275"/>
      <c r="C599" s="275"/>
      <c r="D599" s="275"/>
      <c r="E599" s="276"/>
      <c r="F599" s="276"/>
      <c r="G599" s="277"/>
      <c r="H599" s="276"/>
      <c r="I599" s="276"/>
      <c r="J599" s="276"/>
      <c r="K599" s="276"/>
      <c r="L599" s="276"/>
      <c r="M599" s="276"/>
      <c r="N599" s="276"/>
      <c r="O599" s="276"/>
    </row>
    <row r="600">
      <c r="A600" s="275"/>
      <c r="B600" s="275"/>
      <c r="C600" s="275"/>
      <c r="D600" s="275"/>
      <c r="E600" s="276"/>
      <c r="F600" s="276"/>
      <c r="G600" s="277"/>
      <c r="H600" s="276"/>
      <c r="I600" s="276"/>
      <c r="J600" s="276"/>
      <c r="K600" s="276"/>
      <c r="L600" s="276"/>
      <c r="M600" s="276"/>
      <c r="N600" s="276"/>
      <c r="O600" s="276"/>
    </row>
    <row r="601">
      <c r="A601" s="275"/>
      <c r="B601" s="275"/>
      <c r="C601" s="275"/>
      <c r="D601" s="275"/>
      <c r="E601" s="276"/>
      <c r="F601" s="276"/>
      <c r="G601" s="277"/>
      <c r="H601" s="276"/>
      <c r="I601" s="276"/>
      <c r="J601" s="276"/>
      <c r="K601" s="276"/>
      <c r="L601" s="276"/>
      <c r="M601" s="276"/>
      <c r="N601" s="276"/>
      <c r="O601" s="276"/>
    </row>
    <row r="602">
      <c r="A602" s="275"/>
      <c r="B602" s="275"/>
      <c r="C602" s="275"/>
      <c r="D602" s="275"/>
      <c r="E602" s="276"/>
      <c r="F602" s="276"/>
      <c r="G602" s="277"/>
      <c r="H602" s="276"/>
      <c r="I602" s="276"/>
      <c r="J602" s="276"/>
      <c r="K602" s="276"/>
      <c r="L602" s="276"/>
      <c r="M602" s="276"/>
      <c r="N602" s="276"/>
      <c r="O602" s="276"/>
    </row>
    <row r="603">
      <c r="A603" s="275"/>
      <c r="B603" s="275"/>
      <c r="C603" s="275"/>
      <c r="D603" s="275"/>
      <c r="E603" s="276"/>
      <c r="F603" s="276"/>
      <c r="G603" s="277"/>
      <c r="H603" s="276"/>
      <c r="I603" s="276"/>
      <c r="J603" s="276"/>
      <c r="K603" s="276"/>
      <c r="L603" s="276"/>
      <c r="M603" s="276"/>
      <c r="N603" s="276"/>
      <c r="O603" s="276"/>
    </row>
    <row r="604">
      <c r="A604" s="275"/>
      <c r="B604" s="275"/>
      <c r="C604" s="275"/>
      <c r="D604" s="275"/>
      <c r="E604" s="276"/>
      <c r="F604" s="276"/>
      <c r="G604" s="277"/>
      <c r="H604" s="276"/>
      <c r="I604" s="276"/>
      <c r="J604" s="276"/>
      <c r="K604" s="276"/>
      <c r="L604" s="276"/>
      <c r="M604" s="276"/>
      <c r="N604" s="276"/>
      <c r="O604" s="276"/>
    </row>
    <row r="605">
      <c r="A605" s="275"/>
      <c r="B605" s="275"/>
      <c r="C605" s="275"/>
      <c r="D605" s="275"/>
      <c r="E605" s="276"/>
      <c r="F605" s="276"/>
      <c r="G605" s="277"/>
      <c r="H605" s="276"/>
      <c r="I605" s="276"/>
      <c r="J605" s="276"/>
      <c r="K605" s="276"/>
      <c r="L605" s="276"/>
      <c r="M605" s="276"/>
      <c r="N605" s="276"/>
      <c r="O605" s="276"/>
    </row>
    <row r="606">
      <c r="A606" s="275"/>
      <c r="B606" s="275"/>
      <c r="C606" s="275"/>
      <c r="D606" s="275"/>
      <c r="E606" s="276"/>
      <c r="F606" s="276"/>
      <c r="G606" s="277"/>
      <c r="H606" s="276"/>
      <c r="I606" s="276"/>
      <c r="J606" s="276"/>
      <c r="K606" s="276"/>
      <c r="L606" s="276"/>
      <c r="M606" s="276"/>
      <c r="N606" s="276"/>
      <c r="O606" s="276"/>
    </row>
    <row r="607">
      <c r="A607" s="275"/>
      <c r="B607" s="275"/>
      <c r="C607" s="275"/>
      <c r="D607" s="275"/>
      <c r="E607" s="276"/>
      <c r="F607" s="276"/>
      <c r="G607" s="277"/>
      <c r="H607" s="276"/>
      <c r="I607" s="276"/>
      <c r="J607" s="276"/>
      <c r="K607" s="276"/>
      <c r="L607" s="276"/>
      <c r="M607" s="276"/>
      <c r="N607" s="276"/>
      <c r="O607" s="276"/>
    </row>
    <row r="608">
      <c r="A608" s="275"/>
      <c r="B608" s="275"/>
      <c r="C608" s="275"/>
      <c r="D608" s="275"/>
      <c r="E608" s="276"/>
      <c r="F608" s="276"/>
      <c r="G608" s="277"/>
      <c r="H608" s="276"/>
      <c r="I608" s="276"/>
      <c r="J608" s="276"/>
      <c r="K608" s="276"/>
      <c r="L608" s="276"/>
      <c r="M608" s="276"/>
      <c r="N608" s="276"/>
      <c r="O608" s="276"/>
    </row>
    <row r="609">
      <c r="A609" s="275"/>
      <c r="B609" s="275"/>
      <c r="C609" s="275"/>
      <c r="D609" s="275"/>
      <c r="E609" s="276"/>
      <c r="F609" s="276"/>
      <c r="G609" s="277"/>
      <c r="H609" s="276"/>
      <c r="I609" s="276"/>
      <c r="J609" s="276"/>
      <c r="K609" s="276"/>
      <c r="L609" s="276"/>
      <c r="M609" s="276"/>
      <c r="N609" s="276"/>
      <c r="O609" s="276"/>
    </row>
    <row r="610">
      <c r="A610" s="275"/>
      <c r="B610" s="275"/>
      <c r="C610" s="275"/>
      <c r="D610" s="275"/>
      <c r="E610" s="276"/>
      <c r="F610" s="276"/>
      <c r="G610" s="277"/>
      <c r="H610" s="276"/>
      <c r="I610" s="276"/>
      <c r="J610" s="276"/>
      <c r="K610" s="276"/>
      <c r="L610" s="276"/>
      <c r="M610" s="276"/>
      <c r="N610" s="276"/>
      <c r="O610" s="276"/>
    </row>
    <row r="611">
      <c r="A611" s="275"/>
      <c r="B611" s="275"/>
      <c r="C611" s="275"/>
      <c r="D611" s="275"/>
      <c r="E611" s="276"/>
      <c r="F611" s="276"/>
      <c r="G611" s="277"/>
      <c r="H611" s="276"/>
      <c r="I611" s="276"/>
      <c r="J611" s="276"/>
      <c r="K611" s="276"/>
      <c r="L611" s="276"/>
      <c r="M611" s="276"/>
      <c r="N611" s="276"/>
      <c r="O611" s="276"/>
    </row>
    <row r="612">
      <c r="A612" s="275"/>
      <c r="B612" s="275"/>
      <c r="C612" s="275"/>
      <c r="D612" s="275"/>
      <c r="E612" s="276"/>
      <c r="F612" s="276"/>
      <c r="G612" s="277"/>
      <c r="H612" s="276"/>
      <c r="I612" s="276"/>
      <c r="J612" s="276"/>
      <c r="K612" s="276"/>
      <c r="L612" s="276"/>
      <c r="M612" s="276"/>
      <c r="N612" s="276"/>
      <c r="O612" s="276"/>
    </row>
    <row r="613">
      <c r="A613" s="275"/>
      <c r="B613" s="275"/>
      <c r="C613" s="275"/>
      <c r="D613" s="275"/>
      <c r="E613" s="276"/>
      <c r="F613" s="276"/>
      <c r="G613" s="277"/>
      <c r="H613" s="276"/>
      <c r="I613" s="276"/>
      <c r="J613" s="276"/>
      <c r="K613" s="276"/>
      <c r="L613" s="276"/>
      <c r="M613" s="276"/>
      <c r="N613" s="276"/>
      <c r="O613" s="276"/>
    </row>
    <row r="614">
      <c r="A614" s="275"/>
      <c r="B614" s="275"/>
      <c r="C614" s="275"/>
      <c r="D614" s="275"/>
      <c r="E614" s="276"/>
      <c r="F614" s="276"/>
      <c r="G614" s="277"/>
      <c r="H614" s="276"/>
      <c r="I614" s="276"/>
      <c r="J614" s="276"/>
      <c r="K614" s="276"/>
      <c r="L614" s="276"/>
      <c r="M614" s="276"/>
      <c r="N614" s="276"/>
      <c r="O614" s="276"/>
    </row>
    <row r="615">
      <c r="A615" s="275"/>
      <c r="B615" s="275"/>
      <c r="C615" s="275"/>
      <c r="D615" s="275"/>
      <c r="E615" s="276"/>
      <c r="F615" s="276"/>
      <c r="G615" s="277"/>
      <c r="H615" s="276"/>
      <c r="I615" s="276"/>
      <c r="J615" s="276"/>
      <c r="K615" s="276"/>
      <c r="L615" s="276"/>
      <c r="M615" s="276"/>
      <c r="N615" s="276"/>
      <c r="O615" s="276"/>
    </row>
    <row r="616">
      <c r="A616" s="275"/>
      <c r="B616" s="275"/>
      <c r="C616" s="275"/>
      <c r="D616" s="275"/>
      <c r="E616" s="276"/>
      <c r="F616" s="276"/>
      <c r="G616" s="277"/>
      <c r="H616" s="276"/>
      <c r="I616" s="276"/>
      <c r="J616" s="276"/>
      <c r="K616" s="276"/>
      <c r="L616" s="276"/>
      <c r="M616" s="276"/>
      <c r="N616" s="276"/>
      <c r="O616" s="276"/>
    </row>
    <row r="617">
      <c r="A617" s="275"/>
      <c r="B617" s="275"/>
      <c r="C617" s="275"/>
      <c r="D617" s="275"/>
      <c r="E617" s="276"/>
      <c r="F617" s="276"/>
      <c r="G617" s="277"/>
      <c r="H617" s="276"/>
      <c r="I617" s="276"/>
      <c r="J617" s="276"/>
      <c r="K617" s="276"/>
      <c r="L617" s="276"/>
      <c r="M617" s="276"/>
      <c r="N617" s="276"/>
      <c r="O617" s="276"/>
    </row>
    <row r="618">
      <c r="A618" s="275"/>
      <c r="B618" s="275"/>
      <c r="C618" s="275"/>
      <c r="D618" s="275"/>
      <c r="E618" s="276"/>
      <c r="F618" s="276"/>
      <c r="G618" s="277"/>
      <c r="H618" s="276"/>
      <c r="I618" s="276"/>
      <c r="J618" s="276"/>
      <c r="K618" s="276"/>
      <c r="L618" s="276"/>
      <c r="M618" s="276"/>
      <c r="N618" s="276"/>
      <c r="O618" s="276"/>
    </row>
    <row r="619">
      <c r="A619" s="275"/>
      <c r="B619" s="275"/>
      <c r="C619" s="275"/>
      <c r="D619" s="275"/>
      <c r="E619" s="276"/>
      <c r="F619" s="276"/>
      <c r="G619" s="277"/>
      <c r="H619" s="276"/>
      <c r="I619" s="276"/>
      <c r="J619" s="276"/>
      <c r="K619" s="276"/>
      <c r="L619" s="276"/>
      <c r="M619" s="276"/>
      <c r="N619" s="276"/>
      <c r="O619" s="276"/>
    </row>
    <row r="620">
      <c r="A620" s="275"/>
      <c r="B620" s="275"/>
      <c r="C620" s="275"/>
      <c r="D620" s="275"/>
      <c r="E620" s="276"/>
      <c r="F620" s="276"/>
      <c r="G620" s="277"/>
      <c r="H620" s="276"/>
      <c r="I620" s="276"/>
      <c r="J620" s="276"/>
      <c r="K620" s="276"/>
      <c r="L620" s="276"/>
      <c r="M620" s="276"/>
      <c r="N620" s="276"/>
      <c r="O620" s="276"/>
    </row>
    <row r="621">
      <c r="A621" s="275"/>
      <c r="B621" s="275"/>
      <c r="C621" s="275"/>
      <c r="D621" s="275"/>
      <c r="E621" s="276"/>
      <c r="F621" s="276"/>
      <c r="G621" s="277"/>
      <c r="H621" s="276"/>
      <c r="I621" s="276"/>
      <c r="J621" s="276"/>
      <c r="K621" s="276"/>
      <c r="L621" s="276"/>
      <c r="M621" s="276"/>
      <c r="N621" s="276"/>
      <c r="O621" s="276"/>
    </row>
    <row r="622">
      <c r="A622" s="275"/>
      <c r="B622" s="275"/>
      <c r="C622" s="275"/>
      <c r="D622" s="275"/>
      <c r="E622" s="276"/>
      <c r="F622" s="276"/>
      <c r="G622" s="277"/>
      <c r="H622" s="276"/>
      <c r="I622" s="276"/>
      <c r="J622" s="276"/>
      <c r="K622" s="276"/>
      <c r="L622" s="276"/>
      <c r="M622" s="276"/>
      <c r="N622" s="276"/>
      <c r="O622" s="276"/>
    </row>
    <row r="623">
      <c r="A623" s="275"/>
      <c r="B623" s="275"/>
      <c r="C623" s="275"/>
      <c r="D623" s="275"/>
      <c r="E623" s="276"/>
      <c r="F623" s="276"/>
      <c r="G623" s="277"/>
      <c r="H623" s="276"/>
      <c r="I623" s="276"/>
      <c r="J623" s="276"/>
      <c r="K623" s="276"/>
      <c r="L623" s="276"/>
      <c r="M623" s="276"/>
      <c r="N623" s="276"/>
      <c r="O623" s="276"/>
    </row>
    <row r="624">
      <c r="A624" s="275"/>
      <c r="B624" s="275"/>
      <c r="C624" s="275"/>
      <c r="D624" s="275"/>
      <c r="E624" s="276"/>
      <c r="F624" s="276"/>
      <c r="G624" s="277"/>
      <c r="H624" s="276"/>
      <c r="I624" s="276"/>
      <c r="J624" s="276"/>
      <c r="K624" s="276"/>
      <c r="L624" s="276"/>
      <c r="M624" s="276"/>
      <c r="N624" s="276"/>
      <c r="O624" s="276"/>
    </row>
    <row r="625">
      <c r="A625" s="275"/>
      <c r="B625" s="275"/>
      <c r="C625" s="275"/>
      <c r="D625" s="275"/>
      <c r="E625" s="276"/>
      <c r="F625" s="276"/>
      <c r="G625" s="277"/>
      <c r="H625" s="276"/>
      <c r="I625" s="276"/>
      <c r="J625" s="276"/>
      <c r="K625" s="276"/>
      <c r="L625" s="276"/>
      <c r="M625" s="276"/>
      <c r="N625" s="276"/>
      <c r="O625" s="276"/>
    </row>
    <row r="626">
      <c r="A626" s="275"/>
      <c r="B626" s="275"/>
      <c r="C626" s="275"/>
      <c r="D626" s="275"/>
      <c r="E626" s="276"/>
      <c r="F626" s="276"/>
      <c r="G626" s="277"/>
      <c r="H626" s="276"/>
      <c r="I626" s="276"/>
      <c r="J626" s="276"/>
      <c r="K626" s="276"/>
      <c r="L626" s="276"/>
      <c r="M626" s="276"/>
      <c r="N626" s="276"/>
      <c r="O626" s="276"/>
    </row>
    <row r="627">
      <c r="A627" s="275"/>
      <c r="B627" s="275"/>
      <c r="C627" s="275"/>
      <c r="D627" s="275"/>
      <c r="E627" s="276"/>
      <c r="F627" s="276"/>
      <c r="G627" s="277"/>
      <c r="H627" s="276"/>
      <c r="I627" s="276"/>
      <c r="J627" s="276"/>
      <c r="K627" s="276"/>
      <c r="L627" s="276"/>
      <c r="M627" s="276"/>
      <c r="N627" s="276"/>
      <c r="O627" s="276"/>
    </row>
    <row r="628">
      <c r="A628" s="275"/>
      <c r="B628" s="275"/>
      <c r="C628" s="275"/>
      <c r="D628" s="275"/>
      <c r="E628" s="276"/>
      <c r="F628" s="276"/>
      <c r="G628" s="277"/>
      <c r="H628" s="276"/>
      <c r="I628" s="276"/>
      <c r="J628" s="276"/>
      <c r="K628" s="276"/>
      <c r="L628" s="276"/>
      <c r="M628" s="276"/>
      <c r="N628" s="276"/>
      <c r="O628" s="276"/>
    </row>
    <row r="629">
      <c r="A629" s="275"/>
      <c r="B629" s="275"/>
      <c r="C629" s="275"/>
      <c r="D629" s="275"/>
      <c r="E629" s="276"/>
      <c r="F629" s="276"/>
      <c r="G629" s="277"/>
      <c r="H629" s="276"/>
      <c r="I629" s="276"/>
      <c r="J629" s="276"/>
      <c r="K629" s="276"/>
      <c r="L629" s="276"/>
      <c r="M629" s="276"/>
      <c r="N629" s="276"/>
      <c r="O629" s="276"/>
    </row>
    <row r="630">
      <c r="A630" s="275"/>
      <c r="B630" s="275"/>
      <c r="C630" s="275"/>
      <c r="D630" s="275"/>
      <c r="E630" s="276"/>
      <c r="F630" s="276"/>
      <c r="G630" s="277"/>
      <c r="H630" s="276"/>
      <c r="I630" s="276"/>
      <c r="J630" s="276"/>
      <c r="K630" s="276"/>
      <c r="L630" s="276"/>
      <c r="M630" s="276"/>
      <c r="N630" s="276"/>
      <c r="O630" s="276"/>
    </row>
    <row r="631">
      <c r="A631" s="275"/>
      <c r="B631" s="275"/>
      <c r="C631" s="275"/>
      <c r="D631" s="275"/>
      <c r="E631" s="276"/>
      <c r="F631" s="276"/>
      <c r="G631" s="277"/>
      <c r="H631" s="276"/>
      <c r="I631" s="276"/>
      <c r="J631" s="276"/>
      <c r="K631" s="276"/>
      <c r="L631" s="276"/>
      <c r="M631" s="276"/>
      <c r="N631" s="276"/>
      <c r="O631" s="276"/>
    </row>
    <row r="632">
      <c r="A632" s="275"/>
      <c r="B632" s="275"/>
      <c r="C632" s="275"/>
      <c r="D632" s="275"/>
      <c r="E632" s="276"/>
      <c r="F632" s="276"/>
      <c r="G632" s="277"/>
      <c r="H632" s="276"/>
      <c r="I632" s="276"/>
      <c r="J632" s="276"/>
      <c r="K632" s="276"/>
      <c r="L632" s="276"/>
      <c r="M632" s="276"/>
      <c r="N632" s="276"/>
      <c r="O632" s="276"/>
    </row>
    <row r="633">
      <c r="A633" s="275"/>
      <c r="B633" s="275"/>
      <c r="C633" s="275"/>
      <c r="D633" s="275"/>
      <c r="E633" s="276"/>
      <c r="F633" s="276"/>
      <c r="G633" s="277"/>
      <c r="H633" s="276"/>
      <c r="I633" s="276"/>
      <c r="J633" s="276"/>
      <c r="K633" s="276"/>
      <c r="L633" s="276"/>
      <c r="M633" s="276"/>
      <c r="N633" s="276"/>
      <c r="O633" s="276"/>
    </row>
    <row r="634">
      <c r="A634" s="275"/>
      <c r="B634" s="275"/>
      <c r="C634" s="275"/>
      <c r="D634" s="275"/>
      <c r="E634" s="276"/>
      <c r="F634" s="276"/>
      <c r="G634" s="277"/>
      <c r="H634" s="276"/>
      <c r="I634" s="276"/>
      <c r="J634" s="276"/>
      <c r="K634" s="276"/>
      <c r="L634" s="276"/>
      <c r="M634" s="276"/>
      <c r="N634" s="276"/>
      <c r="O634" s="276"/>
    </row>
    <row r="635">
      <c r="A635" s="275"/>
      <c r="B635" s="275"/>
      <c r="C635" s="275"/>
      <c r="D635" s="275"/>
      <c r="E635" s="276"/>
      <c r="F635" s="276"/>
      <c r="G635" s="277"/>
      <c r="H635" s="276"/>
      <c r="I635" s="276"/>
      <c r="J635" s="276"/>
      <c r="K635" s="276"/>
      <c r="L635" s="276"/>
      <c r="M635" s="276"/>
      <c r="N635" s="276"/>
      <c r="O635" s="276"/>
    </row>
    <row r="636">
      <c r="A636" s="275"/>
      <c r="B636" s="275"/>
      <c r="C636" s="275"/>
      <c r="D636" s="275"/>
      <c r="E636" s="276"/>
      <c r="F636" s="276"/>
      <c r="G636" s="277"/>
      <c r="H636" s="276"/>
      <c r="I636" s="276"/>
      <c r="J636" s="276"/>
      <c r="K636" s="276"/>
      <c r="L636" s="276"/>
      <c r="M636" s="276"/>
      <c r="N636" s="276"/>
      <c r="O636" s="276"/>
    </row>
    <row r="637">
      <c r="A637" s="275"/>
      <c r="B637" s="275"/>
      <c r="C637" s="275"/>
      <c r="D637" s="275"/>
      <c r="E637" s="276"/>
      <c r="F637" s="276"/>
      <c r="G637" s="277"/>
      <c r="H637" s="276"/>
      <c r="I637" s="276"/>
      <c r="J637" s="276"/>
      <c r="K637" s="276"/>
      <c r="L637" s="276"/>
      <c r="M637" s="276"/>
      <c r="N637" s="276"/>
      <c r="O637" s="276"/>
    </row>
    <row r="638">
      <c r="A638" s="275"/>
      <c r="B638" s="275"/>
      <c r="C638" s="275"/>
      <c r="D638" s="275"/>
      <c r="E638" s="276"/>
      <c r="F638" s="276"/>
      <c r="G638" s="277"/>
      <c r="H638" s="276"/>
      <c r="I638" s="276"/>
      <c r="J638" s="276"/>
      <c r="K638" s="276"/>
      <c r="L638" s="276"/>
      <c r="M638" s="276"/>
      <c r="N638" s="276"/>
      <c r="O638" s="276"/>
    </row>
    <row r="639">
      <c r="A639" s="275"/>
      <c r="B639" s="275"/>
      <c r="C639" s="275"/>
      <c r="D639" s="275"/>
      <c r="E639" s="276"/>
      <c r="F639" s="276"/>
      <c r="G639" s="277"/>
      <c r="H639" s="276"/>
      <c r="I639" s="276"/>
      <c r="J639" s="276"/>
      <c r="K639" s="276"/>
      <c r="L639" s="276"/>
      <c r="M639" s="276"/>
      <c r="N639" s="276"/>
      <c r="O639" s="276"/>
    </row>
    <row r="640">
      <c r="A640" s="275"/>
      <c r="B640" s="275"/>
      <c r="C640" s="275"/>
      <c r="D640" s="275"/>
      <c r="E640" s="276"/>
      <c r="F640" s="276"/>
      <c r="G640" s="277"/>
      <c r="H640" s="276"/>
      <c r="I640" s="276"/>
      <c r="J640" s="276"/>
      <c r="K640" s="276"/>
      <c r="L640" s="276"/>
      <c r="M640" s="276"/>
      <c r="N640" s="276"/>
      <c r="O640" s="276"/>
    </row>
    <row r="641">
      <c r="A641" s="275"/>
      <c r="B641" s="275"/>
      <c r="C641" s="275"/>
      <c r="D641" s="275"/>
      <c r="E641" s="276"/>
      <c r="F641" s="276"/>
      <c r="G641" s="277"/>
      <c r="H641" s="276"/>
      <c r="I641" s="276"/>
      <c r="J641" s="276"/>
      <c r="K641" s="276"/>
      <c r="L641" s="276"/>
      <c r="M641" s="276"/>
      <c r="N641" s="276"/>
      <c r="O641" s="276"/>
    </row>
    <row r="642">
      <c r="A642" s="275"/>
      <c r="B642" s="275"/>
      <c r="C642" s="275"/>
      <c r="D642" s="275"/>
      <c r="E642" s="276"/>
      <c r="F642" s="276"/>
      <c r="G642" s="277"/>
      <c r="H642" s="276"/>
      <c r="I642" s="276"/>
      <c r="J642" s="276"/>
      <c r="K642" s="276"/>
      <c r="L642" s="276"/>
      <c r="M642" s="276"/>
      <c r="N642" s="276"/>
      <c r="O642" s="276"/>
    </row>
    <row r="643">
      <c r="A643" s="275"/>
      <c r="B643" s="275"/>
      <c r="C643" s="275"/>
      <c r="D643" s="275"/>
      <c r="E643" s="276"/>
      <c r="F643" s="276"/>
      <c r="G643" s="277"/>
      <c r="H643" s="276"/>
      <c r="I643" s="276"/>
      <c r="J643" s="276"/>
      <c r="K643" s="276"/>
      <c r="L643" s="276"/>
      <c r="M643" s="276"/>
      <c r="N643" s="276"/>
      <c r="O643" s="276"/>
    </row>
    <row r="644">
      <c r="A644" s="275"/>
      <c r="B644" s="275"/>
      <c r="C644" s="275"/>
      <c r="D644" s="275"/>
      <c r="E644" s="276"/>
      <c r="F644" s="276"/>
      <c r="G644" s="277"/>
      <c r="H644" s="276"/>
      <c r="I644" s="276"/>
      <c r="J644" s="276"/>
      <c r="K644" s="276"/>
      <c r="L644" s="276"/>
      <c r="M644" s="276"/>
      <c r="N644" s="276"/>
      <c r="O644" s="276"/>
    </row>
    <row r="645">
      <c r="A645" s="275"/>
      <c r="B645" s="275"/>
      <c r="C645" s="275"/>
      <c r="D645" s="275"/>
      <c r="E645" s="276"/>
      <c r="F645" s="276"/>
      <c r="G645" s="277"/>
      <c r="H645" s="276"/>
      <c r="I645" s="276"/>
      <c r="J645" s="276"/>
      <c r="K645" s="276"/>
      <c r="L645" s="276"/>
      <c r="M645" s="276"/>
      <c r="N645" s="276"/>
      <c r="O645" s="276"/>
    </row>
    <row r="646">
      <c r="A646" s="275"/>
      <c r="B646" s="275"/>
      <c r="C646" s="275"/>
      <c r="D646" s="275"/>
      <c r="E646" s="276"/>
      <c r="F646" s="276"/>
      <c r="G646" s="277"/>
      <c r="H646" s="276"/>
      <c r="I646" s="276"/>
      <c r="J646" s="276"/>
      <c r="K646" s="276"/>
      <c r="L646" s="276"/>
      <c r="M646" s="276"/>
      <c r="N646" s="276"/>
      <c r="O646" s="276"/>
    </row>
    <row r="647">
      <c r="A647" s="275"/>
      <c r="B647" s="275"/>
      <c r="C647" s="275"/>
      <c r="D647" s="275"/>
      <c r="E647" s="276"/>
      <c r="F647" s="276"/>
      <c r="G647" s="277"/>
      <c r="H647" s="276"/>
      <c r="I647" s="276"/>
      <c r="J647" s="276"/>
      <c r="K647" s="276"/>
      <c r="L647" s="276"/>
      <c r="M647" s="276"/>
      <c r="N647" s="276"/>
      <c r="O647" s="276"/>
    </row>
    <row r="648">
      <c r="A648" s="275"/>
      <c r="B648" s="275"/>
      <c r="C648" s="275"/>
      <c r="D648" s="275"/>
      <c r="E648" s="276"/>
      <c r="F648" s="276"/>
      <c r="G648" s="277"/>
      <c r="H648" s="276"/>
      <c r="I648" s="276"/>
      <c r="J648" s="276"/>
      <c r="K648" s="276"/>
      <c r="L648" s="276"/>
      <c r="M648" s="276"/>
      <c r="N648" s="276"/>
      <c r="O648" s="276"/>
    </row>
    <row r="649">
      <c r="A649" s="275"/>
      <c r="B649" s="275"/>
      <c r="C649" s="275"/>
      <c r="D649" s="275"/>
      <c r="E649" s="276"/>
      <c r="F649" s="276"/>
      <c r="G649" s="277"/>
      <c r="H649" s="276"/>
      <c r="I649" s="276"/>
      <c r="J649" s="276"/>
      <c r="K649" s="276"/>
      <c r="L649" s="276"/>
      <c r="M649" s="276"/>
      <c r="N649" s="276"/>
      <c r="O649" s="276"/>
    </row>
    <row r="650">
      <c r="A650" s="275"/>
      <c r="B650" s="275"/>
      <c r="C650" s="275"/>
      <c r="D650" s="275"/>
      <c r="E650" s="276"/>
      <c r="F650" s="276"/>
      <c r="G650" s="277"/>
      <c r="H650" s="276"/>
      <c r="I650" s="276"/>
      <c r="J650" s="276"/>
      <c r="K650" s="276"/>
      <c r="L650" s="276"/>
      <c r="M650" s="276"/>
      <c r="N650" s="276"/>
      <c r="O650" s="276"/>
    </row>
    <row r="651">
      <c r="A651" s="275"/>
      <c r="B651" s="275"/>
      <c r="C651" s="275"/>
      <c r="D651" s="275"/>
      <c r="E651" s="276"/>
      <c r="F651" s="276"/>
      <c r="G651" s="277"/>
      <c r="H651" s="276"/>
      <c r="I651" s="276"/>
      <c r="J651" s="276"/>
      <c r="K651" s="276"/>
      <c r="L651" s="276"/>
      <c r="M651" s="276"/>
      <c r="N651" s="276"/>
      <c r="O651" s="276"/>
    </row>
    <row r="652">
      <c r="A652" s="275"/>
      <c r="B652" s="275"/>
      <c r="C652" s="275"/>
      <c r="D652" s="275"/>
      <c r="E652" s="276"/>
      <c r="F652" s="276"/>
      <c r="G652" s="277"/>
      <c r="H652" s="276"/>
      <c r="I652" s="276"/>
      <c r="J652" s="276"/>
      <c r="K652" s="276"/>
      <c r="L652" s="276"/>
      <c r="M652" s="276"/>
      <c r="N652" s="276"/>
      <c r="O652" s="276"/>
    </row>
    <row r="653">
      <c r="A653" s="275"/>
      <c r="B653" s="275"/>
      <c r="C653" s="275"/>
      <c r="D653" s="275"/>
      <c r="E653" s="276"/>
      <c r="F653" s="276"/>
      <c r="G653" s="277"/>
      <c r="H653" s="276"/>
      <c r="I653" s="276"/>
      <c r="J653" s="276"/>
      <c r="K653" s="276"/>
      <c r="L653" s="276"/>
      <c r="M653" s="276"/>
      <c r="N653" s="276"/>
      <c r="O653" s="276"/>
    </row>
    <row r="654">
      <c r="A654" s="275"/>
      <c r="B654" s="275"/>
      <c r="C654" s="275"/>
      <c r="D654" s="275"/>
      <c r="E654" s="276"/>
      <c r="F654" s="276"/>
      <c r="G654" s="277"/>
      <c r="H654" s="276"/>
      <c r="I654" s="276"/>
      <c r="J654" s="276"/>
      <c r="K654" s="276"/>
      <c r="L654" s="276"/>
      <c r="M654" s="276"/>
      <c r="N654" s="276"/>
      <c r="O654" s="276"/>
    </row>
    <row r="655">
      <c r="A655" s="275"/>
      <c r="B655" s="275"/>
      <c r="C655" s="275"/>
      <c r="D655" s="275"/>
      <c r="E655" s="276"/>
      <c r="F655" s="276"/>
      <c r="G655" s="277"/>
      <c r="H655" s="276"/>
      <c r="I655" s="276"/>
      <c r="J655" s="276"/>
      <c r="K655" s="276"/>
      <c r="L655" s="276"/>
      <c r="M655" s="276"/>
      <c r="N655" s="276"/>
      <c r="O655" s="276"/>
    </row>
    <row r="656">
      <c r="A656" s="275"/>
      <c r="B656" s="275"/>
      <c r="C656" s="275"/>
      <c r="D656" s="275"/>
      <c r="E656" s="276"/>
      <c r="F656" s="276"/>
      <c r="G656" s="277"/>
      <c r="H656" s="276"/>
      <c r="I656" s="276"/>
      <c r="J656" s="276"/>
      <c r="K656" s="276"/>
      <c r="L656" s="276"/>
      <c r="M656" s="276"/>
      <c r="N656" s="276"/>
      <c r="O656" s="276"/>
    </row>
    <row r="657">
      <c r="A657" s="275"/>
      <c r="B657" s="275"/>
      <c r="C657" s="275"/>
      <c r="D657" s="275"/>
      <c r="E657" s="276"/>
      <c r="F657" s="276"/>
      <c r="G657" s="277"/>
      <c r="H657" s="276"/>
      <c r="I657" s="276"/>
      <c r="J657" s="276"/>
      <c r="K657" s="276"/>
      <c r="L657" s="276"/>
      <c r="M657" s="276"/>
      <c r="N657" s="276"/>
      <c r="O657" s="276"/>
    </row>
    <row r="658">
      <c r="A658" s="275"/>
      <c r="B658" s="275"/>
      <c r="C658" s="275"/>
      <c r="D658" s="275"/>
      <c r="E658" s="276"/>
      <c r="F658" s="276"/>
      <c r="G658" s="277"/>
      <c r="H658" s="276"/>
      <c r="I658" s="276"/>
      <c r="J658" s="276"/>
      <c r="K658" s="276"/>
      <c r="L658" s="276"/>
      <c r="M658" s="276"/>
      <c r="N658" s="276"/>
      <c r="O658" s="276"/>
    </row>
    <row r="659">
      <c r="A659" s="275"/>
      <c r="B659" s="275"/>
      <c r="C659" s="275"/>
      <c r="D659" s="275"/>
      <c r="E659" s="276"/>
      <c r="F659" s="276"/>
      <c r="G659" s="277"/>
      <c r="H659" s="276"/>
      <c r="I659" s="276"/>
      <c r="J659" s="276"/>
      <c r="K659" s="276"/>
      <c r="L659" s="276"/>
      <c r="M659" s="276"/>
      <c r="N659" s="276"/>
      <c r="O659" s="276"/>
    </row>
    <row r="660">
      <c r="A660" s="275"/>
      <c r="B660" s="275"/>
      <c r="C660" s="275"/>
      <c r="D660" s="275"/>
      <c r="E660" s="276"/>
      <c r="F660" s="276"/>
      <c r="G660" s="277"/>
      <c r="H660" s="276"/>
      <c r="I660" s="276"/>
      <c r="J660" s="276"/>
      <c r="K660" s="276"/>
      <c r="L660" s="276"/>
      <c r="M660" s="276"/>
      <c r="N660" s="276"/>
      <c r="O660" s="276"/>
    </row>
    <row r="661">
      <c r="A661" s="275"/>
      <c r="B661" s="275"/>
      <c r="C661" s="275"/>
      <c r="D661" s="275"/>
      <c r="E661" s="276"/>
      <c r="F661" s="276"/>
      <c r="G661" s="277"/>
      <c r="H661" s="276"/>
      <c r="I661" s="276"/>
      <c r="J661" s="276"/>
      <c r="K661" s="276"/>
      <c r="L661" s="276"/>
      <c r="M661" s="276"/>
      <c r="N661" s="276"/>
      <c r="O661" s="276"/>
    </row>
    <row r="662">
      <c r="A662" s="275"/>
      <c r="B662" s="275"/>
      <c r="C662" s="275"/>
      <c r="D662" s="275"/>
      <c r="E662" s="276"/>
      <c r="F662" s="276"/>
      <c r="G662" s="277"/>
      <c r="H662" s="276"/>
      <c r="I662" s="276"/>
      <c r="J662" s="276"/>
      <c r="K662" s="276"/>
      <c r="L662" s="276"/>
      <c r="M662" s="276"/>
      <c r="N662" s="276"/>
      <c r="O662" s="276"/>
    </row>
    <row r="663">
      <c r="A663" s="275"/>
      <c r="B663" s="275"/>
      <c r="C663" s="275"/>
      <c r="D663" s="275"/>
      <c r="E663" s="276"/>
      <c r="F663" s="276"/>
      <c r="G663" s="277"/>
      <c r="H663" s="276"/>
      <c r="I663" s="276"/>
      <c r="J663" s="276"/>
      <c r="K663" s="276"/>
      <c r="L663" s="276"/>
      <c r="M663" s="276"/>
      <c r="N663" s="276"/>
      <c r="O663" s="276"/>
    </row>
    <row r="664">
      <c r="A664" s="275"/>
      <c r="B664" s="275"/>
      <c r="C664" s="275"/>
      <c r="D664" s="275"/>
      <c r="E664" s="276"/>
      <c r="F664" s="276"/>
      <c r="G664" s="277"/>
      <c r="H664" s="276"/>
      <c r="I664" s="276"/>
      <c r="J664" s="276"/>
      <c r="K664" s="276"/>
      <c r="L664" s="276"/>
      <c r="M664" s="276"/>
      <c r="N664" s="276"/>
      <c r="O664" s="276"/>
    </row>
    <row r="665">
      <c r="A665" s="275"/>
      <c r="B665" s="275"/>
      <c r="C665" s="275"/>
      <c r="D665" s="275"/>
      <c r="E665" s="276"/>
      <c r="F665" s="276"/>
      <c r="G665" s="277"/>
      <c r="H665" s="276"/>
      <c r="I665" s="276"/>
      <c r="J665" s="276"/>
      <c r="K665" s="276"/>
      <c r="L665" s="276"/>
      <c r="M665" s="276"/>
      <c r="N665" s="276"/>
      <c r="O665" s="276"/>
    </row>
    <row r="666">
      <c r="A666" s="275"/>
      <c r="B666" s="275"/>
      <c r="C666" s="275"/>
      <c r="D666" s="275"/>
      <c r="E666" s="276"/>
      <c r="F666" s="276"/>
      <c r="G666" s="277"/>
      <c r="H666" s="276"/>
      <c r="I666" s="276"/>
      <c r="J666" s="276"/>
      <c r="K666" s="276"/>
      <c r="L666" s="276"/>
      <c r="M666" s="276"/>
      <c r="N666" s="276"/>
      <c r="O666" s="276"/>
    </row>
    <row r="667">
      <c r="A667" s="275"/>
      <c r="B667" s="275"/>
      <c r="C667" s="275"/>
      <c r="D667" s="275"/>
      <c r="E667" s="276"/>
      <c r="F667" s="276"/>
      <c r="G667" s="277"/>
      <c r="H667" s="276"/>
      <c r="I667" s="276"/>
      <c r="J667" s="276"/>
      <c r="K667" s="276"/>
      <c r="L667" s="276"/>
      <c r="M667" s="276"/>
      <c r="N667" s="276"/>
      <c r="O667" s="276"/>
    </row>
    <row r="668">
      <c r="A668" s="275"/>
      <c r="B668" s="275"/>
      <c r="C668" s="275"/>
      <c r="D668" s="275"/>
      <c r="E668" s="276"/>
      <c r="F668" s="276"/>
      <c r="G668" s="277"/>
      <c r="H668" s="276"/>
      <c r="I668" s="276"/>
      <c r="J668" s="276"/>
      <c r="K668" s="276"/>
      <c r="L668" s="276"/>
      <c r="M668" s="276"/>
      <c r="N668" s="276"/>
      <c r="O668" s="276"/>
    </row>
    <row r="669">
      <c r="A669" s="275"/>
      <c r="B669" s="275"/>
      <c r="C669" s="275"/>
      <c r="D669" s="275"/>
      <c r="E669" s="276"/>
      <c r="F669" s="276"/>
      <c r="G669" s="277"/>
      <c r="H669" s="276"/>
      <c r="I669" s="276"/>
      <c r="J669" s="276"/>
      <c r="K669" s="276"/>
      <c r="L669" s="276"/>
      <c r="M669" s="276"/>
      <c r="N669" s="276"/>
      <c r="O669" s="276"/>
    </row>
    <row r="670">
      <c r="A670" s="275"/>
      <c r="B670" s="275"/>
      <c r="C670" s="275"/>
      <c r="D670" s="275"/>
      <c r="E670" s="276"/>
      <c r="F670" s="276"/>
      <c r="G670" s="277"/>
      <c r="H670" s="276"/>
      <c r="I670" s="276"/>
      <c r="J670" s="276"/>
      <c r="K670" s="276"/>
      <c r="L670" s="276"/>
      <c r="M670" s="276"/>
      <c r="N670" s="276"/>
      <c r="O670" s="276"/>
    </row>
    <row r="671">
      <c r="A671" s="275"/>
      <c r="B671" s="275"/>
      <c r="C671" s="275"/>
      <c r="D671" s="275"/>
      <c r="E671" s="276"/>
      <c r="F671" s="276"/>
      <c r="G671" s="277"/>
      <c r="H671" s="276"/>
      <c r="I671" s="276"/>
      <c r="J671" s="276"/>
      <c r="K671" s="276"/>
      <c r="L671" s="276"/>
      <c r="M671" s="276"/>
      <c r="N671" s="276"/>
      <c r="O671" s="276"/>
    </row>
    <row r="672">
      <c r="A672" s="275"/>
      <c r="B672" s="275"/>
      <c r="C672" s="275"/>
      <c r="D672" s="275"/>
      <c r="E672" s="276"/>
      <c r="F672" s="276"/>
      <c r="G672" s="277"/>
      <c r="H672" s="276"/>
      <c r="I672" s="276"/>
      <c r="J672" s="276"/>
      <c r="K672" s="276"/>
      <c r="L672" s="276"/>
      <c r="M672" s="276"/>
      <c r="N672" s="276"/>
      <c r="O672" s="276"/>
    </row>
    <row r="673">
      <c r="A673" s="275"/>
      <c r="B673" s="275"/>
      <c r="C673" s="275"/>
      <c r="D673" s="275"/>
      <c r="E673" s="276"/>
      <c r="F673" s="276"/>
      <c r="G673" s="277"/>
      <c r="H673" s="276"/>
      <c r="I673" s="276"/>
      <c r="J673" s="276"/>
      <c r="K673" s="276"/>
      <c r="L673" s="276"/>
      <c r="M673" s="276"/>
      <c r="N673" s="276"/>
      <c r="O673" s="276"/>
    </row>
    <row r="674">
      <c r="A674" s="275"/>
      <c r="B674" s="275"/>
      <c r="C674" s="275"/>
      <c r="D674" s="275"/>
      <c r="E674" s="276"/>
      <c r="F674" s="276"/>
      <c r="G674" s="277"/>
      <c r="H674" s="276"/>
      <c r="I674" s="276"/>
      <c r="J674" s="276"/>
      <c r="K674" s="276"/>
      <c r="L674" s="276"/>
      <c r="M674" s="276"/>
      <c r="N674" s="276"/>
      <c r="O674" s="276"/>
    </row>
    <row r="675">
      <c r="A675" s="275"/>
      <c r="B675" s="275"/>
      <c r="C675" s="275"/>
      <c r="D675" s="275"/>
      <c r="E675" s="276"/>
      <c r="F675" s="276"/>
      <c r="G675" s="277"/>
      <c r="H675" s="276"/>
      <c r="I675" s="276"/>
      <c r="J675" s="276"/>
      <c r="K675" s="276"/>
      <c r="L675" s="276"/>
      <c r="M675" s="276"/>
      <c r="N675" s="276"/>
      <c r="O675" s="276"/>
    </row>
    <row r="676">
      <c r="A676" s="275"/>
      <c r="B676" s="275"/>
      <c r="C676" s="275"/>
      <c r="D676" s="275"/>
      <c r="E676" s="276"/>
      <c r="F676" s="276"/>
      <c r="G676" s="277"/>
      <c r="H676" s="276"/>
      <c r="I676" s="276"/>
      <c r="J676" s="276"/>
      <c r="K676" s="276"/>
      <c r="L676" s="276"/>
      <c r="M676" s="276"/>
      <c r="N676" s="276"/>
      <c r="O676" s="276"/>
    </row>
    <row r="677">
      <c r="A677" s="275"/>
      <c r="B677" s="275"/>
      <c r="C677" s="275"/>
      <c r="D677" s="275"/>
      <c r="E677" s="276"/>
      <c r="F677" s="276"/>
      <c r="G677" s="277"/>
      <c r="H677" s="276"/>
      <c r="I677" s="276"/>
      <c r="J677" s="276"/>
      <c r="K677" s="276"/>
      <c r="L677" s="276"/>
      <c r="M677" s="276"/>
      <c r="N677" s="276"/>
      <c r="O677" s="276"/>
    </row>
    <row r="678">
      <c r="A678" s="275"/>
      <c r="B678" s="275"/>
      <c r="C678" s="275"/>
      <c r="D678" s="275"/>
      <c r="E678" s="276"/>
      <c r="F678" s="276"/>
      <c r="G678" s="277"/>
      <c r="H678" s="276"/>
      <c r="I678" s="276"/>
      <c r="J678" s="276"/>
      <c r="K678" s="276"/>
      <c r="L678" s="276"/>
      <c r="M678" s="276"/>
      <c r="N678" s="276"/>
      <c r="O678" s="276"/>
    </row>
    <row r="679">
      <c r="A679" s="275"/>
      <c r="B679" s="275"/>
      <c r="C679" s="275"/>
      <c r="D679" s="275"/>
      <c r="E679" s="276"/>
      <c r="F679" s="276"/>
      <c r="G679" s="277"/>
      <c r="H679" s="276"/>
      <c r="I679" s="276"/>
      <c r="J679" s="276"/>
      <c r="K679" s="276"/>
      <c r="L679" s="276"/>
      <c r="M679" s="276"/>
      <c r="N679" s="276"/>
      <c r="O679" s="276"/>
    </row>
    <row r="680">
      <c r="A680" s="275"/>
      <c r="B680" s="275"/>
      <c r="C680" s="275"/>
      <c r="D680" s="275"/>
      <c r="E680" s="276"/>
      <c r="F680" s="276"/>
      <c r="G680" s="277"/>
      <c r="H680" s="276"/>
      <c r="I680" s="276"/>
      <c r="J680" s="276"/>
      <c r="K680" s="276"/>
      <c r="L680" s="276"/>
      <c r="M680" s="276"/>
      <c r="N680" s="276"/>
      <c r="O680" s="276"/>
    </row>
    <row r="681">
      <c r="A681" s="275"/>
      <c r="B681" s="275"/>
      <c r="C681" s="275"/>
      <c r="D681" s="275"/>
      <c r="E681" s="276"/>
      <c r="F681" s="276"/>
      <c r="G681" s="277"/>
      <c r="H681" s="276"/>
      <c r="I681" s="276"/>
      <c r="J681" s="276"/>
      <c r="K681" s="276"/>
      <c r="L681" s="276"/>
      <c r="M681" s="276"/>
      <c r="N681" s="276"/>
      <c r="O681" s="276"/>
    </row>
    <row r="682">
      <c r="A682" s="275"/>
      <c r="B682" s="275"/>
      <c r="C682" s="275"/>
      <c r="D682" s="275"/>
      <c r="E682" s="276"/>
      <c r="F682" s="276"/>
      <c r="G682" s="277"/>
      <c r="H682" s="276"/>
      <c r="I682" s="276"/>
      <c r="J682" s="276"/>
      <c r="K682" s="276"/>
      <c r="L682" s="276"/>
      <c r="M682" s="276"/>
      <c r="N682" s="276"/>
      <c r="O682" s="276"/>
    </row>
    <row r="683">
      <c r="A683" s="275"/>
      <c r="B683" s="275"/>
      <c r="C683" s="275"/>
      <c r="D683" s="275"/>
      <c r="E683" s="276"/>
      <c r="F683" s="276"/>
      <c r="G683" s="277"/>
      <c r="H683" s="276"/>
      <c r="I683" s="276"/>
      <c r="J683" s="276"/>
      <c r="K683" s="276"/>
      <c r="L683" s="276"/>
      <c r="M683" s="276"/>
      <c r="N683" s="276"/>
      <c r="O683" s="276"/>
    </row>
    <row r="684">
      <c r="A684" s="275"/>
      <c r="B684" s="275"/>
      <c r="C684" s="275"/>
      <c r="D684" s="275"/>
      <c r="E684" s="276"/>
      <c r="F684" s="276"/>
      <c r="G684" s="277"/>
      <c r="H684" s="276"/>
      <c r="I684" s="276"/>
      <c r="J684" s="276"/>
      <c r="K684" s="276"/>
      <c r="L684" s="276"/>
      <c r="M684" s="276"/>
      <c r="N684" s="276"/>
      <c r="O684" s="276"/>
    </row>
    <row r="685">
      <c r="A685" s="275"/>
      <c r="B685" s="275"/>
      <c r="C685" s="275"/>
      <c r="D685" s="275"/>
      <c r="E685" s="276"/>
      <c r="F685" s="276"/>
      <c r="G685" s="277"/>
      <c r="H685" s="276"/>
      <c r="I685" s="276"/>
      <c r="J685" s="276"/>
      <c r="K685" s="276"/>
      <c r="L685" s="276"/>
      <c r="M685" s="276"/>
      <c r="N685" s="276"/>
      <c r="O685" s="276"/>
    </row>
    <row r="686">
      <c r="A686" s="275"/>
      <c r="B686" s="275"/>
      <c r="C686" s="275"/>
      <c r="D686" s="275"/>
      <c r="E686" s="276"/>
      <c r="F686" s="276"/>
      <c r="G686" s="277"/>
      <c r="H686" s="276"/>
      <c r="I686" s="276"/>
      <c r="J686" s="276"/>
      <c r="K686" s="276"/>
      <c r="L686" s="276"/>
      <c r="M686" s="276"/>
      <c r="N686" s="276"/>
      <c r="O686" s="276"/>
    </row>
    <row r="687">
      <c r="A687" s="275"/>
      <c r="B687" s="275"/>
      <c r="C687" s="275"/>
      <c r="D687" s="275"/>
      <c r="E687" s="276"/>
      <c r="F687" s="276"/>
      <c r="G687" s="277"/>
      <c r="H687" s="276"/>
      <c r="I687" s="276"/>
      <c r="J687" s="276"/>
      <c r="K687" s="276"/>
      <c r="L687" s="276"/>
      <c r="M687" s="276"/>
      <c r="N687" s="276"/>
      <c r="O687" s="276"/>
    </row>
    <row r="688">
      <c r="A688" s="275"/>
      <c r="B688" s="275"/>
      <c r="C688" s="275"/>
      <c r="D688" s="275"/>
      <c r="E688" s="276"/>
      <c r="F688" s="276"/>
      <c r="G688" s="277"/>
      <c r="H688" s="276"/>
      <c r="I688" s="276"/>
      <c r="J688" s="276"/>
      <c r="K688" s="276"/>
      <c r="L688" s="276"/>
      <c r="M688" s="276"/>
      <c r="N688" s="276"/>
      <c r="O688" s="276"/>
    </row>
    <row r="689">
      <c r="A689" s="275"/>
      <c r="B689" s="275"/>
      <c r="C689" s="275"/>
      <c r="D689" s="275"/>
      <c r="E689" s="276"/>
      <c r="F689" s="276"/>
      <c r="G689" s="277"/>
      <c r="H689" s="276"/>
      <c r="I689" s="276"/>
      <c r="J689" s="276"/>
      <c r="K689" s="276"/>
      <c r="L689" s="276"/>
      <c r="M689" s="276"/>
      <c r="N689" s="276"/>
      <c r="O689" s="276"/>
    </row>
    <row r="690">
      <c r="A690" s="275"/>
      <c r="B690" s="275"/>
      <c r="C690" s="275"/>
      <c r="D690" s="275"/>
      <c r="E690" s="276"/>
      <c r="F690" s="276"/>
      <c r="G690" s="277"/>
      <c r="H690" s="276"/>
      <c r="I690" s="276"/>
      <c r="J690" s="276"/>
      <c r="K690" s="276"/>
      <c r="L690" s="276"/>
      <c r="M690" s="276"/>
      <c r="N690" s="276"/>
      <c r="O690" s="276"/>
    </row>
    <row r="691">
      <c r="A691" s="275"/>
      <c r="B691" s="275"/>
      <c r="C691" s="275"/>
      <c r="D691" s="275"/>
      <c r="E691" s="276"/>
      <c r="F691" s="276"/>
      <c r="G691" s="277"/>
      <c r="H691" s="276"/>
      <c r="I691" s="276"/>
      <c r="J691" s="276"/>
      <c r="K691" s="276"/>
      <c r="L691" s="276"/>
      <c r="M691" s="276"/>
      <c r="N691" s="276"/>
      <c r="O691" s="276"/>
    </row>
    <row r="692">
      <c r="A692" s="275"/>
      <c r="B692" s="275"/>
      <c r="C692" s="275"/>
      <c r="D692" s="275"/>
      <c r="E692" s="276"/>
      <c r="F692" s="276"/>
      <c r="G692" s="277"/>
      <c r="H692" s="276"/>
      <c r="I692" s="276"/>
      <c r="J692" s="276"/>
      <c r="K692" s="276"/>
      <c r="L692" s="276"/>
      <c r="M692" s="276"/>
      <c r="N692" s="276"/>
      <c r="O692" s="276"/>
    </row>
    <row r="693">
      <c r="A693" s="275"/>
      <c r="B693" s="275"/>
      <c r="C693" s="275"/>
      <c r="D693" s="275"/>
      <c r="E693" s="276"/>
      <c r="F693" s="276"/>
      <c r="G693" s="277"/>
      <c r="H693" s="276"/>
      <c r="I693" s="276"/>
      <c r="J693" s="276"/>
      <c r="K693" s="276"/>
      <c r="L693" s="276"/>
      <c r="M693" s="276"/>
      <c r="N693" s="276"/>
      <c r="O693" s="276"/>
    </row>
    <row r="694">
      <c r="A694" s="275"/>
      <c r="B694" s="275"/>
      <c r="C694" s="275"/>
      <c r="D694" s="275"/>
      <c r="E694" s="276"/>
      <c r="F694" s="276"/>
      <c r="G694" s="277"/>
      <c r="H694" s="276"/>
      <c r="I694" s="276"/>
      <c r="J694" s="276"/>
      <c r="K694" s="276"/>
      <c r="L694" s="276"/>
      <c r="M694" s="276"/>
      <c r="N694" s="276"/>
      <c r="O694" s="276"/>
    </row>
    <row r="695">
      <c r="A695" s="275"/>
      <c r="B695" s="275"/>
      <c r="C695" s="275"/>
      <c r="D695" s="275"/>
      <c r="E695" s="276"/>
      <c r="F695" s="276"/>
      <c r="G695" s="277"/>
      <c r="H695" s="276"/>
      <c r="I695" s="276"/>
      <c r="J695" s="276"/>
      <c r="K695" s="276"/>
      <c r="L695" s="276"/>
      <c r="M695" s="276"/>
      <c r="N695" s="276"/>
      <c r="O695" s="276"/>
    </row>
    <row r="696">
      <c r="A696" s="275"/>
      <c r="B696" s="275"/>
      <c r="C696" s="275"/>
      <c r="D696" s="275"/>
      <c r="E696" s="276"/>
      <c r="F696" s="276"/>
      <c r="G696" s="277"/>
      <c r="H696" s="276"/>
      <c r="I696" s="276"/>
      <c r="J696" s="276"/>
      <c r="K696" s="276"/>
      <c r="L696" s="276"/>
      <c r="M696" s="276"/>
      <c r="N696" s="276"/>
      <c r="O696" s="276"/>
    </row>
    <row r="697">
      <c r="A697" s="275"/>
      <c r="B697" s="275"/>
      <c r="C697" s="275"/>
      <c r="D697" s="275"/>
      <c r="E697" s="276"/>
      <c r="F697" s="276"/>
      <c r="G697" s="277"/>
      <c r="H697" s="276"/>
      <c r="I697" s="276"/>
      <c r="J697" s="276"/>
      <c r="K697" s="276"/>
      <c r="L697" s="276"/>
      <c r="M697" s="276"/>
      <c r="N697" s="276"/>
      <c r="O697" s="276"/>
    </row>
    <row r="698">
      <c r="A698" s="275"/>
      <c r="B698" s="275"/>
      <c r="C698" s="275"/>
      <c r="D698" s="275"/>
      <c r="E698" s="276"/>
      <c r="F698" s="276"/>
      <c r="G698" s="277"/>
      <c r="H698" s="276"/>
      <c r="I698" s="276"/>
      <c r="J698" s="276"/>
      <c r="K698" s="276"/>
      <c r="L698" s="276"/>
      <c r="M698" s="276"/>
      <c r="N698" s="276"/>
      <c r="O698" s="276"/>
    </row>
    <row r="699">
      <c r="A699" s="275"/>
      <c r="B699" s="275"/>
      <c r="C699" s="275"/>
      <c r="D699" s="275"/>
      <c r="E699" s="276"/>
      <c r="F699" s="276"/>
      <c r="G699" s="277"/>
      <c r="H699" s="276"/>
      <c r="I699" s="276"/>
      <c r="J699" s="276"/>
      <c r="K699" s="276"/>
      <c r="L699" s="276"/>
      <c r="M699" s="276"/>
      <c r="N699" s="276"/>
      <c r="O699" s="276"/>
    </row>
    <row r="700">
      <c r="A700" s="275"/>
      <c r="B700" s="275"/>
      <c r="C700" s="275"/>
      <c r="D700" s="275"/>
      <c r="E700" s="276"/>
      <c r="F700" s="276"/>
      <c r="G700" s="277"/>
      <c r="H700" s="276"/>
      <c r="I700" s="276"/>
      <c r="J700" s="276"/>
      <c r="K700" s="276"/>
      <c r="L700" s="276"/>
      <c r="M700" s="276"/>
      <c r="N700" s="276"/>
      <c r="O700" s="276"/>
    </row>
    <row r="701">
      <c r="A701" s="275"/>
      <c r="B701" s="275"/>
      <c r="C701" s="275"/>
      <c r="D701" s="275"/>
      <c r="E701" s="276"/>
      <c r="F701" s="276"/>
      <c r="G701" s="277"/>
      <c r="H701" s="276"/>
      <c r="I701" s="276"/>
      <c r="J701" s="276"/>
      <c r="K701" s="276"/>
      <c r="L701" s="276"/>
      <c r="M701" s="276"/>
      <c r="N701" s="276"/>
      <c r="O701" s="276"/>
    </row>
    <row r="702">
      <c r="A702" s="275"/>
      <c r="B702" s="275"/>
      <c r="C702" s="275"/>
      <c r="D702" s="275"/>
      <c r="E702" s="276"/>
      <c r="F702" s="276"/>
      <c r="G702" s="277"/>
      <c r="H702" s="276"/>
      <c r="I702" s="276"/>
      <c r="J702" s="276"/>
      <c r="K702" s="276"/>
      <c r="L702" s="276"/>
      <c r="M702" s="276"/>
      <c r="N702" s="276"/>
      <c r="O702" s="276"/>
    </row>
    <row r="703">
      <c r="A703" s="275"/>
      <c r="B703" s="275"/>
      <c r="C703" s="275"/>
      <c r="D703" s="275"/>
      <c r="E703" s="276"/>
      <c r="F703" s="276"/>
      <c r="G703" s="277"/>
      <c r="H703" s="276"/>
      <c r="I703" s="276"/>
      <c r="J703" s="276"/>
      <c r="K703" s="276"/>
      <c r="L703" s="276"/>
      <c r="M703" s="276"/>
      <c r="N703" s="276"/>
      <c r="O703" s="276"/>
    </row>
    <row r="704">
      <c r="A704" s="275"/>
      <c r="B704" s="275"/>
      <c r="C704" s="275"/>
      <c r="D704" s="275"/>
      <c r="E704" s="276"/>
      <c r="F704" s="276"/>
      <c r="G704" s="277"/>
      <c r="H704" s="276"/>
      <c r="I704" s="276"/>
      <c r="J704" s="276"/>
      <c r="K704" s="276"/>
      <c r="L704" s="276"/>
      <c r="M704" s="276"/>
      <c r="N704" s="276"/>
      <c r="O704" s="276"/>
    </row>
    <row r="705">
      <c r="A705" s="275"/>
      <c r="B705" s="275"/>
      <c r="C705" s="275"/>
      <c r="D705" s="275"/>
      <c r="E705" s="276"/>
      <c r="F705" s="276"/>
      <c r="G705" s="277"/>
      <c r="H705" s="276"/>
      <c r="I705" s="276"/>
      <c r="J705" s="276"/>
      <c r="K705" s="276"/>
      <c r="L705" s="276"/>
      <c r="M705" s="276"/>
      <c r="N705" s="276"/>
      <c r="O705" s="276"/>
    </row>
    <row r="706">
      <c r="A706" s="275"/>
      <c r="B706" s="275"/>
      <c r="C706" s="275"/>
      <c r="D706" s="275"/>
      <c r="E706" s="276"/>
      <c r="F706" s="276"/>
      <c r="G706" s="277"/>
      <c r="H706" s="276"/>
      <c r="I706" s="276"/>
      <c r="J706" s="276"/>
      <c r="K706" s="276"/>
      <c r="L706" s="276"/>
      <c r="M706" s="276"/>
      <c r="N706" s="276"/>
      <c r="O706" s="276"/>
    </row>
    <row r="707">
      <c r="A707" s="275"/>
      <c r="B707" s="275"/>
      <c r="C707" s="275"/>
      <c r="D707" s="275"/>
      <c r="E707" s="276"/>
      <c r="F707" s="276"/>
      <c r="G707" s="277"/>
      <c r="H707" s="276"/>
      <c r="I707" s="276"/>
      <c r="J707" s="276"/>
      <c r="K707" s="276"/>
      <c r="L707" s="276"/>
      <c r="M707" s="276"/>
      <c r="N707" s="276"/>
      <c r="O707" s="276"/>
    </row>
    <row r="708">
      <c r="A708" s="275"/>
      <c r="B708" s="275"/>
      <c r="C708" s="275"/>
      <c r="D708" s="275"/>
      <c r="E708" s="276"/>
      <c r="F708" s="276"/>
      <c r="G708" s="277"/>
      <c r="H708" s="276"/>
      <c r="I708" s="276"/>
      <c r="J708" s="276"/>
      <c r="K708" s="276"/>
      <c r="L708" s="276"/>
      <c r="M708" s="276"/>
      <c r="N708" s="276"/>
      <c r="O708" s="276"/>
    </row>
    <row r="709">
      <c r="A709" s="275"/>
      <c r="B709" s="275"/>
      <c r="C709" s="275"/>
      <c r="D709" s="275"/>
      <c r="E709" s="276"/>
      <c r="F709" s="276"/>
      <c r="G709" s="277"/>
      <c r="H709" s="276"/>
      <c r="I709" s="276"/>
      <c r="J709" s="276"/>
      <c r="K709" s="276"/>
      <c r="L709" s="276"/>
      <c r="M709" s="276"/>
      <c r="N709" s="276"/>
      <c r="O709" s="276"/>
    </row>
    <row r="710">
      <c r="A710" s="275"/>
      <c r="B710" s="275"/>
      <c r="C710" s="275"/>
      <c r="D710" s="275"/>
      <c r="E710" s="276"/>
      <c r="F710" s="276"/>
      <c r="G710" s="277"/>
      <c r="H710" s="276"/>
      <c r="I710" s="276"/>
      <c r="J710" s="276"/>
      <c r="K710" s="276"/>
      <c r="L710" s="276"/>
      <c r="M710" s="276"/>
      <c r="N710" s="276"/>
      <c r="O710" s="276"/>
    </row>
    <row r="711">
      <c r="A711" s="275"/>
      <c r="B711" s="275"/>
      <c r="C711" s="275"/>
      <c r="D711" s="275"/>
      <c r="E711" s="276"/>
      <c r="F711" s="276"/>
      <c r="G711" s="277"/>
      <c r="H711" s="276"/>
      <c r="I711" s="276"/>
      <c r="J711" s="276"/>
      <c r="K711" s="276"/>
      <c r="L711" s="276"/>
      <c r="M711" s="276"/>
      <c r="N711" s="276"/>
      <c r="O711" s="276"/>
    </row>
    <row r="712">
      <c r="A712" s="275"/>
      <c r="B712" s="275"/>
      <c r="C712" s="275"/>
      <c r="D712" s="275"/>
      <c r="E712" s="276"/>
      <c r="F712" s="276"/>
      <c r="G712" s="277"/>
      <c r="H712" s="276"/>
      <c r="I712" s="276"/>
      <c r="J712" s="276"/>
      <c r="K712" s="276"/>
      <c r="L712" s="276"/>
      <c r="M712" s="276"/>
      <c r="N712" s="276"/>
      <c r="O712" s="276"/>
    </row>
    <row r="713">
      <c r="A713" s="275"/>
      <c r="B713" s="275"/>
      <c r="C713" s="275"/>
      <c r="D713" s="275"/>
      <c r="E713" s="276"/>
      <c r="F713" s="276"/>
      <c r="G713" s="277"/>
      <c r="H713" s="276"/>
      <c r="I713" s="276"/>
      <c r="J713" s="276"/>
      <c r="K713" s="276"/>
      <c r="L713" s="276"/>
      <c r="M713" s="276"/>
      <c r="N713" s="276"/>
      <c r="O713" s="276"/>
    </row>
    <row r="714">
      <c r="A714" s="275"/>
      <c r="B714" s="275"/>
      <c r="C714" s="275"/>
      <c r="D714" s="275"/>
      <c r="E714" s="276"/>
      <c r="F714" s="276"/>
      <c r="G714" s="277"/>
      <c r="H714" s="276"/>
      <c r="I714" s="276"/>
      <c r="J714" s="276"/>
      <c r="K714" s="276"/>
      <c r="L714" s="276"/>
      <c r="M714" s="276"/>
      <c r="N714" s="276"/>
      <c r="O714" s="276"/>
    </row>
    <row r="715">
      <c r="A715" s="275"/>
      <c r="B715" s="275"/>
      <c r="C715" s="275"/>
      <c r="D715" s="275"/>
      <c r="E715" s="276"/>
      <c r="F715" s="276"/>
      <c r="G715" s="277"/>
      <c r="H715" s="276"/>
      <c r="I715" s="276"/>
      <c r="J715" s="276"/>
      <c r="K715" s="276"/>
      <c r="L715" s="276"/>
      <c r="M715" s="276"/>
      <c r="N715" s="276"/>
      <c r="O715" s="276"/>
    </row>
    <row r="716">
      <c r="A716" s="275"/>
      <c r="B716" s="275"/>
      <c r="C716" s="275"/>
      <c r="D716" s="275"/>
      <c r="E716" s="276"/>
      <c r="F716" s="276"/>
      <c r="G716" s="277"/>
      <c r="H716" s="276"/>
      <c r="I716" s="276"/>
      <c r="J716" s="276"/>
      <c r="K716" s="276"/>
      <c r="L716" s="276"/>
      <c r="M716" s="276"/>
      <c r="N716" s="276"/>
      <c r="O716" s="276"/>
    </row>
    <row r="717">
      <c r="A717" s="275"/>
      <c r="B717" s="275"/>
      <c r="C717" s="275"/>
      <c r="D717" s="275"/>
      <c r="E717" s="276"/>
      <c r="F717" s="276"/>
      <c r="G717" s="277"/>
      <c r="H717" s="276"/>
      <c r="I717" s="276"/>
      <c r="J717" s="276"/>
      <c r="K717" s="276"/>
      <c r="L717" s="276"/>
      <c r="M717" s="276"/>
      <c r="N717" s="276"/>
      <c r="O717" s="276"/>
    </row>
    <row r="718">
      <c r="A718" s="275"/>
      <c r="B718" s="275"/>
      <c r="C718" s="275"/>
      <c r="D718" s="275"/>
      <c r="E718" s="276"/>
      <c r="F718" s="276"/>
      <c r="G718" s="277"/>
      <c r="H718" s="276"/>
      <c r="I718" s="276"/>
      <c r="J718" s="276"/>
      <c r="K718" s="276"/>
      <c r="L718" s="276"/>
      <c r="M718" s="276"/>
      <c r="N718" s="276"/>
      <c r="O718" s="276"/>
    </row>
    <row r="719">
      <c r="A719" s="275"/>
      <c r="B719" s="275"/>
      <c r="C719" s="275"/>
      <c r="D719" s="275"/>
      <c r="E719" s="276"/>
      <c r="F719" s="276"/>
      <c r="G719" s="277"/>
      <c r="H719" s="276"/>
      <c r="I719" s="276"/>
      <c r="J719" s="276"/>
      <c r="K719" s="276"/>
      <c r="L719" s="276"/>
      <c r="M719" s="276"/>
      <c r="N719" s="276"/>
      <c r="O719" s="276"/>
    </row>
    <row r="720">
      <c r="A720" s="275"/>
      <c r="B720" s="275"/>
      <c r="C720" s="275"/>
      <c r="D720" s="275"/>
      <c r="E720" s="276"/>
      <c r="F720" s="276"/>
      <c r="G720" s="277"/>
      <c r="H720" s="276"/>
      <c r="I720" s="276"/>
      <c r="J720" s="276"/>
      <c r="K720" s="276"/>
      <c r="L720" s="276"/>
      <c r="M720" s="276"/>
      <c r="N720" s="276"/>
      <c r="O720" s="276"/>
    </row>
    <row r="721">
      <c r="A721" s="275"/>
      <c r="B721" s="275"/>
      <c r="C721" s="275"/>
      <c r="D721" s="275"/>
      <c r="E721" s="276"/>
      <c r="F721" s="276"/>
      <c r="G721" s="277"/>
      <c r="H721" s="276"/>
      <c r="I721" s="276"/>
      <c r="J721" s="276"/>
      <c r="K721" s="276"/>
      <c r="L721" s="276"/>
      <c r="M721" s="276"/>
      <c r="N721" s="276"/>
      <c r="O721" s="276"/>
    </row>
    <row r="722">
      <c r="A722" s="275"/>
      <c r="B722" s="275"/>
      <c r="C722" s="275"/>
      <c r="D722" s="275"/>
      <c r="E722" s="276"/>
      <c r="F722" s="276"/>
      <c r="G722" s="277"/>
      <c r="H722" s="276"/>
      <c r="I722" s="276"/>
      <c r="J722" s="276"/>
      <c r="K722" s="276"/>
      <c r="L722" s="276"/>
      <c r="M722" s="276"/>
      <c r="N722" s="276"/>
      <c r="O722" s="276"/>
    </row>
    <row r="723">
      <c r="A723" s="275"/>
      <c r="B723" s="275"/>
      <c r="C723" s="275"/>
      <c r="D723" s="275"/>
      <c r="E723" s="276"/>
      <c r="F723" s="276"/>
      <c r="G723" s="277"/>
      <c r="H723" s="276"/>
      <c r="I723" s="276"/>
      <c r="J723" s="276"/>
      <c r="K723" s="276"/>
      <c r="L723" s="276"/>
      <c r="M723" s="276"/>
      <c r="N723" s="276"/>
      <c r="O723" s="276"/>
    </row>
    <row r="724">
      <c r="A724" s="275"/>
      <c r="B724" s="275"/>
      <c r="C724" s="275"/>
      <c r="D724" s="275"/>
      <c r="E724" s="276"/>
      <c r="F724" s="276"/>
      <c r="G724" s="277"/>
      <c r="H724" s="276"/>
      <c r="I724" s="276"/>
      <c r="J724" s="276"/>
      <c r="K724" s="276"/>
      <c r="L724" s="276"/>
      <c r="M724" s="276"/>
      <c r="N724" s="276"/>
      <c r="O724" s="276"/>
    </row>
    <row r="725">
      <c r="A725" s="275"/>
      <c r="B725" s="275"/>
      <c r="C725" s="275"/>
      <c r="D725" s="275"/>
      <c r="E725" s="276"/>
      <c r="F725" s="276"/>
      <c r="G725" s="277"/>
      <c r="H725" s="276"/>
      <c r="I725" s="276"/>
      <c r="J725" s="276"/>
      <c r="K725" s="276"/>
      <c r="L725" s="276"/>
      <c r="M725" s="276"/>
      <c r="N725" s="276"/>
      <c r="O725" s="276"/>
    </row>
    <row r="726">
      <c r="A726" s="275"/>
      <c r="B726" s="275"/>
      <c r="C726" s="275"/>
      <c r="D726" s="275"/>
      <c r="E726" s="276"/>
      <c r="F726" s="276"/>
      <c r="G726" s="277"/>
      <c r="H726" s="276"/>
      <c r="I726" s="276"/>
      <c r="J726" s="276"/>
      <c r="K726" s="276"/>
      <c r="L726" s="276"/>
      <c r="M726" s="276"/>
      <c r="N726" s="276"/>
      <c r="O726" s="276"/>
    </row>
    <row r="727">
      <c r="A727" s="275"/>
      <c r="B727" s="275"/>
      <c r="C727" s="275"/>
      <c r="D727" s="275"/>
      <c r="E727" s="276"/>
      <c r="F727" s="276"/>
      <c r="G727" s="277"/>
      <c r="H727" s="276"/>
      <c r="I727" s="276"/>
      <c r="J727" s="276"/>
      <c r="K727" s="276"/>
      <c r="L727" s="276"/>
      <c r="M727" s="276"/>
      <c r="N727" s="276"/>
      <c r="O727" s="276"/>
    </row>
    <row r="728">
      <c r="A728" s="275"/>
      <c r="B728" s="275"/>
      <c r="C728" s="275"/>
      <c r="D728" s="275"/>
      <c r="E728" s="276"/>
      <c r="F728" s="276"/>
      <c r="G728" s="277"/>
      <c r="H728" s="276"/>
      <c r="I728" s="276"/>
      <c r="J728" s="276"/>
      <c r="K728" s="276"/>
      <c r="L728" s="276"/>
      <c r="M728" s="276"/>
      <c r="N728" s="276"/>
      <c r="O728" s="276"/>
    </row>
    <row r="729">
      <c r="A729" s="275"/>
      <c r="B729" s="275"/>
      <c r="C729" s="275"/>
      <c r="D729" s="275"/>
      <c r="E729" s="276"/>
      <c r="F729" s="276"/>
      <c r="G729" s="277"/>
      <c r="H729" s="276"/>
      <c r="I729" s="276"/>
      <c r="J729" s="276"/>
      <c r="K729" s="276"/>
      <c r="L729" s="276"/>
      <c r="M729" s="276"/>
      <c r="N729" s="276"/>
      <c r="O729" s="276"/>
    </row>
    <row r="730">
      <c r="A730" s="275"/>
      <c r="B730" s="275"/>
      <c r="C730" s="275"/>
      <c r="D730" s="275"/>
      <c r="E730" s="276"/>
      <c r="F730" s="276"/>
      <c r="G730" s="277"/>
      <c r="H730" s="276"/>
      <c r="I730" s="276"/>
      <c r="J730" s="276"/>
      <c r="K730" s="276"/>
      <c r="L730" s="276"/>
      <c r="M730" s="276"/>
      <c r="N730" s="276"/>
      <c r="O730" s="276"/>
    </row>
    <row r="731">
      <c r="A731" s="275"/>
      <c r="B731" s="275"/>
      <c r="C731" s="275"/>
      <c r="D731" s="275"/>
      <c r="E731" s="276"/>
      <c r="F731" s="276"/>
      <c r="G731" s="277"/>
      <c r="H731" s="276"/>
      <c r="I731" s="276"/>
      <c r="J731" s="276"/>
      <c r="K731" s="276"/>
      <c r="L731" s="276"/>
      <c r="M731" s="276"/>
      <c r="N731" s="276"/>
      <c r="O731" s="276"/>
    </row>
    <row r="732">
      <c r="A732" s="275"/>
      <c r="B732" s="275"/>
      <c r="C732" s="275"/>
      <c r="D732" s="275"/>
      <c r="E732" s="276"/>
      <c r="F732" s="276"/>
      <c r="G732" s="277"/>
      <c r="H732" s="276"/>
      <c r="I732" s="276"/>
      <c r="J732" s="276"/>
      <c r="K732" s="276"/>
      <c r="L732" s="276"/>
      <c r="M732" s="276"/>
      <c r="N732" s="276"/>
      <c r="O732" s="276"/>
    </row>
    <row r="733">
      <c r="A733" s="275"/>
      <c r="B733" s="275"/>
      <c r="C733" s="275"/>
      <c r="D733" s="275"/>
      <c r="E733" s="276"/>
      <c r="F733" s="276"/>
      <c r="G733" s="277"/>
      <c r="H733" s="276"/>
      <c r="I733" s="276"/>
      <c r="J733" s="276"/>
      <c r="K733" s="276"/>
      <c r="L733" s="276"/>
      <c r="M733" s="276"/>
      <c r="N733" s="276"/>
      <c r="O733" s="276"/>
    </row>
    <row r="734">
      <c r="A734" s="275"/>
      <c r="B734" s="275"/>
      <c r="C734" s="275"/>
      <c r="D734" s="275"/>
      <c r="E734" s="276"/>
      <c r="F734" s="276"/>
      <c r="G734" s="277"/>
      <c r="H734" s="276"/>
      <c r="I734" s="276"/>
      <c r="J734" s="276"/>
      <c r="K734" s="276"/>
      <c r="L734" s="276"/>
      <c r="M734" s="276"/>
      <c r="N734" s="276"/>
      <c r="O734" s="276"/>
    </row>
    <row r="735">
      <c r="A735" s="275"/>
      <c r="B735" s="275"/>
      <c r="C735" s="275"/>
      <c r="D735" s="275"/>
      <c r="E735" s="276"/>
      <c r="F735" s="276"/>
      <c r="G735" s="277"/>
      <c r="H735" s="276"/>
      <c r="I735" s="276"/>
      <c r="J735" s="276"/>
      <c r="K735" s="276"/>
      <c r="L735" s="276"/>
      <c r="M735" s="276"/>
      <c r="N735" s="276"/>
      <c r="O735" s="276"/>
    </row>
    <row r="736">
      <c r="A736" s="275"/>
      <c r="B736" s="275"/>
      <c r="C736" s="275"/>
      <c r="D736" s="275"/>
      <c r="E736" s="276"/>
      <c r="F736" s="276"/>
      <c r="G736" s="277"/>
      <c r="H736" s="276"/>
      <c r="I736" s="276"/>
      <c r="J736" s="276"/>
      <c r="K736" s="276"/>
      <c r="L736" s="276"/>
      <c r="M736" s="276"/>
      <c r="N736" s="276"/>
      <c r="O736" s="276"/>
    </row>
    <row r="737">
      <c r="A737" s="275"/>
      <c r="B737" s="275"/>
      <c r="C737" s="275"/>
      <c r="D737" s="275"/>
      <c r="E737" s="276"/>
      <c r="F737" s="276"/>
      <c r="G737" s="277"/>
      <c r="H737" s="276"/>
      <c r="I737" s="276"/>
      <c r="J737" s="276"/>
      <c r="K737" s="276"/>
      <c r="L737" s="276"/>
      <c r="M737" s="276"/>
      <c r="N737" s="276"/>
      <c r="O737" s="276"/>
    </row>
    <row r="738">
      <c r="A738" s="275"/>
      <c r="B738" s="275"/>
      <c r="C738" s="275"/>
      <c r="D738" s="275"/>
      <c r="E738" s="276"/>
      <c r="F738" s="276"/>
      <c r="G738" s="277"/>
      <c r="H738" s="276"/>
      <c r="I738" s="276"/>
      <c r="J738" s="276"/>
      <c r="K738" s="276"/>
      <c r="L738" s="276"/>
      <c r="M738" s="276"/>
      <c r="N738" s="276"/>
      <c r="O738" s="276"/>
    </row>
    <row r="739">
      <c r="A739" s="275"/>
      <c r="B739" s="275"/>
      <c r="C739" s="275"/>
      <c r="D739" s="275"/>
      <c r="E739" s="276"/>
      <c r="F739" s="276"/>
      <c r="G739" s="277"/>
      <c r="H739" s="276"/>
      <c r="I739" s="276"/>
      <c r="J739" s="276"/>
      <c r="K739" s="276"/>
      <c r="L739" s="276"/>
      <c r="M739" s="276"/>
      <c r="N739" s="276"/>
      <c r="O739" s="276"/>
    </row>
    <row r="740">
      <c r="A740" s="275"/>
      <c r="B740" s="275"/>
      <c r="C740" s="275"/>
      <c r="D740" s="275"/>
      <c r="E740" s="276"/>
      <c r="F740" s="276"/>
      <c r="G740" s="277"/>
      <c r="H740" s="276"/>
      <c r="I740" s="276"/>
      <c r="J740" s="276"/>
      <c r="K740" s="276"/>
      <c r="L740" s="276"/>
      <c r="M740" s="276"/>
      <c r="N740" s="276"/>
      <c r="O740" s="276"/>
    </row>
    <row r="741">
      <c r="A741" s="275"/>
      <c r="B741" s="275"/>
      <c r="C741" s="275"/>
      <c r="D741" s="275"/>
      <c r="E741" s="276"/>
      <c r="F741" s="276"/>
      <c r="G741" s="277"/>
      <c r="H741" s="276"/>
      <c r="I741" s="276"/>
      <c r="J741" s="276"/>
      <c r="K741" s="276"/>
      <c r="L741" s="276"/>
      <c r="M741" s="276"/>
      <c r="N741" s="276"/>
      <c r="O741" s="276"/>
    </row>
    <row r="742">
      <c r="A742" s="275"/>
      <c r="B742" s="275"/>
      <c r="C742" s="275"/>
      <c r="D742" s="275"/>
      <c r="E742" s="276"/>
      <c r="F742" s="276"/>
      <c r="G742" s="277"/>
      <c r="H742" s="276"/>
      <c r="I742" s="276"/>
      <c r="J742" s="276"/>
      <c r="K742" s="276"/>
      <c r="L742" s="276"/>
      <c r="M742" s="276"/>
      <c r="N742" s="276"/>
      <c r="O742" s="276"/>
    </row>
    <row r="743">
      <c r="A743" s="275"/>
      <c r="B743" s="275"/>
      <c r="C743" s="275"/>
      <c r="D743" s="275"/>
      <c r="E743" s="276"/>
      <c r="F743" s="276"/>
      <c r="G743" s="277"/>
      <c r="H743" s="276"/>
      <c r="I743" s="276"/>
      <c r="J743" s="276"/>
      <c r="K743" s="276"/>
      <c r="L743" s="276"/>
      <c r="M743" s="276"/>
      <c r="N743" s="276"/>
      <c r="O743" s="276"/>
    </row>
    <row r="744">
      <c r="A744" s="275"/>
      <c r="B744" s="275"/>
      <c r="C744" s="275"/>
      <c r="D744" s="275"/>
      <c r="E744" s="276"/>
      <c r="F744" s="276"/>
      <c r="G744" s="277"/>
      <c r="H744" s="276"/>
      <c r="I744" s="276"/>
      <c r="J744" s="276"/>
      <c r="K744" s="276"/>
      <c r="L744" s="276"/>
      <c r="M744" s="276"/>
      <c r="N744" s="276"/>
      <c r="O744" s="276"/>
    </row>
    <row r="745">
      <c r="A745" s="275"/>
      <c r="B745" s="275"/>
      <c r="C745" s="275"/>
      <c r="D745" s="275"/>
      <c r="E745" s="276"/>
      <c r="F745" s="276"/>
      <c r="G745" s="277"/>
      <c r="H745" s="276"/>
      <c r="I745" s="276"/>
      <c r="J745" s="276"/>
      <c r="K745" s="276"/>
      <c r="L745" s="276"/>
      <c r="M745" s="276"/>
      <c r="N745" s="276"/>
      <c r="O745" s="276"/>
    </row>
    <row r="746">
      <c r="A746" s="275"/>
      <c r="B746" s="275"/>
      <c r="C746" s="275"/>
      <c r="D746" s="275"/>
      <c r="E746" s="276"/>
      <c r="F746" s="276"/>
      <c r="G746" s="277"/>
      <c r="H746" s="276"/>
      <c r="I746" s="276"/>
      <c r="J746" s="276"/>
      <c r="K746" s="276"/>
      <c r="L746" s="276"/>
      <c r="M746" s="276"/>
      <c r="N746" s="276"/>
      <c r="O746" s="276"/>
    </row>
    <row r="747">
      <c r="A747" s="275"/>
      <c r="B747" s="275"/>
      <c r="C747" s="275"/>
      <c r="D747" s="275"/>
      <c r="E747" s="276"/>
      <c r="F747" s="276"/>
      <c r="G747" s="277"/>
      <c r="H747" s="276"/>
      <c r="I747" s="276"/>
      <c r="J747" s="276"/>
      <c r="K747" s="276"/>
      <c r="L747" s="276"/>
      <c r="M747" s="276"/>
      <c r="N747" s="276"/>
      <c r="O747" s="276"/>
    </row>
    <row r="748">
      <c r="A748" s="275"/>
      <c r="B748" s="275"/>
      <c r="C748" s="275"/>
      <c r="D748" s="275"/>
      <c r="E748" s="276"/>
      <c r="F748" s="276"/>
      <c r="G748" s="277"/>
      <c r="H748" s="276"/>
      <c r="I748" s="276"/>
      <c r="J748" s="276"/>
      <c r="K748" s="276"/>
      <c r="L748" s="276"/>
      <c r="M748" s="276"/>
      <c r="N748" s="276"/>
      <c r="O748" s="276"/>
    </row>
    <row r="749">
      <c r="A749" s="275"/>
      <c r="B749" s="275"/>
      <c r="C749" s="275"/>
      <c r="D749" s="275"/>
      <c r="E749" s="276"/>
      <c r="F749" s="276"/>
      <c r="G749" s="277"/>
      <c r="H749" s="276"/>
      <c r="I749" s="276"/>
      <c r="J749" s="276"/>
      <c r="K749" s="276"/>
      <c r="L749" s="276"/>
      <c r="M749" s="276"/>
      <c r="N749" s="276"/>
      <c r="O749" s="276"/>
    </row>
    <row r="750">
      <c r="A750" s="275"/>
      <c r="B750" s="275"/>
      <c r="C750" s="275"/>
      <c r="D750" s="275"/>
      <c r="E750" s="276"/>
      <c r="F750" s="276"/>
      <c r="G750" s="277"/>
      <c r="H750" s="276"/>
      <c r="I750" s="276"/>
      <c r="J750" s="276"/>
      <c r="K750" s="276"/>
      <c r="L750" s="276"/>
      <c r="M750" s="276"/>
      <c r="N750" s="276"/>
      <c r="O750" s="276"/>
    </row>
    <row r="751">
      <c r="A751" s="275"/>
      <c r="B751" s="275"/>
      <c r="C751" s="275"/>
      <c r="D751" s="275"/>
      <c r="E751" s="276"/>
      <c r="F751" s="276"/>
      <c r="G751" s="277"/>
      <c r="H751" s="276"/>
      <c r="I751" s="276"/>
      <c r="J751" s="276"/>
      <c r="K751" s="276"/>
      <c r="L751" s="276"/>
      <c r="M751" s="276"/>
      <c r="N751" s="276"/>
      <c r="O751" s="276"/>
    </row>
    <row r="752">
      <c r="A752" s="275"/>
      <c r="B752" s="275"/>
      <c r="C752" s="275"/>
      <c r="D752" s="275"/>
      <c r="E752" s="276"/>
      <c r="F752" s="276"/>
      <c r="G752" s="277"/>
      <c r="H752" s="276"/>
      <c r="I752" s="276"/>
      <c r="J752" s="276"/>
      <c r="K752" s="276"/>
      <c r="L752" s="276"/>
      <c r="M752" s="276"/>
      <c r="N752" s="276"/>
      <c r="O752" s="276"/>
    </row>
    <row r="753">
      <c r="A753" s="275"/>
      <c r="B753" s="275"/>
      <c r="C753" s="275"/>
      <c r="D753" s="275"/>
      <c r="E753" s="276"/>
      <c r="F753" s="276"/>
      <c r="G753" s="277"/>
      <c r="H753" s="276"/>
      <c r="I753" s="276"/>
      <c r="J753" s="276"/>
      <c r="K753" s="276"/>
      <c r="L753" s="276"/>
      <c r="M753" s="276"/>
      <c r="N753" s="276"/>
      <c r="O753" s="276"/>
    </row>
    <row r="754">
      <c r="A754" s="275"/>
      <c r="B754" s="275"/>
      <c r="C754" s="275"/>
      <c r="D754" s="275"/>
      <c r="E754" s="276"/>
      <c r="F754" s="276"/>
      <c r="G754" s="277"/>
      <c r="H754" s="276"/>
      <c r="I754" s="276"/>
      <c r="J754" s="276"/>
      <c r="K754" s="276"/>
      <c r="L754" s="276"/>
      <c r="M754" s="276"/>
      <c r="N754" s="276"/>
      <c r="O754" s="276"/>
    </row>
    <row r="755">
      <c r="A755" s="275"/>
      <c r="B755" s="275"/>
      <c r="C755" s="275"/>
      <c r="D755" s="275"/>
      <c r="E755" s="276"/>
      <c r="F755" s="276"/>
      <c r="G755" s="277"/>
      <c r="H755" s="276"/>
      <c r="I755" s="276"/>
      <c r="J755" s="276"/>
      <c r="K755" s="276"/>
      <c r="L755" s="276"/>
      <c r="M755" s="276"/>
      <c r="N755" s="276"/>
      <c r="O755" s="276"/>
    </row>
    <row r="756">
      <c r="A756" s="275"/>
      <c r="B756" s="275"/>
      <c r="C756" s="275"/>
      <c r="D756" s="275"/>
      <c r="E756" s="276"/>
      <c r="F756" s="276"/>
      <c r="G756" s="277"/>
      <c r="H756" s="276"/>
      <c r="I756" s="276"/>
      <c r="J756" s="276"/>
      <c r="K756" s="276"/>
      <c r="L756" s="276"/>
      <c r="M756" s="276"/>
      <c r="N756" s="276"/>
      <c r="O756" s="276"/>
    </row>
    <row r="757">
      <c r="A757" s="275"/>
      <c r="B757" s="275"/>
      <c r="C757" s="275"/>
      <c r="D757" s="275"/>
      <c r="E757" s="276"/>
      <c r="F757" s="276"/>
      <c r="G757" s="277"/>
      <c r="H757" s="276"/>
      <c r="I757" s="276"/>
      <c r="J757" s="276"/>
      <c r="K757" s="276"/>
      <c r="L757" s="276"/>
      <c r="M757" s="276"/>
      <c r="N757" s="276"/>
      <c r="O757" s="276"/>
    </row>
    <row r="758">
      <c r="A758" s="275"/>
      <c r="B758" s="275"/>
      <c r="C758" s="275"/>
      <c r="D758" s="275"/>
      <c r="E758" s="276"/>
      <c r="F758" s="276"/>
      <c r="G758" s="277"/>
      <c r="H758" s="276"/>
      <c r="I758" s="276"/>
      <c r="J758" s="276"/>
      <c r="K758" s="276"/>
      <c r="L758" s="276"/>
      <c r="M758" s="276"/>
      <c r="N758" s="276"/>
      <c r="O758" s="276"/>
    </row>
    <row r="759">
      <c r="A759" s="275"/>
      <c r="B759" s="275"/>
      <c r="C759" s="275"/>
      <c r="D759" s="275"/>
      <c r="E759" s="276"/>
      <c r="F759" s="276"/>
      <c r="G759" s="277"/>
      <c r="H759" s="276"/>
      <c r="I759" s="276"/>
      <c r="J759" s="276"/>
      <c r="K759" s="276"/>
      <c r="L759" s="276"/>
      <c r="M759" s="276"/>
      <c r="N759" s="276"/>
      <c r="O759" s="276"/>
    </row>
    <row r="760">
      <c r="A760" s="275"/>
      <c r="B760" s="275"/>
      <c r="C760" s="275"/>
      <c r="D760" s="275"/>
      <c r="E760" s="276"/>
      <c r="F760" s="276"/>
      <c r="G760" s="277"/>
      <c r="H760" s="276"/>
      <c r="I760" s="276"/>
      <c r="J760" s="276"/>
      <c r="K760" s="276"/>
      <c r="L760" s="276"/>
      <c r="M760" s="276"/>
      <c r="N760" s="276"/>
      <c r="O760" s="276"/>
    </row>
    <row r="761">
      <c r="A761" s="275"/>
      <c r="B761" s="275"/>
      <c r="C761" s="275"/>
      <c r="D761" s="275"/>
      <c r="E761" s="276"/>
      <c r="F761" s="276"/>
      <c r="G761" s="277"/>
      <c r="H761" s="276"/>
      <c r="I761" s="276"/>
      <c r="J761" s="276"/>
      <c r="K761" s="276"/>
      <c r="L761" s="276"/>
      <c r="M761" s="276"/>
      <c r="N761" s="276"/>
      <c r="O761" s="276"/>
    </row>
    <row r="762">
      <c r="A762" s="275"/>
      <c r="B762" s="275"/>
      <c r="C762" s="275"/>
      <c r="D762" s="275"/>
      <c r="E762" s="276"/>
      <c r="F762" s="276"/>
      <c r="G762" s="277"/>
      <c r="H762" s="276"/>
      <c r="I762" s="276"/>
      <c r="J762" s="276"/>
      <c r="K762" s="276"/>
      <c r="L762" s="276"/>
      <c r="M762" s="276"/>
      <c r="N762" s="276"/>
      <c r="O762" s="276"/>
    </row>
    <row r="763">
      <c r="A763" s="275"/>
      <c r="B763" s="275"/>
      <c r="C763" s="275"/>
      <c r="D763" s="275"/>
      <c r="E763" s="276"/>
      <c r="F763" s="276"/>
      <c r="G763" s="277"/>
      <c r="H763" s="276"/>
      <c r="I763" s="276"/>
      <c r="J763" s="276"/>
      <c r="K763" s="276"/>
      <c r="L763" s="276"/>
      <c r="M763" s="276"/>
      <c r="N763" s="276"/>
      <c r="O763" s="276"/>
    </row>
    <row r="764">
      <c r="A764" s="275"/>
      <c r="B764" s="275"/>
      <c r="C764" s="275"/>
      <c r="D764" s="275"/>
      <c r="E764" s="276"/>
      <c r="F764" s="276"/>
      <c r="G764" s="277"/>
      <c r="H764" s="276"/>
      <c r="I764" s="276"/>
      <c r="J764" s="276"/>
      <c r="K764" s="276"/>
      <c r="L764" s="276"/>
      <c r="M764" s="276"/>
      <c r="N764" s="276"/>
      <c r="O764" s="276"/>
    </row>
    <row r="765">
      <c r="A765" s="275"/>
      <c r="B765" s="275"/>
      <c r="C765" s="275"/>
      <c r="D765" s="275"/>
      <c r="E765" s="276"/>
      <c r="F765" s="276"/>
      <c r="G765" s="277"/>
      <c r="H765" s="276"/>
      <c r="I765" s="276"/>
      <c r="J765" s="276"/>
      <c r="K765" s="276"/>
      <c r="L765" s="276"/>
      <c r="M765" s="276"/>
      <c r="N765" s="276"/>
      <c r="O765" s="276"/>
    </row>
    <row r="766">
      <c r="A766" s="275"/>
      <c r="B766" s="275"/>
      <c r="C766" s="275"/>
      <c r="D766" s="275"/>
      <c r="E766" s="276"/>
      <c r="F766" s="276"/>
      <c r="G766" s="277"/>
      <c r="H766" s="276"/>
      <c r="I766" s="276"/>
      <c r="J766" s="276"/>
      <c r="K766" s="276"/>
      <c r="L766" s="276"/>
      <c r="M766" s="276"/>
      <c r="N766" s="276"/>
      <c r="O766" s="276"/>
    </row>
    <row r="767">
      <c r="A767" s="275"/>
      <c r="B767" s="275"/>
      <c r="C767" s="275"/>
      <c r="D767" s="275"/>
      <c r="E767" s="276"/>
      <c r="F767" s="276"/>
      <c r="G767" s="277"/>
      <c r="H767" s="276"/>
      <c r="I767" s="276"/>
      <c r="J767" s="276"/>
      <c r="K767" s="276"/>
      <c r="L767" s="276"/>
      <c r="M767" s="276"/>
      <c r="N767" s="276"/>
      <c r="O767" s="276"/>
    </row>
    <row r="768">
      <c r="A768" s="275"/>
      <c r="B768" s="275"/>
      <c r="C768" s="275"/>
      <c r="D768" s="275"/>
      <c r="E768" s="276"/>
      <c r="F768" s="276"/>
      <c r="G768" s="277"/>
      <c r="H768" s="276"/>
      <c r="I768" s="276"/>
      <c r="J768" s="276"/>
      <c r="K768" s="276"/>
      <c r="L768" s="276"/>
      <c r="M768" s="276"/>
      <c r="N768" s="276"/>
      <c r="O768" s="276"/>
    </row>
    <row r="769">
      <c r="A769" s="275"/>
      <c r="B769" s="275"/>
      <c r="C769" s="275"/>
      <c r="D769" s="275"/>
      <c r="E769" s="276"/>
      <c r="F769" s="276"/>
      <c r="G769" s="277"/>
      <c r="H769" s="276"/>
      <c r="I769" s="276"/>
      <c r="J769" s="276"/>
      <c r="K769" s="276"/>
      <c r="L769" s="276"/>
      <c r="M769" s="276"/>
      <c r="N769" s="276"/>
      <c r="O769" s="276"/>
    </row>
    <row r="770">
      <c r="A770" s="275"/>
      <c r="B770" s="275"/>
      <c r="C770" s="275"/>
      <c r="D770" s="275"/>
      <c r="E770" s="276"/>
      <c r="F770" s="276"/>
      <c r="G770" s="277"/>
      <c r="H770" s="276"/>
      <c r="I770" s="276"/>
      <c r="J770" s="276"/>
      <c r="K770" s="276"/>
      <c r="L770" s="276"/>
      <c r="M770" s="276"/>
      <c r="N770" s="276"/>
      <c r="O770" s="276"/>
    </row>
    <row r="771">
      <c r="A771" s="275"/>
      <c r="B771" s="275"/>
      <c r="C771" s="275"/>
      <c r="D771" s="275"/>
      <c r="E771" s="276"/>
      <c r="F771" s="276"/>
      <c r="G771" s="277"/>
      <c r="H771" s="276"/>
      <c r="I771" s="276"/>
      <c r="J771" s="276"/>
      <c r="K771" s="276"/>
      <c r="L771" s="276"/>
      <c r="M771" s="276"/>
      <c r="N771" s="276"/>
      <c r="O771" s="276"/>
    </row>
    <row r="772">
      <c r="A772" s="275"/>
      <c r="B772" s="275"/>
      <c r="C772" s="275"/>
      <c r="D772" s="275"/>
      <c r="E772" s="276"/>
      <c r="F772" s="276"/>
      <c r="G772" s="277"/>
      <c r="H772" s="276"/>
      <c r="I772" s="276"/>
      <c r="J772" s="276"/>
      <c r="K772" s="276"/>
      <c r="L772" s="276"/>
      <c r="M772" s="276"/>
      <c r="N772" s="276"/>
      <c r="O772" s="276"/>
    </row>
    <row r="773">
      <c r="A773" s="275"/>
      <c r="B773" s="275"/>
      <c r="C773" s="275"/>
      <c r="D773" s="275"/>
      <c r="E773" s="276"/>
      <c r="F773" s="276"/>
      <c r="G773" s="277"/>
      <c r="H773" s="276"/>
      <c r="I773" s="276"/>
      <c r="J773" s="276"/>
      <c r="K773" s="276"/>
      <c r="L773" s="276"/>
      <c r="M773" s="276"/>
      <c r="N773" s="276"/>
      <c r="O773" s="276"/>
    </row>
    <row r="774">
      <c r="A774" s="275"/>
      <c r="B774" s="275"/>
      <c r="C774" s="275"/>
      <c r="D774" s="275"/>
      <c r="E774" s="276"/>
      <c r="F774" s="276"/>
      <c r="G774" s="277"/>
      <c r="H774" s="276"/>
      <c r="I774" s="276"/>
      <c r="J774" s="276"/>
      <c r="K774" s="276"/>
      <c r="L774" s="276"/>
      <c r="M774" s="276"/>
      <c r="N774" s="276"/>
      <c r="O774" s="276"/>
    </row>
    <row r="775">
      <c r="A775" s="275"/>
      <c r="B775" s="275"/>
      <c r="C775" s="275"/>
      <c r="D775" s="275"/>
      <c r="E775" s="276"/>
      <c r="F775" s="276"/>
      <c r="G775" s="277"/>
      <c r="H775" s="276"/>
      <c r="I775" s="276"/>
      <c r="J775" s="276"/>
      <c r="K775" s="276"/>
      <c r="L775" s="276"/>
      <c r="M775" s="276"/>
      <c r="N775" s="276"/>
      <c r="O775" s="276"/>
    </row>
    <row r="776">
      <c r="A776" s="275"/>
      <c r="B776" s="275"/>
      <c r="C776" s="275"/>
      <c r="D776" s="275"/>
      <c r="E776" s="276"/>
      <c r="F776" s="276"/>
      <c r="G776" s="277"/>
      <c r="H776" s="276"/>
      <c r="I776" s="276"/>
      <c r="J776" s="276"/>
      <c r="K776" s="276"/>
      <c r="L776" s="276"/>
      <c r="M776" s="276"/>
      <c r="N776" s="276"/>
      <c r="O776" s="276"/>
    </row>
    <row r="777">
      <c r="A777" s="275"/>
      <c r="B777" s="275"/>
      <c r="C777" s="275"/>
      <c r="D777" s="275"/>
      <c r="E777" s="276"/>
      <c r="F777" s="276"/>
      <c r="G777" s="277"/>
      <c r="H777" s="276"/>
      <c r="I777" s="276"/>
      <c r="J777" s="276"/>
      <c r="K777" s="276"/>
      <c r="L777" s="276"/>
      <c r="M777" s="276"/>
      <c r="N777" s="276"/>
      <c r="O777" s="276"/>
    </row>
    <row r="778">
      <c r="A778" s="275"/>
      <c r="B778" s="275"/>
      <c r="C778" s="275"/>
      <c r="D778" s="275"/>
      <c r="E778" s="276"/>
      <c r="F778" s="276"/>
      <c r="G778" s="277"/>
      <c r="H778" s="276"/>
      <c r="I778" s="276"/>
      <c r="J778" s="276"/>
      <c r="K778" s="276"/>
      <c r="L778" s="276"/>
      <c r="M778" s="276"/>
      <c r="N778" s="276"/>
      <c r="O778" s="276"/>
    </row>
    <row r="779">
      <c r="A779" s="275"/>
      <c r="B779" s="275"/>
      <c r="C779" s="275"/>
      <c r="D779" s="275"/>
      <c r="E779" s="276"/>
      <c r="F779" s="276"/>
      <c r="G779" s="277"/>
      <c r="H779" s="276"/>
      <c r="I779" s="276"/>
      <c r="J779" s="276"/>
      <c r="K779" s="276"/>
      <c r="L779" s="276"/>
      <c r="M779" s="276"/>
      <c r="N779" s="276"/>
      <c r="O779" s="276"/>
    </row>
    <row r="780">
      <c r="A780" s="275"/>
      <c r="B780" s="275"/>
      <c r="C780" s="275"/>
      <c r="D780" s="275"/>
      <c r="E780" s="276"/>
      <c r="F780" s="276"/>
      <c r="G780" s="277"/>
      <c r="H780" s="276"/>
      <c r="I780" s="276"/>
      <c r="J780" s="276"/>
      <c r="K780" s="276"/>
      <c r="L780" s="276"/>
      <c r="M780" s="276"/>
      <c r="N780" s="276"/>
      <c r="O780" s="276"/>
    </row>
    <row r="781">
      <c r="A781" s="275"/>
      <c r="B781" s="275"/>
      <c r="C781" s="275"/>
      <c r="D781" s="275"/>
      <c r="E781" s="276"/>
      <c r="F781" s="276"/>
      <c r="G781" s="277"/>
      <c r="H781" s="276"/>
      <c r="I781" s="276"/>
      <c r="J781" s="276"/>
      <c r="K781" s="276"/>
      <c r="L781" s="276"/>
      <c r="M781" s="276"/>
      <c r="N781" s="276"/>
      <c r="O781" s="276"/>
    </row>
    <row r="782">
      <c r="A782" s="275"/>
      <c r="B782" s="275"/>
      <c r="C782" s="275"/>
      <c r="D782" s="275"/>
      <c r="E782" s="276"/>
      <c r="F782" s="276"/>
      <c r="G782" s="277"/>
      <c r="H782" s="276"/>
      <c r="I782" s="276"/>
      <c r="J782" s="276"/>
      <c r="K782" s="276"/>
      <c r="L782" s="276"/>
      <c r="M782" s="276"/>
      <c r="N782" s="276"/>
      <c r="O782" s="276"/>
    </row>
    <row r="783">
      <c r="A783" s="275"/>
      <c r="B783" s="275"/>
      <c r="C783" s="275"/>
      <c r="D783" s="275"/>
      <c r="E783" s="276"/>
      <c r="F783" s="276"/>
      <c r="G783" s="277"/>
      <c r="H783" s="276"/>
      <c r="I783" s="276"/>
      <c r="J783" s="276"/>
      <c r="K783" s="276"/>
      <c r="L783" s="276"/>
      <c r="M783" s="276"/>
      <c r="N783" s="276"/>
      <c r="O783" s="276"/>
    </row>
    <row r="784">
      <c r="A784" s="275"/>
      <c r="B784" s="275"/>
      <c r="C784" s="275"/>
      <c r="D784" s="275"/>
      <c r="E784" s="276"/>
      <c r="F784" s="276"/>
      <c r="G784" s="277"/>
      <c r="H784" s="276"/>
      <c r="I784" s="276"/>
      <c r="J784" s="276"/>
      <c r="K784" s="276"/>
      <c r="L784" s="276"/>
      <c r="M784" s="276"/>
      <c r="N784" s="276"/>
      <c r="O784" s="276"/>
    </row>
    <row r="785">
      <c r="A785" s="275"/>
      <c r="B785" s="275"/>
      <c r="C785" s="275"/>
      <c r="D785" s="275"/>
      <c r="E785" s="276"/>
      <c r="F785" s="276"/>
      <c r="G785" s="277"/>
      <c r="H785" s="276"/>
      <c r="I785" s="276"/>
      <c r="J785" s="276"/>
      <c r="K785" s="276"/>
      <c r="L785" s="276"/>
      <c r="M785" s="276"/>
      <c r="N785" s="276"/>
      <c r="O785" s="276"/>
    </row>
    <row r="786">
      <c r="A786" s="275"/>
      <c r="B786" s="275"/>
      <c r="C786" s="275"/>
      <c r="D786" s="275"/>
      <c r="E786" s="276"/>
      <c r="F786" s="276"/>
      <c r="G786" s="277"/>
      <c r="H786" s="276"/>
      <c r="I786" s="276"/>
      <c r="J786" s="276"/>
      <c r="K786" s="276"/>
      <c r="L786" s="276"/>
      <c r="M786" s="276"/>
      <c r="N786" s="276"/>
      <c r="O786" s="276"/>
    </row>
    <row r="787">
      <c r="A787" s="275"/>
      <c r="B787" s="275"/>
      <c r="C787" s="275"/>
      <c r="D787" s="275"/>
      <c r="E787" s="276"/>
      <c r="F787" s="276"/>
      <c r="G787" s="277"/>
      <c r="H787" s="276"/>
      <c r="I787" s="276"/>
      <c r="J787" s="276"/>
      <c r="K787" s="276"/>
      <c r="L787" s="276"/>
      <c r="M787" s="276"/>
      <c r="N787" s="276"/>
      <c r="O787" s="276"/>
    </row>
    <row r="788">
      <c r="A788" s="275"/>
      <c r="B788" s="275"/>
      <c r="C788" s="275"/>
      <c r="D788" s="275"/>
      <c r="E788" s="276"/>
      <c r="F788" s="276"/>
      <c r="G788" s="277"/>
      <c r="H788" s="276"/>
      <c r="I788" s="276"/>
      <c r="J788" s="276"/>
      <c r="K788" s="276"/>
      <c r="L788" s="276"/>
      <c r="M788" s="276"/>
      <c r="N788" s="276"/>
      <c r="O788" s="276"/>
    </row>
    <row r="789">
      <c r="A789" s="275"/>
      <c r="B789" s="275"/>
      <c r="C789" s="275"/>
      <c r="D789" s="275"/>
      <c r="E789" s="276"/>
      <c r="F789" s="276"/>
      <c r="G789" s="277"/>
      <c r="H789" s="276"/>
      <c r="I789" s="276"/>
      <c r="J789" s="276"/>
      <c r="K789" s="276"/>
      <c r="L789" s="276"/>
      <c r="M789" s="276"/>
      <c r="N789" s="276"/>
      <c r="O789" s="276"/>
    </row>
    <row r="790">
      <c r="A790" s="275"/>
      <c r="B790" s="275"/>
      <c r="C790" s="275"/>
      <c r="D790" s="275"/>
      <c r="E790" s="276"/>
      <c r="F790" s="276"/>
      <c r="G790" s="277"/>
      <c r="H790" s="276"/>
      <c r="I790" s="276"/>
      <c r="J790" s="276"/>
      <c r="K790" s="276"/>
      <c r="L790" s="276"/>
      <c r="M790" s="276"/>
      <c r="N790" s="276"/>
      <c r="O790" s="276"/>
    </row>
    <row r="791">
      <c r="A791" s="275"/>
      <c r="B791" s="275"/>
      <c r="C791" s="275"/>
      <c r="D791" s="275"/>
      <c r="E791" s="276"/>
      <c r="F791" s="276"/>
      <c r="G791" s="277"/>
      <c r="H791" s="276"/>
      <c r="I791" s="276"/>
      <c r="J791" s="276"/>
      <c r="K791" s="276"/>
      <c r="L791" s="276"/>
      <c r="M791" s="276"/>
      <c r="N791" s="276"/>
      <c r="O791" s="276"/>
    </row>
    <row r="792">
      <c r="A792" s="275"/>
      <c r="B792" s="275"/>
      <c r="C792" s="275"/>
      <c r="D792" s="275"/>
      <c r="E792" s="276"/>
      <c r="F792" s="276"/>
      <c r="G792" s="277"/>
      <c r="H792" s="276"/>
      <c r="I792" s="276"/>
      <c r="J792" s="276"/>
      <c r="K792" s="276"/>
      <c r="L792" s="276"/>
      <c r="M792" s="276"/>
      <c r="N792" s="276"/>
      <c r="O792" s="276"/>
    </row>
    <row r="793">
      <c r="A793" s="275"/>
      <c r="B793" s="275"/>
      <c r="C793" s="275"/>
      <c r="D793" s="275"/>
      <c r="E793" s="276"/>
      <c r="F793" s="276"/>
      <c r="G793" s="277"/>
      <c r="H793" s="276"/>
      <c r="I793" s="276"/>
      <c r="J793" s="276"/>
      <c r="K793" s="276"/>
      <c r="L793" s="276"/>
      <c r="M793" s="276"/>
      <c r="N793" s="276"/>
      <c r="O793" s="276"/>
    </row>
    <row r="794">
      <c r="A794" s="275"/>
      <c r="B794" s="275"/>
      <c r="C794" s="275"/>
      <c r="D794" s="275"/>
      <c r="E794" s="276"/>
      <c r="F794" s="276"/>
      <c r="G794" s="277"/>
      <c r="H794" s="276"/>
      <c r="I794" s="276"/>
      <c r="J794" s="276"/>
      <c r="K794" s="276"/>
      <c r="L794" s="276"/>
      <c r="M794" s="276"/>
      <c r="N794" s="276"/>
      <c r="O794" s="276"/>
    </row>
    <row r="795">
      <c r="A795" s="275"/>
      <c r="B795" s="275"/>
      <c r="C795" s="275"/>
      <c r="D795" s="275"/>
      <c r="E795" s="276"/>
      <c r="F795" s="276"/>
      <c r="G795" s="277"/>
      <c r="H795" s="276"/>
      <c r="I795" s="276"/>
      <c r="J795" s="276"/>
      <c r="K795" s="276"/>
      <c r="L795" s="276"/>
      <c r="M795" s="276"/>
      <c r="N795" s="276"/>
      <c r="O795" s="276"/>
    </row>
    <row r="796">
      <c r="A796" s="275"/>
      <c r="B796" s="275"/>
      <c r="C796" s="275"/>
      <c r="D796" s="275"/>
      <c r="E796" s="276"/>
      <c r="F796" s="276"/>
      <c r="G796" s="277"/>
      <c r="H796" s="276"/>
      <c r="I796" s="276"/>
      <c r="J796" s="276"/>
      <c r="K796" s="276"/>
      <c r="L796" s="276"/>
      <c r="M796" s="276"/>
      <c r="N796" s="276"/>
      <c r="O796" s="276"/>
    </row>
    <row r="797">
      <c r="A797" s="275"/>
      <c r="B797" s="275"/>
      <c r="C797" s="275"/>
      <c r="D797" s="275"/>
      <c r="E797" s="276"/>
      <c r="F797" s="276"/>
      <c r="G797" s="277"/>
      <c r="H797" s="276"/>
      <c r="I797" s="276"/>
      <c r="J797" s="276"/>
      <c r="K797" s="276"/>
      <c r="L797" s="276"/>
      <c r="M797" s="276"/>
      <c r="N797" s="276"/>
      <c r="O797" s="276"/>
    </row>
    <row r="798">
      <c r="A798" s="275"/>
      <c r="B798" s="275"/>
      <c r="C798" s="275"/>
      <c r="D798" s="275"/>
      <c r="E798" s="276"/>
      <c r="F798" s="276"/>
      <c r="G798" s="277"/>
      <c r="H798" s="276"/>
      <c r="I798" s="276"/>
      <c r="J798" s="276"/>
      <c r="K798" s="276"/>
      <c r="L798" s="276"/>
      <c r="M798" s="276"/>
      <c r="N798" s="276"/>
      <c r="O798" s="276"/>
    </row>
    <row r="799">
      <c r="A799" s="275"/>
      <c r="B799" s="275"/>
      <c r="C799" s="275"/>
      <c r="D799" s="275"/>
      <c r="E799" s="276"/>
      <c r="F799" s="276"/>
      <c r="G799" s="277"/>
      <c r="H799" s="276"/>
      <c r="I799" s="276"/>
      <c r="J799" s="276"/>
      <c r="K799" s="276"/>
      <c r="L799" s="276"/>
      <c r="M799" s="276"/>
      <c r="N799" s="276"/>
      <c r="O799" s="276"/>
    </row>
    <row r="800">
      <c r="A800" s="275"/>
      <c r="B800" s="275"/>
      <c r="C800" s="275"/>
      <c r="D800" s="275"/>
      <c r="E800" s="276"/>
      <c r="F800" s="276"/>
      <c r="G800" s="277"/>
      <c r="H800" s="276"/>
      <c r="I800" s="276"/>
      <c r="J800" s="276"/>
      <c r="K800" s="276"/>
      <c r="L800" s="276"/>
      <c r="M800" s="276"/>
      <c r="N800" s="276"/>
      <c r="O800" s="276"/>
    </row>
    <row r="801">
      <c r="A801" s="275"/>
      <c r="B801" s="275"/>
      <c r="C801" s="275"/>
      <c r="D801" s="275"/>
      <c r="E801" s="276"/>
      <c r="F801" s="276"/>
      <c r="G801" s="277"/>
      <c r="H801" s="276"/>
      <c r="I801" s="276"/>
      <c r="J801" s="276"/>
      <c r="K801" s="276"/>
      <c r="L801" s="276"/>
      <c r="M801" s="276"/>
      <c r="N801" s="276"/>
      <c r="O801" s="276"/>
    </row>
    <row r="802">
      <c r="A802" s="275"/>
      <c r="B802" s="275"/>
      <c r="C802" s="275"/>
      <c r="D802" s="275"/>
      <c r="E802" s="276"/>
      <c r="F802" s="276"/>
      <c r="G802" s="277"/>
      <c r="H802" s="276"/>
      <c r="I802" s="276"/>
      <c r="J802" s="276"/>
      <c r="K802" s="276"/>
      <c r="L802" s="276"/>
      <c r="M802" s="276"/>
      <c r="N802" s="276"/>
      <c r="O802" s="276"/>
    </row>
    <row r="803">
      <c r="A803" s="275"/>
      <c r="B803" s="275"/>
      <c r="C803" s="275"/>
      <c r="D803" s="275"/>
      <c r="E803" s="276"/>
      <c r="F803" s="276"/>
      <c r="G803" s="277"/>
      <c r="H803" s="276"/>
      <c r="I803" s="276"/>
      <c r="J803" s="276"/>
      <c r="K803" s="276"/>
      <c r="L803" s="276"/>
      <c r="M803" s="276"/>
      <c r="N803" s="276"/>
      <c r="O803" s="276"/>
    </row>
    <row r="804">
      <c r="A804" s="275"/>
      <c r="B804" s="275"/>
      <c r="C804" s="275"/>
      <c r="D804" s="275"/>
      <c r="E804" s="276"/>
      <c r="F804" s="276"/>
      <c r="G804" s="277"/>
      <c r="H804" s="276"/>
      <c r="I804" s="276"/>
      <c r="J804" s="276"/>
      <c r="K804" s="276"/>
      <c r="L804" s="276"/>
      <c r="M804" s="276"/>
      <c r="N804" s="276"/>
      <c r="O804" s="276"/>
    </row>
    <row r="805">
      <c r="A805" s="275"/>
      <c r="B805" s="275"/>
      <c r="C805" s="275"/>
      <c r="D805" s="275"/>
      <c r="E805" s="276"/>
      <c r="F805" s="276"/>
      <c r="G805" s="277"/>
      <c r="H805" s="276"/>
      <c r="I805" s="276"/>
      <c r="J805" s="276"/>
      <c r="K805" s="276"/>
      <c r="L805" s="276"/>
      <c r="M805" s="276"/>
      <c r="N805" s="276"/>
      <c r="O805" s="276"/>
    </row>
    <row r="806">
      <c r="A806" s="275"/>
      <c r="B806" s="275"/>
      <c r="C806" s="275"/>
      <c r="D806" s="275"/>
      <c r="E806" s="276"/>
      <c r="F806" s="276"/>
      <c r="G806" s="277"/>
      <c r="H806" s="276"/>
      <c r="I806" s="276"/>
      <c r="J806" s="276"/>
      <c r="K806" s="276"/>
      <c r="L806" s="276"/>
      <c r="M806" s="276"/>
      <c r="N806" s="276"/>
      <c r="O806" s="276"/>
    </row>
    <row r="807">
      <c r="A807" s="275"/>
      <c r="B807" s="275"/>
      <c r="C807" s="275"/>
      <c r="D807" s="275"/>
      <c r="E807" s="276"/>
      <c r="F807" s="276"/>
      <c r="G807" s="277"/>
      <c r="H807" s="276"/>
      <c r="I807" s="276"/>
      <c r="J807" s="276"/>
      <c r="K807" s="276"/>
      <c r="L807" s="276"/>
      <c r="M807" s="276"/>
      <c r="N807" s="276"/>
      <c r="O807" s="276"/>
    </row>
    <row r="808">
      <c r="A808" s="275"/>
      <c r="B808" s="275"/>
      <c r="C808" s="275"/>
      <c r="D808" s="275"/>
      <c r="E808" s="276"/>
      <c r="F808" s="276"/>
      <c r="G808" s="277"/>
      <c r="H808" s="276"/>
      <c r="I808" s="276"/>
      <c r="J808" s="276"/>
      <c r="K808" s="276"/>
      <c r="L808" s="276"/>
      <c r="M808" s="276"/>
      <c r="N808" s="276"/>
      <c r="O808" s="276"/>
    </row>
    <row r="809">
      <c r="A809" s="275"/>
      <c r="B809" s="275"/>
      <c r="C809" s="275"/>
      <c r="D809" s="275"/>
      <c r="E809" s="276"/>
      <c r="F809" s="276"/>
      <c r="G809" s="277"/>
      <c r="H809" s="276"/>
      <c r="I809" s="276"/>
      <c r="J809" s="276"/>
      <c r="K809" s="276"/>
      <c r="L809" s="276"/>
      <c r="M809" s="276"/>
      <c r="N809" s="276"/>
      <c r="O809" s="276"/>
    </row>
    <row r="810">
      <c r="A810" s="275"/>
      <c r="B810" s="275"/>
      <c r="C810" s="275"/>
      <c r="D810" s="275"/>
      <c r="E810" s="276"/>
      <c r="F810" s="276"/>
      <c r="G810" s="277"/>
      <c r="H810" s="276"/>
      <c r="I810" s="276"/>
      <c r="J810" s="276"/>
      <c r="K810" s="276"/>
      <c r="L810" s="276"/>
      <c r="M810" s="276"/>
      <c r="N810" s="276"/>
      <c r="O810" s="276"/>
    </row>
    <row r="811">
      <c r="A811" s="275"/>
      <c r="B811" s="275"/>
      <c r="C811" s="275"/>
      <c r="D811" s="275"/>
      <c r="E811" s="276"/>
      <c r="F811" s="276"/>
      <c r="G811" s="277"/>
      <c r="H811" s="276"/>
      <c r="I811" s="276"/>
      <c r="J811" s="276"/>
      <c r="K811" s="276"/>
      <c r="L811" s="276"/>
      <c r="M811" s="276"/>
      <c r="N811" s="276"/>
      <c r="O811" s="276"/>
    </row>
    <row r="812">
      <c r="A812" s="275"/>
      <c r="B812" s="275"/>
      <c r="C812" s="275"/>
      <c r="D812" s="275"/>
      <c r="E812" s="276"/>
      <c r="F812" s="276"/>
      <c r="G812" s="277"/>
      <c r="H812" s="276"/>
      <c r="I812" s="276"/>
      <c r="J812" s="276"/>
      <c r="K812" s="276"/>
      <c r="L812" s="276"/>
      <c r="M812" s="276"/>
      <c r="N812" s="276"/>
      <c r="O812" s="276"/>
    </row>
    <row r="813">
      <c r="A813" s="275"/>
      <c r="B813" s="275"/>
      <c r="C813" s="275"/>
      <c r="D813" s="275"/>
      <c r="E813" s="276"/>
      <c r="F813" s="276"/>
      <c r="G813" s="277"/>
      <c r="H813" s="276"/>
      <c r="I813" s="276"/>
      <c r="J813" s="276"/>
      <c r="K813" s="276"/>
      <c r="L813" s="276"/>
      <c r="M813" s="276"/>
      <c r="N813" s="276"/>
      <c r="O813" s="276"/>
    </row>
    <row r="814">
      <c r="A814" s="275"/>
      <c r="B814" s="275"/>
      <c r="C814" s="275"/>
      <c r="D814" s="275"/>
      <c r="E814" s="276"/>
      <c r="F814" s="276"/>
      <c r="G814" s="277"/>
      <c r="H814" s="276"/>
      <c r="I814" s="276"/>
      <c r="J814" s="276"/>
      <c r="K814" s="276"/>
      <c r="L814" s="276"/>
      <c r="M814" s="276"/>
      <c r="N814" s="276"/>
      <c r="O814" s="276"/>
    </row>
    <row r="815">
      <c r="A815" s="275"/>
      <c r="B815" s="275"/>
      <c r="C815" s="275"/>
      <c r="D815" s="275"/>
      <c r="E815" s="276"/>
      <c r="F815" s="276"/>
      <c r="G815" s="277"/>
      <c r="H815" s="276"/>
      <c r="I815" s="276"/>
      <c r="J815" s="276"/>
      <c r="K815" s="276"/>
      <c r="L815" s="276"/>
      <c r="M815" s="276"/>
      <c r="N815" s="276"/>
      <c r="O815" s="276"/>
    </row>
    <row r="816">
      <c r="A816" s="275"/>
      <c r="B816" s="275"/>
      <c r="C816" s="275"/>
      <c r="D816" s="275"/>
      <c r="E816" s="276"/>
      <c r="F816" s="276"/>
      <c r="G816" s="277"/>
      <c r="H816" s="276"/>
      <c r="I816" s="276"/>
      <c r="J816" s="276"/>
      <c r="K816" s="276"/>
      <c r="L816" s="276"/>
      <c r="M816" s="276"/>
      <c r="N816" s="276"/>
      <c r="O816" s="276"/>
    </row>
    <row r="817">
      <c r="A817" s="275"/>
      <c r="B817" s="275"/>
      <c r="C817" s="275"/>
      <c r="D817" s="275"/>
      <c r="E817" s="276"/>
      <c r="F817" s="276"/>
      <c r="G817" s="277"/>
      <c r="H817" s="276"/>
      <c r="I817" s="276"/>
      <c r="J817" s="276"/>
      <c r="K817" s="276"/>
      <c r="L817" s="276"/>
      <c r="M817" s="276"/>
      <c r="N817" s="276"/>
      <c r="O817" s="276"/>
    </row>
    <row r="818">
      <c r="A818" s="275"/>
      <c r="B818" s="275"/>
      <c r="C818" s="275"/>
      <c r="D818" s="275"/>
      <c r="E818" s="276"/>
      <c r="F818" s="276"/>
      <c r="G818" s="277"/>
      <c r="H818" s="276"/>
      <c r="I818" s="276"/>
      <c r="J818" s="276"/>
      <c r="K818" s="276"/>
      <c r="L818" s="276"/>
      <c r="M818" s="276"/>
      <c r="N818" s="276"/>
      <c r="O818" s="276"/>
    </row>
    <row r="819">
      <c r="A819" s="275"/>
      <c r="B819" s="275"/>
      <c r="C819" s="275"/>
      <c r="D819" s="275"/>
      <c r="E819" s="276"/>
      <c r="F819" s="276"/>
      <c r="G819" s="277"/>
      <c r="H819" s="276"/>
      <c r="I819" s="276"/>
      <c r="J819" s="276"/>
      <c r="K819" s="276"/>
      <c r="L819" s="276"/>
      <c r="M819" s="276"/>
      <c r="N819" s="276"/>
      <c r="O819" s="276"/>
    </row>
    <row r="820">
      <c r="A820" s="275"/>
      <c r="B820" s="275"/>
      <c r="C820" s="275"/>
      <c r="D820" s="275"/>
      <c r="E820" s="276"/>
      <c r="F820" s="276"/>
      <c r="G820" s="277"/>
      <c r="H820" s="276"/>
      <c r="I820" s="276"/>
      <c r="J820" s="276"/>
      <c r="K820" s="276"/>
      <c r="L820" s="276"/>
      <c r="M820" s="276"/>
      <c r="N820" s="276"/>
      <c r="O820" s="276"/>
    </row>
    <row r="821">
      <c r="A821" s="275"/>
      <c r="B821" s="275"/>
      <c r="C821" s="275"/>
      <c r="D821" s="275"/>
      <c r="E821" s="276"/>
      <c r="F821" s="276"/>
      <c r="G821" s="277"/>
      <c r="H821" s="276"/>
      <c r="I821" s="276"/>
      <c r="J821" s="276"/>
      <c r="K821" s="276"/>
      <c r="L821" s="276"/>
      <c r="M821" s="276"/>
      <c r="N821" s="276"/>
      <c r="O821" s="276"/>
    </row>
    <row r="822">
      <c r="A822" s="275"/>
      <c r="B822" s="275"/>
      <c r="C822" s="275"/>
      <c r="D822" s="275"/>
      <c r="E822" s="276"/>
      <c r="F822" s="276"/>
      <c r="G822" s="277"/>
      <c r="H822" s="276"/>
      <c r="I822" s="276"/>
      <c r="J822" s="276"/>
      <c r="K822" s="276"/>
      <c r="L822" s="276"/>
      <c r="M822" s="276"/>
      <c r="N822" s="276"/>
      <c r="O822" s="276"/>
    </row>
    <row r="823">
      <c r="A823" s="275"/>
      <c r="B823" s="275"/>
      <c r="C823" s="275"/>
      <c r="D823" s="275"/>
      <c r="E823" s="276"/>
      <c r="F823" s="276"/>
      <c r="G823" s="277"/>
      <c r="H823" s="276"/>
      <c r="I823" s="276"/>
      <c r="J823" s="276"/>
      <c r="K823" s="276"/>
      <c r="L823" s="276"/>
      <c r="M823" s="276"/>
      <c r="N823" s="276"/>
      <c r="O823" s="276"/>
    </row>
    <row r="824">
      <c r="A824" s="275"/>
      <c r="B824" s="275"/>
      <c r="C824" s="275"/>
      <c r="D824" s="275"/>
      <c r="E824" s="276"/>
      <c r="F824" s="276"/>
      <c r="G824" s="277"/>
      <c r="H824" s="276"/>
      <c r="I824" s="276"/>
      <c r="J824" s="276"/>
      <c r="K824" s="276"/>
      <c r="L824" s="276"/>
      <c r="M824" s="276"/>
      <c r="N824" s="276"/>
      <c r="O824" s="276"/>
    </row>
    <row r="825">
      <c r="A825" s="275"/>
      <c r="B825" s="275"/>
      <c r="C825" s="275"/>
      <c r="D825" s="275"/>
      <c r="E825" s="276"/>
      <c r="F825" s="276"/>
      <c r="G825" s="277"/>
      <c r="H825" s="276"/>
      <c r="I825" s="276"/>
      <c r="J825" s="276"/>
      <c r="K825" s="276"/>
      <c r="L825" s="276"/>
      <c r="M825" s="276"/>
      <c r="N825" s="276"/>
      <c r="O825" s="276"/>
    </row>
    <row r="826">
      <c r="A826" s="275"/>
      <c r="B826" s="275"/>
      <c r="C826" s="275"/>
      <c r="D826" s="275"/>
      <c r="E826" s="276"/>
      <c r="F826" s="276"/>
      <c r="G826" s="277"/>
      <c r="H826" s="276"/>
      <c r="I826" s="276"/>
      <c r="J826" s="276"/>
      <c r="K826" s="276"/>
      <c r="L826" s="276"/>
      <c r="M826" s="276"/>
      <c r="N826" s="276"/>
      <c r="O826" s="276"/>
    </row>
    <row r="827">
      <c r="A827" s="275"/>
      <c r="B827" s="275"/>
      <c r="C827" s="275"/>
      <c r="D827" s="275"/>
      <c r="E827" s="276"/>
      <c r="F827" s="276"/>
      <c r="G827" s="277"/>
      <c r="H827" s="276"/>
      <c r="I827" s="276"/>
      <c r="J827" s="276"/>
      <c r="K827" s="276"/>
      <c r="L827" s="276"/>
      <c r="M827" s="276"/>
      <c r="N827" s="276"/>
      <c r="O827" s="276"/>
    </row>
    <row r="828">
      <c r="A828" s="275"/>
      <c r="B828" s="275"/>
      <c r="C828" s="275"/>
      <c r="D828" s="275"/>
      <c r="E828" s="276"/>
      <c r="F828" s="276"/>
      <c r="G828" s="277"/>
      <c r="H828" s="276"/>
      <c r="I828" s="276"/>
      <c r="J828" s="276"/>
      <c r="K828" s="276"/>
      <c r="L828" s="276"/>
      <c r="M828" s="276"/>
      <c r="N828" s="276"/>
      <c r="O828" s="276"/>
    </row>
    <row r="829">
      <c r="A829" s="275"/>
      <c r="B829" s="275"/>
      <c r="C829" s="275"/>
      <c r="D829" s="275"/>
      <c r="E829" s="276"/>
      <c r="F829" s="276"/>
      <c r="G829" s="277"/>
      <c r="H829" s="276"/>
      <c r="I829" s="276"/>
      <c r="J829" s="276"/>
      <c r="K829" s="276"/>
      <c r="L829" s="276"/>
      <c r="M829" s="276"/>
      <c r="N829" s="276"/>
      <c r="O829" s="276"/>
    </row>
    <row r="830">
      <c r="A830" s="275"/>
      <c r="B830" s="275"/>
      <c r="C830" s="275"/>
      <c r="D830" s="275"/>
      <c r="E830" s="276"/>
      <c r="F830" s="276"/>
      <c r="G830" s="277"/>
      <c r="H830" s="276"/>
      <c r="I830" s="276"/>
      <c r="J830" s="276"/>
      <c r="K830" s="276"/>
      <c r="L830" s="276"/>
      <c r="M830" s="276"/>
      <c r="N830" s="276"/>
      <c r="O830" s="276"/>
    </row>
    <row r="831">
      <c r="A831" s="275"/>
      <c r="B831" s="275"/>
      <c r="C831" s="275"/>
      <c r="D831" s="275"/>
      <c r="E831" s="276"/>
      <c r="F831" s="276"/>
      <c r="G831" s="277"/>
      <c r="H831" s="276"/>
      <c r="I831" s="276"/>
      <c r="J831" s="276"/>
      <c r="K831" s="276"/>
      <c r="L831" s="276"/>
      <c r="M831" s="276"/>
      <c r="N831" s="276"/>
      <c r="O831" s="276"/>
    </row>
    <row r="832">
      <c r="A832" s="275"/>
      <c r="B832" s="275"/>
      <c r="C832" s="275"/>
      <c r="D832" s="275"/>
      <c r="E832" s="276"/>
      <c r="F832" s="276"/>
      <c r="G832" s="277"/>
      <c r="H832" s="276"/>
      <c r="I832" s="276"/>
      <c r="J832" s="276"/>
      <c r="K832" s="276"/>
      <c r="L832" s="276"/>
      <c r="M832" s="276"/>
      <c r="N832" s="276"/>
      <c r="O832" s="276"/>
    </row>
    <row r="833">
      <c r="A833" s="275"/>
      <c r="B833" s="275"/>
      <c r="C833" s="275"/>
      <c r="D833" s="275"/>
      <c r="E833" s="276"/>
      <c r="F833" s="276"/>
      <c r="G833" s="277"/>
      <c r="H833" s="276"/>
      <c r="I833" s="276"/>
      <c r="J833" s="276"/>
      <c r="K833" s="276"/>
      <c r="L833" s="276"/>
      <c r="M833" s="276"/>
      <c r="N833" s="276"/>
      <c r="O833" s="276"/>
    </row>
    <row r="834">
      <c r="A834" s="275"/>
      <c r="B834" s="275"/>
      <c r="C834" s="275"/>
      <c r="D834" s="275"/>
      <c r="E834" s="276"/>
      <c r="F834" s="276"/>
      <c r="G834" s="277"/>
      <c r="H834" s="276"/>
      <c r="I834" s="276"/>
      <c r="J834" s="276"/>
      <c r="K834" s="276"/>
      <c r="L834" s="276"/>
      <c r="M834" s="276"/>
      <c r="N834" s="276"/>
      <c r="O834" s="276"/>
    </row>
    <row r="835">
      <c r="A835" s="275"/>
      <c r="B835" s="275"/>
      <c r="C835" s="275"/>
      <c r="D835" s="275"/>
      <c r="E835" s="276"/>
      <c r="F835" s="276"/>
      <c r="G835" s="277"/>
      <c r="H835" s="276"/>
      <c r="I835" s="276"/>
      <c r="J835" s="276"/>
      <c r="K835" s="276"/>
      <c r="L835" s="276"/>
      <c r="M835" s="276"/>
      <c r="N835" s="276"/>
      <c r="O835" s="276"/>
    </row>
    <row r="836">
      <c r="A836" s="275"/>
      <c r="B836" s="275"/>
      <c r="C836" s="275"/>
      <c r="D836" s="275"/>
      <c r="E836" s="276"/>
      <c r="F836" s="276"/>
      <c r="G836" s="277"/>
      <c r="H836" s="276"/>
      <c r="I836" s="276"/>
      <c r="J836" s="276"/>
      <c r="K836" s="276"/>
      <c r="L836" s="276"/>
      <c r="M836" s="276"/>
      <c r="N836" s="276"/>
      <c r="O836" s="276"/>
    </row>
    <row r="837">
      <c r="A837" s="275"/>
      <c r="B837" s="275"/>
      <c r="C837" s="275"/>
      <c r="D837" s="275"/>
      <c r="E837" s="276"/>
      <c r="F837" s="276"/>
      <c r="G837" s="277"/>
      <c r="H837" s="276"/>
      <c r="I837" s="276"/>
      <c r="J837" s="276"/>
      <c r="K837" s="276"/>
      <c r="L837" s="276"/>
      <c r="M837" s="276"/>
      <c r="N837" s="276"/>
      <c r="O837" s="276"/>
    </row>
    <row r="838">
      <c r="A838" s="275"/>
      <c r="B838" s="275"/>
      <c r="C838" s="275"/>
      <c r="D838" s="275"/>
      <c r="E838" s="276"/>
      <c r="F838" s="276"/>
      <c r="G838" s="277"/>
      <c r="H838" s="276"/>
      <c r="I838" s="276"/>
      <c r="J838" s="276"/>
      <c r="K838" s="276"/>
      <c r="L838" s="276"/>
      <c r="M838" s="276"/>
      <c r="N838" s="276"/>
      <c r="O838" s="276"/>
    </row>
    <row r="839">
      <c r="A839" s="275"/>
      <c r="B839" s="275"/>
      <c r="C839" s="275"/>
      <c r="D839" s="275"/>
      <c r="E839" s="276"/>
      <c r="F839" s="276"/>
      <c r="G839" s="277"/>
      <c r="H839" s="276"/>
      <c r="I839" s="276"/>
      <c r="J839" s="276"/>
      <c r="K839" s="276"/>
      <c r="L839" s="276"/>
      <c r="M839" s="276"/>
      <c r="N839" s="276"/>
      <c r="O839" s="276"/>
    </row>
    <row r="840">
      <c r="A840" s="275"/>
      <c r="B840" s="275"/>
      <c r="C840" s="275"/>
      <c r="D840" s="275"/>
      <c r="E840" s="276"/>
      <c r="F840" s="276"/>
      <c r="G840" s="277"/>
      <c r="H840" s="276"/>
      <c r="I840" s="276"/>
      <c r="J840" s="276"/>
      <c r="K840" s="276"/>
      <c r="L840" s="276"/>
      <c r="M840" s="276"/>
      <c r="N840" s="276"/>
      <c r="O840" s="276"/>
    </row>
    <row r="841">
      <c r="A841" s="275"/>
      <c r="B841" s="275"/>
      <c r="C841" s="275"/>
      <c r="D841" s="275"/>
      <c r="E841" s="276"/>
      <c r="F841" s="276"/>
      <c r="G841" s="277"/>
      <c r="H841" s="276"/>
      <c r="I841" s="276"/>
      <c r="J841" s="276"/>
      <c r="K841" s="276"/>
      <c r="L841" s="276"/>
      <c r="M841" s="276"/>
      <c r="N841" s="276"/>
      <c r="O841" s="276"/>
    </row>
    <row r="842">
      <c r="A842" s="275"/>
      <c r="B842" s="275"/>
      <c r="C842" s="275"/>
      <c r="D842" s="275"/>
      <c r="E842" s="276"/>
      <c r="F842" s="276"/>
      <c r="G842" s="277"/>
      <c r="H842" s="276"/>
      <c r="I842" s="276"/>
      <c r="J842" s="276"/>
      <c r="K842" s="276"/>
      <c r="L842" s="276"/>
      <c r="M842" s="276"/>
      <c r="N842" s="276"/>
      <c r="O842" s="276"/>
    </row>
    <row r="843">
      <c r="A843" s="275"/>
      <c r="B843" s="275"/>
      <c r="C843" s="275"/>
      <c r="D843" s="275"/>
      <c r="E843" s="276"/>
      <c r="F843" s="276"/>
      <c r="G843" s="277"/>
      <c r="H843" s="276"/>
      <c r="I843" s="276"/>
      <c r="J843" s="276"/>
      <c r="K843" s="276"/>
      <c r="L843" s="276"/>
      <c r="M843" s="276"/>
      <c r="N843" s="276"/>
      <c r="O843" s="276"/>
    </row>
    <row r="844">
      <c r="A844" s="275"/>
      <c r="B844" s="275"/>
      <c r="C844" s="275"/>
      <c r="D844" s="275"/>
      <c r="E844" s="276"/>
      <c r="F844" s="276"/>
      <c r="G844" s="277"/>
      <c r="H844" s="276"/>
      <c r="I844" s="276"/>
      <c r="J844" s="276"/>
      <c r="K844" s="276"/>
      <c r="L844" s="276"/>
      <c r="M844" s="276"/>
      <c r="N844" s="276"/>
      <c r="O844" s="276"/>
    </row>
    <row r="845">
      <c r="A845" s="275"/>
      <c r="B845" s="275"/>
      <c r="C845" s="275"/>
      <c r="D845" s="275"/>
      <c r="E845" s="276"/>
      <c r="F845" s="276"/>
      <c r="G845" s="277"/>
      <c r="H845" s="276"/>
      <c r="I845" s="276"/>
      <c r="J845" s="276"/>
      <c r="K845" s="276"/>
      <c r="L845" s="276"/>
      <c r="M845" s="276"/>
      <c r="N845" s="276"/>
      <c r="O845" s="276"/>
    </row>
    <row r="846">
      <c r="A846" s="275"/>
      <c r="B846" s="275"/>
      <c r="C846" s="275"/>
      <c r="D846" s="275"/>
      <c r="E846" s="276"/>
      <c r="F846" s="276"/>
      <c r="G846" s="277"/>
      <c r="H846" s="276"/>
      <c r="I846" s="276"/>
      <c r="J846" s="276"/>
      <c r="K846" s="276"/>
      <c r="L846" s="276"/>
      <c r="M846" s="276"/>
      <c r="N846" s="276"/>
      <c r="O846" s="276"/>
    </row>
    <row r="847">
      <c r="A847" s="275"/>
      <c r="B847" s="275"/>
      <c r="C847" s="275"/>
      <c r="D847" s="275"/>
      <c r="E847" s="276"/>
      <c r="F847" s="276"/>
      <c r="G847" s="277"/>
      <c r="H847" s="276"/>
      <c r="I847" s="276"/>
      <c r="J847" s="276"/>
      <c r="K847" s="276"/>
      <c r="L847" s="276"/>
      <c r="M847" s="276"/>
      <c r="N847" s="276"/>
      <c r="O847" s="276"/>
    </row>
    <row r="848">
      <c r="A848" s="275"/>
      <c r="B848" s="275"/>
      <c r="C848" s="275"/>
      <c r="D848" s="275"/>
      <c r="E848" s="276"/>
      <c r="F848" s="276"/>
      <c r="G848" s="277"/>
      <c r="H848" s="276"/>
      <c r="I848" s="276"/>
      <c r="J848" s="276"/>
      <c r="K848" s="276"/>
      <c r="L848" s="276"/>
      <c r="M848" s="276"/>
      <c r="N848" s="276"/>
      <c r="O848" s="276"/>
    </row>
    <row r="849">
      <c r="A849" s="275"/>
      <c r="B849" s="275"/>
      <c r="C849" s="275"/>
      <c r="D849" s="275"/>
      <c r="E849" s="276"/>
      <c r="F849" s="276"/>
      <c r="G849" s="277"/>
      <c r="H849" s="276"/>
      <c r="I849" s="276"/>
      <c r="J849" s="276"/>
      <c r="K849" s="276"/>
      <c r="L849" s="276"/>
      <c r="M849" s="276"/>
      <c r="N849" s="276"/>
      <c r="O849" s="276"/>
    </row>
    <row r="850">
      <c r="A850" s="275"/>
      <c r="B850" s="275"/>
      <c r="C850" s="275"/>
      <c r="D850" s="275"/>
      <c r="E850" s="276"/>
      <c r="F850" s="276"/>
      <c r="G850" s="277"/>
      <c r="H850" s="276"/>
      <c r="I850" s="276"/>
      <c r="J850" s="276"/>
      <c r="K850" s="276"/>
      <c r="L850" s="276"/>
      <c r="M850" s="276"/>
      <c r="N850" s="276"/>
      <c r="O850" s="276"/>
    </row>
    <row r="851">
      <c r="A851" s="275"/>
      <c r="B851" s="275"/>
      <c r="C851" s="275"/>
      <c r="D851" s="275"/>
      <c r="E851" s="276"/>
      <c r="F851" s="276"/>
      <c r="G851" s="277"/>
      <c r="H851" s="276"/>
      <c r="I851" s="276"/>
      <c r="J851" s="276"/>
      <c r="K851" s="276"/>
      <c r="L851" s="276"/>
      <c r="M851" s="276"/>
      <c r="N851" s="276"/>
      <c r="O851" s="276"/>
    </row>
    <row r="852">
      <c r="A852" s="275"/>
      <c r="B852" s="275"/>
      <c r="C852" s="275"/>
      <c r="D852" s="275"/>
      <c r="E852" s="276"/>
      <c r="F852" s="276"/>
      <c r="G852" s="277"/>
      <c r="H852" s="276"/>
      <c r="I852" s="276"/>
      <c r="J852" s="276"/>
      <c r="K852" s="276"/>
      <c r="L852" s="276"/>
      <c r="M852" s="276"/>
      <c r="N852" s="276"/>
      <c r="O852" s="276"/>
    </row>
    <row r="853">
      <c r="A853" s="275"/>
      <c r="B853" s="275"/>
      <c r="C853" s="275"/>
      <c r="D853" s="275"/>
      <c r="E853" s="276"/>
      <c r="F853" s="276"/>
      <c r="G853" s="277"/>
      <c r="H853" s="276"/>
      <c r="I853" s="276"/>
      <c r="J853" s="276"/>
      <c r="K853" s="276"/>
      <c r="L853" s="276"/>
      <c r="M853" s="276"/>
      <c r="N853" s="276"/>
      <c r="O853" s="276"/>
    </row>
    <row r="854">
      <c r="A854" s="275"/>
      <c r="B854" s="275"/>
      <c r="C854" s="275"/>
      <c r="D854" s="275"/>
      <c r="E854" s="276"/>
      <c r="F854" s="276"/>
      <c r="G854" s="277"/>
      <c r="H854" s="276"/>
      <c r="I854" s="276"/>
      <c r="J854" s="276"/>
      <c r="K854" s="276"/>
      <c r="L854" s="276"/>
      <c r="M854" s="276"/>
      <c r="N854" s="276"/>
      <c r="O854" s="276"/>
    </row>
    <row r="855">
      <c r="A855" s="275"/>
      <c r="B855" s="275"/>
      <c r="C855" s="275"/>
      <c r="D855" s="275"/>
      <c r="E855" s="276"/>
      <c r="F855" s="276"/>
      <c r="G855" s="277"/>
      <c r="H855" s="276"/>
      <c r="I855" s="276"/>
      <c r="J855" s="276"/>
      <c r="K855" s="276"/>
      <c r="L855" s="276"/>
      <c r="M855" s="276"/>
      <c r="N855" s="276"/>
      <c r="O855" s="276"/>
    </row>
    <row r="856">
      <c r="A856" s="275"/>
      <c r="B856" s="275"/>
      <c r="C856" s="275"/>
      <c r="D856" s="275"/>
      <c r="E856" s="276"/>
      <c r="F856" s="276"/>
      <c r="G856" s="277"/>
      <c r="H856" s="276"/>
      <c r="I856" s="276"/>
      <c r="J856" s="276"/>
      <c r="K856" s="276"/>
      <c r="L856" s="276"/>
      <c r="M856" s="276"/>
      <c r="N856" s="276"/>
      <c r="O856" s="276"/>
    </row>
    <row r="857">
      <c r="A857" s="275"/>
      <c r="B857" s="275"/>
      <c r="C857" s="275"/>
      <c r="D857" s="275"/>
      <c r="E857" s="276"/>
      <c r="F857" s="276"/>
      <c r="G857" s="277"/>
      <c r="H857" s="276"/>
      <c r="I857" s="276"/>
      <c r="J857" s="276"/>
      <c r="K857" s="276"/>
      <c r="L857" s="276"/>
      <c r="M857" s="276"/>
      <c r="N857" s="276"/>
      <c r="O857" s="276"/>
    </row>
    <row r="858">
      <c r="A858" s="275"/>
      <c r="B858" s="275"/>
      <c r="C858" s="275"/>
      <c r="D858" s="275"/>
      <c r="E858" s="276"/>
      <c r="F858" s="276"/>
      <c r="G858" s="277"/>
      <c r="H858" s="276"/>
      <c r="I858" s="276"/>
      <c r="J858" s="276"/>
      <c r="K858" s="276"/>
      <c r="L858" s="276"/>
      <c r="M858" s="276"/>
      <c r="N858" s="276"/>
      <c r="O858" s="276"/>
    </row>
    <row r="859">
      <c r="A859" s="275"/>
      <c r="B859" s="275"/>
      <c r="C859" s="275"/>
      <c r="D859" s="275"/>
      <c r="E859" s="276"/>
      <c r="F859" s="276"/>
      <c r="G859" s="277"/>
      <c r="H859" s="276"/>
      <c r="I859" s="276"/>
      <c r="J859" s="276"/>
      <c r="K859" s="276"/>
      <c r="L859" s="276"/>
      <c r="M859" s="276"/>
      <c r="N859" s="276"/>
      <c r="O859" s="276"/>
    </row>
    <row r="860">
      <c r="A860" s="275"/>
      <c r="B860" s="275"/>
      <c r="C860" s="275"/>
      <c r="D860" s="275"/>
      <c r="E860" s="276"/>
      <c r="F860" s="276"/>
      <c r="G860" s="277"/>
      <c r="H860" s="276"/>
      <c r="I860" s="276"/>
      <c r="J860" s="276"/>
      <c r="K860" s="276"/>
      <c r="L860" s="276"/>
      <c r="M860" s="276"/>
      <c r="N860" s="276"/>
      <c r="O860" s="276"/>
    </row>
    <row r="861">
      <c r="A861" s="275"/>
      <c r="B861" s="275"/>
      <c r="C861" s="275"/>
      <c r="D861" s="275"/>
      <c r="E861" s="276"/>
      <c r="F861" s="276"/>
      <c r="G861" s="277"/>
      <c r="H861" s="276"/>
      <c r="I861" s="276"/>
      <c r="J861" s="276"/>
      <c r="K861" s="276"/>
      <c r="L861" s="276"/>
      <c r="M861" s="276"/>
      <c r="N861" s="276"/>
      <c r="O861" s="276"/>
    </row>
    <row r="862">
      <c r="A862" s="275"/>
      <c r="B862" s="275"/>
      <c r="C862" s="275"/>
      <c r="D862" s="275"/>
      <c r="E862" s="276"/>
      <c r="F862" s="276"/>
      <c r="G862" s="277"/>
      <c r="H862" s="276"/>
      <c r="I862" s="276"/>
      <c r="J862" s="276"/>
      <c r="K862" s="276"/>
      <c r="L862" s="276"/>
      <c r="M862" s="276"/>
      <c r="N862" s="276"/>
      <c r="O862" s="276"/>
    </row>
    <row r="863">
      <c r="A863" s="275"/>
      <c r="B863" s="275"/>
      <c r="C863" s="275"/>
      <c r="D863" s="275"/>
      <c r="E863" s="276"/>
      <c r="F863" s="276"/>
      <c r="G863" s="277"/>
      <c r="H863" s="276"/>
      <c r="I863" s="276"/>
      <c r="J863" s="276"/>
      <c r="K863" s="276"/>
      <c r="L863" s="276"/>
      <c r="M863" s="276"/>
      <c r="N863" s="276"/>
      <c r="O863" s="276"/>
    </row>
    <row r="864">
      <c r="A864" s="275"/>
      <c r="B864" s="275"/>
      <c r="C864" s="275"/>
      <c r="D864" s="275"/>
      <c r="E864" s="276"/>
      <c r="F864" s="276"/>
      <c r="G864" s="277"/>
      <c r="H864" s="276"/>
      <c r="I864" s="276"/>
      <c r="J864" s="276"/>
      <c r="K864" s="276"/>
      <c r="L864" s="276"/>
      <c r="M864" s="276"/>
      <c r="N864" s="276"/>
      <c r="O864" s="276"/>
    </row>
    <row r="865">
      <c r="A865" s="275"/>
      <c r="B865" s="275"/>
      <c r="C865" s="275"/>
      <c r="D865" s="275"/>
      <c r="E865" s="276"/>
      <c r="F865" s="276"/>
      <c r="G865" s="277"/>
      <c r="H865" s="276"/>
      <c r="I865" s="276"/>
      <c r="J865" s="276"/>
      <c r="K865" s="276"/>
      <c r="L865" s="276"/>
      <c r="M865" s="276"/>
      <c r="N865" s="276"/>
      <c r="O865" s="276"/>
    </row>
    <row r="866">
      <c r="A866" s="275"/>
      <c r="B866" s="275"/>
      <c r="C866" s="275"/>
      <c r="D866" s="275"/>
      <c r="E866" s="276"/>
      <c r="F866" s="276"/>
      <c r="G866" s="277"/>
      <c r="H866" s="276"/>
      <c r="I866" s="276"/>
      <c r="J866" s="276"/>
      <c r="K866" s="276"/>
      <c r="L866" s="276"/>
      <c r="M866" s="276"/>
      <c r="N866" s="276"/>
      <c r="O866" s="276"/>
    </row>
    <row r="867">
      <c r="A867" s="275"/>
      <c r="B867" s="275"/>
      <c r="C867" s="275"/>
      <c r="D867" s="275"/>
      <c r="E867" s="276"/>
      <c r="F867" s="276"/>
      <c r="G867" s="277"/>
      <c r="H867" s="276"/>
      <c r="I867" s="276"/>
      <c r="J867" s="276"/>
      <c r="K867" s="276"/>
      <c r="L867" s="276"/>
      <c r="M867" s="276"/>
      <c r="N867" s="276"/>
      <c r="O867" s="276"/>
    </row>
    <row r="868">
      <c r="A868" s="275"/>
      <c r="B868" s="275"/>
      <c r="C868" s="275"/>
      <c r="D868" s="275"/>
      <c r="E868" s="276"/>
      <c r="F868" s="276"/>
      <c r="G868" s="277"/>
      <c r="H868" s="276"/>
      <c r="I868" s="276"/>
      <c r="J868" s="276"/>
      <c r="K868" s="276"/>
      <c r="L868" s="276"/>
      <c r="M868" s="276"/>
      <c r="N868" s="276"/>
      <c r="O868" s="276"/>
    </row>
    <row r="869">
      <c r="A869" s="275"/>
      <c r="B869" s="275"/>
      <c r="C869" s="275"/>
      <c r="D869" s="275"/>
      <c r="E869" s="276"/>
      <c r="F869" s="276"/>
      <c r="G869" s="277"/>
      <c r="H869" s="276"/>
      <c r="I869" s="276"/>
      <c r="J869" s="276"/>
      <c r="K869" s="276"/>
      <c r="L869" s="276"/>
      <c r="M869" s="276"/>
      <c r="N869" s="276"/>
      <c r="O869" s="276"/>
    </row>
    <row r="870">
      <c r="A870" s="275"/>
      <c r="B870" s="275"/>
      <c r="C870" s="275"/>
      <c r="D870" s="275"/>
      <c r="E870" s="276"/>
      <c r="F870" s="276"/>
      <c r="G870" s="277"/>
      <c r="H870" s="276"/>
      <c r="I870" s="276"/>
      <c r="J870" s="276"/>
      <c r="K870" s="276"/>
      <c r="L870" s="276"/>
      <c r="M870" s="276"/>
      <c r="N870" s="276"/>
      <c r="O870" s="276"/>
    </row>
    <row r="871">
      <c r="A871" s="275"/>
      <c r="B871" s="275"/>
      <c r="C871" s="275"/>
      <c r="D871" s="275"/>
      <c r="E871" s="276"/>
      <c r="F871" s="276"/>
      <c r="G871" s="277"/>
      <c r="H871" s="276"/>
      <c r="I871" s="276"/>
      <c r="J871" s="276"/>
      <c r="K871" s="276"/>
      <c r="L871" s="276"/>
      <c r="M871" s="276"/>
      <c r="N871" s="276"/>
      <c r="O871" s="276"/>
    </row>
    <row r="872">
      <c r="A872" s="275"/>
      <c r="B872" s="275"/>
      <c r="C872" s="275"/>
      <c r="D872" s="275"/>
      <c r="E872" s="276"/>
      <c r="F872" s="276"/>
      <c r="G872" s="277"/>
      <c r="H872" s="276"/>
      <c r="I872" s="276"/>
      <c r="J872" s="276"/>
      <c r="K872" s="276"/>
      <c r="L872" s="276"/>
      <c r="M872" s="276"/>
      <c r="N872" s="276"/>
      <c r="O872" s="276"/>
    </row>
    <row r="873">
      <c r="A873" s="275"/>
      <c r="B873" s="275"/>
      <c r="C873" s="275"/>
      <c r="D873" s="275"/>
      <c r="E873" s="276"/>
      <c r="F873" s="276"/>
      <c r="G873" s="277"/>
      <c r="H873" s="276"/>
      <c r="I873" s="276"/>
      <c r="J873" s="276"/>
      <c r="K873" s="276"/>
      <c r="L873" s="276"/>
      <c r="M873" s="276"/>
      <c r="N873" s="276"/>
      <c r="O873" s="276"/>
    </row>
    <row r="874">
      <c r="A874" s="275"/>
      <c r="B874" s="275"/>
      <c r="C874" s="275"/>
      <c r="D874" s="275"/>
      <c r="E874" s="276"/>
      <c r="F874" s="276"/>
      <c r="G874" s="277"/>
      <c r="H874" s="276"/>
      <c r="I874" s="276"/>
      <c r="J874" s="276"/>
      <c r="K874" s="276"/>
      <c r="L874" s="276"/>
      <c r="M874" s="276"/>
      <c r="N874" s="276"/>
      <c r="O874" s="276"/>
    </row>
    <row r="875">
      <c r="A875" s="275"/>
      <c r="B875" s="275"/>
      <c r="C875" s="275"/>
      <c r="D875" s="275"/>
      <c r="E875" s="276"/>
      <c r="F875" s="276"/>
      <c r="G875" s="277"/>
      <c r="H875" s="276"/>
      <c r="I875" s="276"/>
      <c r="J875" s="276"/>
      <c r="K875" s="276"/>
      <c r="L875" s="276"/>
      <c r="M875" s="276"/>
      <c r="N875" s="276"/>
      <c r="O875" s="276"/>
    </row>
    <row r="876">
      <c r="A876" s="275"/>
      <c r="B876" s="275"/>
      <c r="C876" s="275"/>
      <c r="D876" s="275"/>
      <c r="E876" s="276"/>
      <c r="F876" s="276"/>
      <c r="G876" s="277"/>
      <c r="H876" s="276"/>
      <c r="I876" s="276"/>
      <c r="J876" s="276"/>
      <c r="K876" s="276"/>
      <c r="L876" s="276"/>
      <c r="M876" s="276"/>
      <c r="N876" s="276"/>
      <c r="O876" s="276"/>
    </row>
    <row r="877">
      <c r="A877" s="275"/>
      <c r="B877" s="275"/>
      <c r="C877" s="275"/>
      <c r="D877" s="275"/>
      <c r="E877" s="276"/>
      <c r="F877" s="276"/>
      <c r="G877" s="277"/>
      <c r="H877" s="276"/>
      <c r="I877" s="276"/>
      <c r="J877" s="276"/>
      <c r="K877" s="276"/>
      <c r="L877" s="276"/>
      <c r="M877" s="276"/>
      <c r="N877" s="276"/>
      <c r="O877" s="276"/>
    </row>
    <row r="878">
      <c r="A878" s="275"/>
      <c r="B878" s="275"/>
      <c r="C878" s="275"/>
      <c r="D878" s="275"/>
      <c r="E878" s="276"/>
      <c r="F878" s="276"/>
      <c r="G878" s="277"/>
      <c r="H878" s="276"/>
      <c r="I878" s="276"/>
      <c r="J878" s="276"/>
      <c r="K878" s="276"/>
      <c r="L878" s="276"/>
      <c r="M878" s="276"/>
      <c r="N878" s="276"/>
      <c r="O878" s="276"/>
    </row>
    <row r="879">
      <c r="A879" s="275"/>
      <c r="B879" s="275"/>
      <c r="C879" s="275"/>
      <c r="D879" s="275"/>
      <c r="E879" s="276"/>
      <c r="F879" s="276"/>
      <c r="G879" s="277"/>
      <c r="H879" s="276"/>
      <c r="I879" s="276"/>
      <c r="J879" s="276"/>
      <c r="K879" s="276"/>
      <c r="L879" s="276"/>
      <c r="M879" s="276"/>
      <c r="N879" s="276"/>
      <c r="O879" s="276"/>
    </row>
    <row r="880">
      <c r="A880" s="275"/>
      <c r="B880" s="275"/>
      <c r="C880" s="275"/>
      <c r="D880" s="275"/>
      <c r="E880" s="276"/>
      <c r="F880" s="276"/>
      <c r="G880" s="277"/>
      <c r="H880" s="276"/>
      <c r="I880" s="276"/>
      <c r="J880" s="276"/>
      <c r="K880" s="276"/>
      <c r="L880" s="276"/>
      <c r="M880" s="276"/>
      <c r="N880" s="276"/>
      <c r="O880" s="276"/>
    </row>
    <row r="881">
      <c r="A881" s="275"/>
      <c r="B881" s="275"/>
      <c r="C881" s="275"/>
      <c r="D881" s="275"/>
      <c r="E881" s="276"/>
      <c r="F881" s="276"/>
      <c r="G881" s="277"/>
      <c r="H881" s="276"/>
      <c r="I881" s="276"/>
      <c r="J881" s="276"/>
      <c r="K881" s="276"/>
      <c r="L881" s="276"/>
      <c r="M881" s="276"/>
      <c r="N881" s="276"/>
      <c r="O881" s="276"/>
    </row>
    <row r="882">
      <c r="A882" s="275"/>
      <c r="B882" s="275"/>
      <c r="C882" s="275"/>
      <c r="D882" s="275"/>
      <c r="E882" s="276"/>
      <c r="F882" s="276"/>
      <c r="G882" s="277"/>
      <c r="H882" s="276"/>
      <c r="I882" s="276"/>
      <c r="J882" s="276"/>
      <c r="K882" s="276"/>
      <c r="L882" s="276"/>
      <c r="M882" s="276"/>
      <c r="N882" s="276"/>
      <c r="O882" s="276"/>
    </row>
    <row r="883">
      <c r="A883" s="275"/>
      <c r="B883" s="275"/>
      <c r="C883" s="275"/>
      <c r="D883" s="275"/>
      <c r="E883" s="276"/>
      <c r="F883" s="276"/>
      <c r="G883" s="277"/>
      <c r="H883" s="276"/>
      <c r="I883" s="276"/>
      <c r="J883" s="276"/>
      <c r="K883" s="276"/>
      <c r="L883" s="276"/>
      <c r="M883" s="276"/>
      <c r="N883" s="276"/>
      <c r="O883" s="276"/>
    </row>
    <row r="884">
      <c r="A884" s="275"/>
      <c r="B884" s="275"/>
      <c r="C884" s="275"/>
      <c r="D884" s="275"/>
      <c r="E884" s="276"/>
      <c r="F884" s="276"/>
      <c r="G884" s="277"/>
      <c r="H884" s="276"/>
      <c r="I884" s="276"/>
      <c r="J884" s="276"/>
      <c r="K884" s="276"/>
      <c r="L884" s="276"/>
      <c r="M884" s="276"/>
      <c r="N884" s="276"/>
      <c r="O884" s="276"/>
    </row>
    <row r="885">
      <c r="A885" s="275"/>
      <c r="B885" s="275"/>
      <c r="C885" s="275"/>
      <c r="D885" s="275"/>
      <c r="E885" s="276"/>
      <c r="F885" s="276"/>
      <c r="G885" s="277"/>
      <c r="H885" s="276"/>
      <c r="I885" s="276"/>
      <c r="J885" s="276"/>
      <c r="K885" s="276"/>
      <c r="L885" s="276"/>
      <c r="M885" s="276"/>
      <c r="N885" s="276"/>
      <c r="O885" s="276"/>
    </row>
    <row r="886">
      <c r="A886" s="275"/>
      <c r="B886" s="275"/>
      <c r="C886" s="275"/>
      <c r="D886" s="275"/>
      <c r="E886" s="276"/>
      <c r="F886" s="276"/>
      <c r="G886" s="277"/>
      <c r="H886" s="276"/>
      <c r="I886" s="276"/>
      <c r="J886" s="276"/>
      <c r="K886" s="276"/>
      <c r="L886" s="276"/>
      <c r="M886" s="276"/>
      <c r="N886" s="276"/>
      <c r="O886" s="276"/>
    </row>
    <row r="887">
      <c r="A887" s="275"/>
      <c r="B887" s="275"/>
      <c r="C887" s="275"/>
      <c r="D887" s="275"/>
      <c r="E887" s="276"/>
      <c r="F887" s="276"/>
      <c r="G887" s="277"/>
      <c r="H887" s="276"/>
      <c r="I887" s="276"/>
      <c r="J887" s="276"/>
      <c r="K887" s="276"/>
      <c r="L887" s="276"/>
      <c r="M887" s="276"/>
      <c r="N887" s="276"/>
      <c r="O887" s="276"/>
    </row>
    <row r="888">
      <c r="A888" s="275"/>
      <c r="B888" s="275"/>
      <c r="C888" s="275"/>
      <c r="D888" s="275"/>
      <c r="E888" s="276"/>
      <c r="F888" s="276"/>
      <c r="G888" s="277"/>
      <c r="H888" s="276"/>
      <c r="I888" s="276"/>
      <c r="J888" s="276"/>
      <c r="K888" s="276"/>
      <c r="L888" s="276"/>
      <c r="M888" s="276"/>
      <c r="N888" s="276"/>
      <c r="O888" s="276"/>
    </row>
    <row r="889">
      <c r="A889" s="275"/>
      <c r="B889" s="275"/>
      <c r="C889" s="275"/>
      <c r="D889" s="275"/>
      <c r="E889" s="276"/>
      <c r="F889" s="276"/>
      <c r="G889" s="277"/>
      <c r="H889" s="276"/>
      <c r="I889" s="276"/>
      <c r="J889" s="276"/>
      <c r="K889" s="276"/>
      <c r="L889" s="276"/>
      <c r="M889" s="276"/>
      <c r="N889" s="276"/>
      <c r="O889" s="276"/>
    </row>
    <row r="890">
      <c r="A890" s="275"/>
      <c r="B890" s="275"/>
      <c r="C890" s="275"/>
      <c r="D890" s="275"/>
      <c r="E890" s="276"/>
      <c r="F890" s="276"/>
      <c r="G890" s="277"/>
      <c r="H890" s="276"/>
      <c r="I890" s="276"/>
      <c r="J890" s="276"/>
      <c r="K890" s="276"/>
      <c r="L890" s="276"/>
      <c r="M890" s="276"/>
      <c r="N890" s="276"/>
      <c r="O890" s="276"/>
    </row>
    <row r="891">
      <c r="A891" s="275"/>
      <c r="B891" s="275"/>
      <c r="C891" s="275"/>
      <c r="D891" s="275"/>
      <c r="E891" s="276"/>
      <c r="F891" s="276"/>
      <c r="G891" s="277"/>
      <c r="H891" s="276"/>
      <c r="I891" s="276"/>
      <c r="J891" s="276"/>
      <c r="K891" s="276"/>
      <c r="L891" s="276"/>
      <c r="M891" s="276"/>
      <c r="N891" s="276"/>
      <c r="O891" s="276"/>
    </row>
    <row r="892">
      <c r="A892" s="275"/>
      <c r="B892" s="275"/>
      <c r="C892" s="275"/>
      <c r="D892" s="275"/>
      <c r="E892" s="276"/>
      <c r="F892" s="276"/>
      <c r="G892" s="277"/>
      <c r="H892" s="276"/>
      <c r="I892" s="276"/>
      <c r="J892" s="276"/>
      <c r="K892" s="276"/>
      <c r="L892" s="276"/>
      <c r="M892" s="276"/>
      <c r="N892" s="276"/>
      <c r="O892" s="276"/>
    </row>
    <row r="893">
      <c r="A893" s="275"/>
      <c r="B893" s="275"/>
      <c r="C893" s="275"/>
      <c r="D893" s="275"/>
      <c r="E893" s="276"/>
      <c r="F893" s="276"/>
      <c r="G893" s="277"/>
      <c r="H893" s="276"/>
      <c r="I893" s="276"/>
      <c r="J893" s="276"/>
      <c r="K893" s="276"/>
      <c r="L893" s="276"/>
      <c r="M893" s="276"/>
      <c r="N893" s="276"/>
      <c r="O893" s="276"/>
    </row>
    <row r="894">
      <c r="A894" s="275"/>
      <c r="B894" s="275"/>
      <c r="C894" s="275"/>
      <c r="D894" s="275"/>
      <c r="E894" s="276"/>
      <c r="F894" s="276"/>
      <c r="G894" s="277"/>
      <c r="H894" s="276"/>
      <c r="I894" s="276"/>
      <c r="J894" s="276"/>
      <c r="K894" s="276"/>
      <c r="L894" s="276"/>
      <c r="M894" s="276"/>
      <c r="N894" s="276"/>
      <c r="O894" s="276"/>
    </row>
    <row r="895">
      <c r="A895" s="275"/>
      <c r="B895" s="275"/>
      <c r="C895" s="275"/>
      <c r="D895" s="275"/>
      <c r="E895" s="276"/>
      <c r="F895" s="276"/>
      <c r="G895" s="277"/>
      <c r="H895" s="276"/>
      <c r="I895" s="276"/>
      <c r="J895" s="276"/>
      <c r="K895" s="276"/>
      <c r="L895" s="276"/>
      <c r="M895" s="276"/>
      <c r="N895" s="276"/>
      <c r="O895" s="276"/>
    </row>
    <row r="896">
      <c r="A896" s="275"/>
      <c r="B896" s="275"/>
      <c r="C896" s="275"/>
      <c r="D896" s="275"/>
      <c r="E896" s="276"/>
      <c r="F896" s="276"/>
      <c r="G896" s="277"/>
      <c r="H896" s="276"/>
      <c r="I896" s="276"/>
      <c r="J896" s="276"/>
      <c r="K896" s="276"/>
      <c r="L896" s="276"/>
      <c r="M896" s="276"/>
      <c r="N896" s="276"/>
      <c r="O896" s="276"/>
    </row>
    <row r="897">
      <c r="A897" s="275"/>
      <c r="B897" s="275"/>
      <c r="C897" s="275"/>
      <c r="D897" s="275"/>
      <c r="E897" s="276"/>
      <c r="F897" s="276"/>
      <c r="G897" s="277"/>
      <c r="H897" s="276"/>
      <c r="I897" s="276"/>
      <c r="J897" s="276"/>
      <c r="K897" s="276"/>
      <c r="L897" s="276"/>
      <c r="M897" s="276"/>
      <c r="N897" s="276"/>
      <c r="O897" s="276"/>
    </row>
    <row r="898">
      <c r="A898" s="275"/>
      <c r="B898" s="275"/>
      <c r="C898" s="275"/>
      <c r="D898" s="275"/>
      <c r="E898" s="276"/>
      <c r="F898" s="276"/>
      <c r="G898" s="277"/>
      <c r="H898" s="276"/>
      <c r="I898" s="276"/>
      <c r="J898" s="276"/>
      <c r="K898" s="276"/>
      <c r="L898" s="276"/>
      <c r="M898" s="276"/>
      <c r="N898" s="276"/>
      <c r="O898" s="276"/>
    </row>
    <row r="899">
      <c r="A899" s="275"/>
      <c r="B899" s="275"/>
      <c r="C899" s="275"/>
      <c r="D899" s="275"/>
      <c r="E899" s="276"/>
      <c r="F899" s="276"/>
      <c r="G899" s="277"/>
      <c r="H899" s="276"/>
      <c r="I899" s="276"/>
      <c r="J899" s="276"/>
      <c r="K899" s="276"/>
      <c r="L899" s="276"/>
      <c r="M899" s="276"/>
      <c r="N899" s="276"/>
      <c r="O899" s="276"/>
    </row>
    <row r="900">
      <c r="A900" s="275"/>
      <c r="B900" s="275"/>
      <c r="C900" s="275"/>
      <c r="D900" s="275"/>
      <c r="E900" s="276"/>
      <c r="F900" s="276"/>
      <c r="G900" s="277"/>
      <c r="H900" s="276"/>
      <c r="I900" s="276"/>
      <c r="J900" s="276"/>
      <c r="K900" s="276"/>
      <c r="L900" s="276"/>
      <c r="M900" s="276"/>
      <c r="N900" s="276"/>
      <c r="O900" s="276"/>
    </row>
    <row r="901">
      <c r="A901" s="275"/>
      <c r="B901" s="275"/>
      <c r="C901" s="275"/>
      <c r="D901" s="275"/>
      <c r="E901" s="276"/>
      <c r="F901" s="276"/>
      <c r="G901" s="277"/>
      <c r="H901" s="276"/>
      <c r="I901" s="276"/>
      <c r="J901" s="276"/>
      <c r="K901" s="276"/>
      <c r="L901" s="276"/>
      <c r="M901" s="276"/>
      <c r="N901" s="276"/>
      <c r="O901" s="276"/>
    </row>
    <row r="902">
      <c r="A902" s="275"/>
      <c r="B902" s="275"/>
      <c r="C902" s="275"/>
      <c r="D902" s="275"/>
      <c r="E902" s="276"/>
      <c r="F902" s="276"/>
      <c r="G902" s="277"/>
      <c r="H902" s="276"/>
      <c r="I902" s="276"/>
      <c r="J902" s="276"/>
      <c r="K902" s="276"/>
      <c r="L902" s="276"/>
      <c r="M902" s="276"/>
      <c r="N902" s="276"/>
      <c r="O902" s="276"/>
    </row>
    <row r="903">
      <c r="A903" s="275"/>
      <c r="B903" s="275"/>
      <c r="C903" s="275"/>
      <c r="D903" s="275"/>
      <c r="E903" s="276"/>
      <c r="F903" s="276"/>
      <c r="G903" s="277"/>
      <c r="H903" s="276"/>
      <c r="I903" s="276"/>
      <c r="J903" s="276"/>
      <c r="K903" s="276"/>
      <c r="L903" s="276"/>
      <c r="M903" s="276"/>
      <c r="N903" s="276"/>
      <c r="O903" s="276"/>
    </row>
    <row r="904">
      <c r="A904" s="275"/>
      <c r="B904" s="275"/>
      <c r="C904" s="275"/>
      <c r="D904" s="275"/>
      <c r="E904" s="276"/>
      <c r="F904" s="276"/>
      <c r="G904" s="277"/>
      <c r="H904" s="276"/>
      <c r="I904" s="276"/>
      <c r="J904" s="276"/>
      <c r="K904" s="276"/>
      <c r="L904" s="276"/>
      <c r="M904" s="276"/>
      <c r="N904" s="276"/>
      <c r="O904" s="276"/>
    </row>
    <row r="905">
      <c r="A905" s="275"/>
      <c r="B905" s="275"/>
      <c r="C905" s="275"/>
      <c r="D905" s="275"/>
      <c r="E905" s="276"/>
      <c r="F905" s="276"/>
      <c r="G905" s="277"/>
      <c r="H905" s="276"/>
      <c r="I905" s="276"/>
      <c r="J905" s="276"/>
      <c r="K905" s="276"/>
      <c r="L905" s="276"/>
      <c r="M905" s="276"/>
      <c r="N905" s="276"/>
      <c r="O905" s="276"/>
    </row>
    <row r="906">
      <c r="A906" s="275"/>
      <c r="B906" s="275"/>
      <c r="C906" s="275"/>
      <c r="D906" s="275"/>
      <c r="E906" s="276"/>
      <c r="F906" s="276"/>
      <c r="G906" s="277"/>
      <c r="H906" s="276"/>
      <c r="I906" s="276"/>
      <c r="J906" s="276"/>
      <c r="K906" s="276"/>
      <c r="L906" s="276"/>
      <c r="M906" s="276"/>
      <c r="N906" s="276"/>
      <c r="O906" s="276"/>
    </row>
    <row r="907">
      <c r="A907" s="275"/>
      <c r="B907" s="275"/>
      <c r="C907" s="275"/>
      <c r="D907" s="275"/>
      <c r="E907" s="276"/>
      <c r="F907" s="276"/>
      <c r="G907" s="277"/>
      <c r="H907" s="276"/>
      <c r="I907" s="276"/>
      <c r="J907" s="276"/>
      <c r="K907" s="276"/>
      <c r="L907" s="276"/>
      <c r="M907" s="276"/>
      <c r="N907" s="276"/>
      <c r="O907" s="276"/>
    </row>
    <row r="908">
      <c r="A908" s="275"/>
      <c r="B908" s="275"/>
      <c r="C908" s="275"/>
      <c r="D908" s="275"/>
      <c r="E908" s="276"/>
      <c r="F908" s="276"/>
      <c r="G908" s="277"/>
      <c r="H908" s="276"/>
      <c r="I908" s="276"/>
      <c r="J908" s="276"/>
      <c r="K908" s="276"/>
      <c r="L908" s="276"/>
      <c r="M908" s="276"/>
      <c r="N908" s="276"/>
      <c r="O908" s="276"/>
    </row>
    <row r="909">
      <c r="A909" s="275"/>
      <c r="B909" s="275"/>
      <c r="C909" s="275"/>
      <c r="D909" s="275"/>
      <c r="E909" s="276"/>
      <c r="F909" s="276"/>
      <c r="G909" s="277"/>
      <c r="H909" s="276"/>
      <c r="I909" s="276"/>
      <c r="J909" s="276"/>
      <c r="K909" s="276"/>
      <c r="L909" s="276"/>
      <c r="M909" s="276"/>
      <c r="N909" s="276"/>
      <c r="O909" s="276"/>
    </row>
    <row r="910">
      <c r="A910" s="275"/>
      <c r="B910" s="275"/>
      <c r="C910" s="275"/>
      <c r="D910" s="275"/>
      <c r="E910" s="276"/>
      <c r="F910" s="276"/>
      <c r="G910" s="277"/>
      <c r="H910" s="276"/>
      <c r="I910" s="276"/>
      <c r="J910" s="276"/>
      <c r="K910" s="276"/>
      <c r="L910" s="276"/>
      <c r="M910" s="276"/>
      <c r="N910" s="276"/>
      <c r="O910" s="276"/>
    </row>
    <row r="911">
      <c r="A911" s="275"/>
      <c r="B911" s="275"/>
      <c r="C911" s="275"/>
      <c r="D911" s="275"/>
      <c r="E911" s="276"/>
      <c r="F911" s="276"/>
      <c r="G911" s="277"/>
      <c r="H911" s="276"/>
      <c r="I911" s="276"/>
      <c r="J911" s="276"/>
      <c r="K911" s="276"/>
      <c r="L911" s="276"/>
      <c r="M911" s="276"/>
      <c r="N911" s="276"/>
      <c r="O911" s="276"/>
    </row>
    <row r="912">
      <c r="A912" s="275"/>
      <c r="B912" s="275"/>
      <c r="C912" s="275"/>
      <c r="D912" s="275"/>
      <c r="E912" s="276"/>
      <c r="F912" s="276"/>
      <c r="G912" s="277"/>
      <c r="H912" s="276"/>
      <c r="I912" s="276"/>
      <c r="J912" s="276"/>
      <c r="K912" s="276"/>
      <c r="L912" s="276"/>
      <c r="M912" s="276"/>
      <c r="N912" s="276"/>
      <c r="O912" s="276"/>
    </row>
    <row r="913">
      <c r="A913" s="275"/>
      <c r="B913" s="275"/>
      <c r="C913" s="275"/>
      <c r="D913" s="275"/>
      <c r="E913" s="276"/>
      <c r="F913" s="276"/>
      <c r="G913" s="277"/>
      <c r="H913" s="276"/>
      <c r="I913" s="276"/>
      <c r="J913" s="276"/>
      <c r="K913" s="276"/>
      <c r="L913" s="276"/>
      <c r="M913" s="276"/>
      <c r="N913" s="276"/>
      <c r="O913" s="276"/>
    </row>
    <row r="914">
      <c r="A914" s="275"/>
      <c r="B914" s="275"/>
      <c r="C914" s="275"/>
      <c r="D914" s="275"/>
      <c r="E914" s="276"/>
      <c r="F914" s="276"/>
      <c r="G914" s="277"/>
      <c r="H914" s="276"/>
      <c r="I914" s="276"/>
      <c r="J914" s="276"/>
      <c r="K914" s="276"/>
      <c r="L914" s="276"/>
      <c r="M914" s="276"/>
      <c r="N914" s="276"/>
      <c r="O914" s="276"/>
    </row>
    <row r="915">
      <c r="A915" s="275"/>
      <c r="B915" s="275"/>
      <c r="C915" s="275"/>
      <c r="D915" s="275"/>
      <c r="E915" s="276"/>
      <c r="F915" s="276"/>
      <c r="G915" s="277"/>
      <c r="H915" s="276"/>
      <c r="I915" s="276"/>
      <c r="J915" s="276"/>
      <c r="K915" s="276"/>
      <c r="L915" s="276"/>
      <c r="M915" s="276"/>
      <c r="N915" s="276"/>
      <c r="O915" s="276"/>
    </row>
    <row r="916">
      <c r="A916" s="275"/>
      <c r="B916" s="275"/>
      <c r="C916" s="275"/>
      <c r="D916" s="275"/>
      <c r="E916" s="276"/>
      <c r="F916" s="276"/>
      <c r="G916" s="277"/>
      <c r="H916" s="276"/>
      <c r="I916" s="276"/>
      <c r="J916" s="276"/>
      <c r="K916" s="276"/>
      <c r="L916" s="276"/>
      <c r="M916" s="276"/>
      <c r="N916" s="276"/>
      <c r="O916" s="276"/>
    </row>
    <row r="917">
      <c r="A917" s="275"/>
      <c r="B917" s="275"/>
      <c r="C917" s="275"/>
      <c r="D917" s="275"/>
      <c r="E917" s="276"/>
      <c r="F917" s="276"/>
      <c r="G917" s="277"/>
      <c r="H917" s="276"/>
      <c r="I917" s="276"/>
      <c r="J917" s="276"/>
      <c r="K917" s="276"/>
      <c r="L917" s="276"/>
      <c r="M917" s="276"/>
      <c r="N917" s="276"/>
      <c r="O917" s="276"/>
    </row>
    <row r="918">
      <c r="A918" s="275"/>
      <c r="B918" s="275"/>
      <c r="C918" s="275"/>
      <c r="D918" s="275"/>
      <c r="E918" s="276"/>
      <c r="F918" s="276"/>
      <c r="G918" s="277"/>
      <c r="H918" s="276"/>
      <c r="I918" s="276"/>
      <c r="J918" s="276"/>
      <c r="K918" s="276"/>
      <c r="L918" s="276"/>
      <c r="M918" s="276"/>
      <c r="N918" s="276"/>
      <c r="O918" s="276"/>
    </row>
    <row r="919">
      <c r="A919" s="275"/>
      <c r="B919" s="275"/>
      <c r="C919" s="275"/>
      <c r="D919" s="275"/>
      <c r="E919" s="276"/>
      <c r="F919" s="276"/>
      <c r="G919" s="277"/>
      <c r="H919" s="276"/>
      <c r="I919" s="276"/>
      <c r="J919" s="276"/>
      <c r="K919" s="276"/>
      <c r="L919" s="276"/>
      <c r="M919" s="276"/>
      <c r="N919" s="276"/>
      <c r="O919" s="276"/>
    </row>
    <row r="920">
      <c r="A920" s="275"/>
      <c r="B920" s="275"/>
      <c r="C920" s="275"/>
      <c r="D920" s="275"/>
      <c r="E920" s="276"/>
      <c r="F920" s="276"/>
      <c r="G920" s="277"/>
      <c r="H920" s="276"/>
      <c r="I920" s="276"/>
      <c r="J920" s="276"/>
      <c r="K920" s="276"/>
      <c r="L920" s="276"/>
      <c r="M920" s="276"/>
      <c r="N920" s="276"/>
      <c r="O920" s="276"/>
    </row>
    <row r="921">
      <c r="A921" s="275"/>
      <c r="B921" s="275"/>
      <c r="C921" s="275"/>
      <c r="D921" s="275"/>
      <c r="E921" s="276"/>
      <c r="F921" s="276"/>
      <c r="G921" s="277"/>
      <c r="H921" s="276"/>
      <c r="I921" s="276"/>
      <c r="J921" s="276"/>
      <c r="K921" s="276"/>
      <c r="L921" s="276"/>
      <c r="M921" s="276"/>
      <c r="N921" s="276"/>
      <c r="O921" s="276"/>
    </row>
    <row r="922">
      <c r="A922" s="275"/>
      <c r="B922" s="275"/>
      <c r="C922" s="275"/>
      <c r="D922" s="275"/>
      <c r="E922" s="276"/>
      <c r="F922" s="276"/>
      <c r="G922" s="277"/>
      <c r="H922" s="276"/>
      <c r="I922" s="276"/>
      <c r="J922" s="276"/>
      <c r="K922" s="276"/>
      <c r="L922" s="276"/>
      <c r="M922" s="276"/>
      <c r="N922" s="276"/>
      <c r="O922" s="276"/>
    </row>
    <row r="923">
      <c r="A923" s="275"/>
      <c r="B923" s="275"/>
      <c r="C923" s="275"/>
      <c r="D923" s="275"/>
      <c r="E923" s="276"/>
      <c r="F923" s="276"/>
      <c r="G923" s="277"/>
      <c r="H923" s="276"/>
      <c r="I923" s="276"/>
      <c r="J923" s="276"/>
      <c r="K923" s="276"/>
      <c r="L923" s="276"/>
      <c r="M923" s="276"/>
      <c r="N923" s="276"/>
      <c r="O923" s="276"/>
    </row>
    <row r="924">
      <c r="A924" s="275"/>
      <c r="B924" s="275"/>
      <c r="C924" s="275"/>
      <c r="D924" s="275"/>
      <c r="E924" s="276"/>
      <c r="F924" s="276"/>
      <c r="G924" s="277"/>
      <c r="H924" s="276"/>
      <c r="I924" s="276"/>
      <c r="J924" s="276"/>
      <c r="K924" s="276"/>
      <c r="L924" s="276"/>
      <c r="M924" s="276"/>
      <c r="N924" s="276"/>
      <c r="O924" s="276"/>
    </row>
    <row r="925">
      <c r="A925" s="275"/>
      <c r="B925" s="275"/>
      <c r="C925" s="275"/>
      <c r="D925" s="275"/>
      <c r="E925" s="276"/>
      <c r="F925" s="276"/>
      <c r="G925" s="277"/>
      <c r="H925" s="276"/>
      <c r="I925" s="276"/>
      <c r="J925" s="276"/>
      <c r="K925" s="276"/>
      <c r="L925" s="276"/>
      <c r="M925" s="276"/>
      <c r="N925" s="276"/>
      <c r="O925" s="276"/>
    </row>
    <row r="926">
      <c r="A926" s="275"/>
      <c r="B926" s="275"/>
      <c r="C926" s="275"/>
      <c r="D926" s="275"/>
      <c r="E926" s="276"/>
      <c r="F926" s="276"/>
      <c r="G926" s="277"/>
      <c r="H926" s="276"/>
      <c r="I926" s="276"/>
      <c r="J926" s="276"/>
      <c r="K926" s="276"/>
      <c r="L926" s="276"/>
      <c r="M926" s="276"/>
      <c r="N926" s="276"/>
      <c r="O926" s="276"/>
    </row>
    <row r="927">
      <c r="A927" s="275"/>
      <c r="B927" s="275"/>
      <c r="C927" s="275"/>
      <c r="D927" s="275"/>
      <c r="E927" s="276"/>
      <c r="F927" s="276"/>
      <c r="G927" s="277"/>
      <c r="H927" s="276"/>
      <c r="I927" s="276"/>
      <c r="J927" s="276"/>
      <c r="K927" s="276"/>
      <c r="L927" s="276"/>
      <c r="M927" s="276"/>
      <c r="N927" s="276"/>
      <c r="O927" s="276"/>
    </row>
    <row r="928">
      <c r="A928" s="275"/>
      <c r="B928" s="275"/>
      <c r="C928" s="275"/>
      <c r="D928" s="275"/>
      <c r="E928" s="276"/>
      <c r="F928" s="276"/>
      <c r="G928" s="277"/>
      <c r="H928" s="276"/>
      <c r="I928" s="276"/>
      <c r="J928" s="276"/>
      <c r="K928" s="276"/>
      <c r="L928" s="276"/>
      <c r="M928" s="276"/>
      <c r="N928" s="276"/>
      <c r="O928" s="276"/>
    </row>
    <row r="929">
      <c r="A929" s="275"/>
      <c r="B929" s="275"/>
      <c r="C929" s="275"/>
      <c r="D929" s="275"/>
      <c r="E929" s="276"/>
      <c r="F929" s="276"/>
      <c r="G929" s="277"/>
      <c r="H929" s="276"/>
      <c r="I929" s="276"/>
      <c r="J929" s="276"/>
      <c r="K929" s="276"/>
      <c r="L929" s="276"/>
      <c r="M929" s="276"/>
      <c r="N929" s="276"/>
      <c r="O929" s="276"/>
    </row>
    <row r="930">
      <c r="A930" s="275"/>
      <c r="B930" s="275"/>
      <c r="C930" s="275"/>
      <c r="D930" s="275"/>
      <c r="E930" s="276"/>
      <c r="F930" s="276"/>
      <c r="G930" s="277"/>
      <c r="H930" s="276"/>
      <c r="I930" s="276"/>
      <c r="J930" s="276"/>
      <c r="K930" s="276"/>
      <c r="L930" s="276"/>
      <c r="M930" s="276"/>
      <c r="N930" s="276"/>
      <c r="O930" s="276"/>
    </row>
    <row r="931">
      <c r="A931" s="275"/>
      <c r="B931" s="275"/>
      <c r="C931" s="275"/>
      <c r="D931" s="275"/>
      <c r="E931" s="276"/>
      <c r="F931" s="276"/>
      <c r="G931" s="277"/>
      <c r="H931" s="276"/>
      <c r="I931" s="276"/>
      <c r="J931" s="276"/>
      <c r="K931" s="276"/>
      <c r="L931" s="276"/>
      <c r="M931" s="276"/>
      <c r="N931" s="276"/>
      <c r="O931" s="276"/>
    </row>
    <row r="932">
      <c r="A932" s="275"/>
      <c r="B932" s="275"/>
      <c r="C932" s="275"/>
      <c r="D932" s="275"/>
      <c r="E932" s="276"/>
      <c r="F932" s="276"/>
      <c r="G932" s="277"/>
      <c r="H932" s="276"/>
      <c r="I932" s="276"/>
      <c r="J932" s="276"/>
      <c r="K932" s="276"/>
      <c r="L932" s="276"/>
      <c r="M932" s="276"/>
      <c r="N932" s="276"/>
      <c r="O932" s="276"/>
    </row>
    <row r="933">
      <c r="A933" s="275"/>
      <c r="B933" s="275"/>
      <c r="C933" s="275"/>
      <c r="D933" s="275"/>
      <c r="E933" s="276"/>
      <c r="F933" s="276"/>
      <c r="G933" s="277"/>
      <c r="H933" s="276"/>
      <c r="I933" s="276"/>
      <c r="J933" s="276"/>
      <c r="K933" s="276"/>
      <c r="L933" s="276"/>
      <c r="M933" s="276"/>
      <c r="N933" s="276"/>
      <c r="O933" s="276"/>
    </row>
    <row r="934">
      <c r="A934" s="275"/>
      <c r="B934" s="275"/>
      <c r="C934" s="275"/>
      <c r="D934" s="275"/>
      <c r="E934" s="276"/>
      <c r="F934" s="276"/>
      <c r="G934" s="277"/>
      <c r="H934" s="276"/>
      <c r="I934" s="276"/>
      <c r="J934" s="276"/>
      <c r="K934" s="276"/>
      <c r="L934" s="276"/>
      <c r="M934" s="276"/>
      <c r="N934" s="276"/>
      <c r="O934" s="276"/>
    </row>
    <row r="935">
      <c r="A935" s="275"/>
      <c r="B935" s="275"/>
      <c r="C935" s="275"/>
      <c r="D935" s="275"/>
      <c r="E935" s="276"/>
      <c r="F935" s="276"/>
      <c r="G935" s="277"/>
      <c r="H935" s="276"/>
      <c r="I935" s="276"/>
      <c r="J935" s="276"/>
      <c r="K935" s="276"/>
      <c r="L935" s="276"/>
      <c r="M935" s="276"/>
      <c r="N935" s="276"/>
      <c r="O935" s="276"/>
    </row>
    <row r="936">
      <c r="A936" s="275"/>
      <c r="B936" s="275"/>
      <c r="C936" s="275"/>
      <c r="D936" s="275"/>
      <c r="E936" s="276"/>
      <c r="F936" s="276"/>
      <c r="G936" s="277"/>
      <c r="H936" s="276"/>
      <c r="I936" s="276"/>
      <c r="J936" s="276"/>
      <c r="K936" s="276"/>
      <c r="L936" s="276"/>
      <c r="M936" s="276"/>
      <c r="N936" s="276"/>
      <c r="O936" s="276"/>
    </row>
    <row r="937">
      <c r="A937" s="275"/>
      <c r="B937" s="275"/>
      <c r="C937" s="275"/>
      <c r="D937" s="275"/>
      <c r="E937" s="276"/>
      <c r="F937" s="276"/>
      <c r="G937" s="277"/>
      <c r="H937" s="276"/>
      <c r="I937" s="276"/>
      <c r="J937" s="276"/>
      <c r="K937" s="276"/>
      <c r="L937" s="276"/>
      <c r="M937" s="276"/>
      <c r="N937" s="276"/>
      <c r="O937" s="276"/>
    </row>
    <row r="938">
      <c r="A938" s="275"/>
      <c r="B938" s="275"/>
      <c r="C938" s="275"/>
      <c r="D938" s="275"/>
      <c r="E938" s="276"/>
      <c r="F938" s="276"/>
      <c r="G938" s="277"/>
      <c r="H938" s="276"/>
      <c r="I938" s="276"/>
      <c r="J938" s="276"/>
      <c r="K938" s="276"/>
      <c r="L938" s="276"/>
      <c r="M938" s="276"/>
      <c r="N938" s="276"/>
      <c r="O938" s="276"/>
    </row>
    <row r="939">
      <c r="A939" s="275"/>
      <c r="B939" s="275"/>
      <c r="C939" s="275"/>
      <c r="D939" s="275"/>
      <c r="E939" s="276"/>
      <c r="F939" s="276"/>
      <c r="G939" s="277"/>
      <c r="H939" s="276"/>
      <c r="I939" s="276"/>
      <c r="J939" s="276"/>
      <c r="K939" s="276"/>
      <c r="L939" s="276"/>
      <c r="M939" s="276"/>
      <c r="N939" s="276"/>
      <c r="O939" s="276"/>
    </row>
    <row r="940">
      <c r="A940" s="275"/>
      <c r="B940" s="275"/>
      <c r="C940" s="275"/>
      <c r="D940" s="275"/>
      <c r="E940" s="276"/>
      <c r="F940" s="276"/>
      <c r="G940" s="277"/>
      <c r="H940" s="276"/>
      <c r="I940" s="276"/>
      <c r="J940" s="276"/>
      <c r="K940" s="276"/>
      <c r="L940" s="276"/>
      <c r="M940" s="276"/>
      <c r="N940" s="276"/>
      <c r="O940" s="276"/>
    </row>
    <row r="941">
      <c r="A941" s="275"/>
      <c r="B941" s="275"/>
      <c r="C941" s="275"/>
      <c r="D941" s="275"/>
      <c r="E941" s="276"/>
      <c r="F941" s="276"/>
      <c r="G941" s="277"/>
      <c r="H941" s="276"/>
      <c r="I941" s="276"/>
      <c r="J941" s="276"/>
      <c r="K941" s="276"/>
      <c r="L941" s="276"/>
      <c r="M941" s="276"/>
      <c r="N941" s="276"/>
      <c r="O941" s="276"/>
    </row>
    <row r="942">
      <c r="A942" s="275"/>
      <c r="B942" s="275"/>
      <c r="C942" s="275"/>
      <c r="D942" s="275"/>
      <c r="E942" s="276"/>
      <c r="F942" s="276"/>
      <c r="G942" s="277"/>
      <c r="H942" s="276"/>
      <c r="I942" s="276"/>
      <c r="J942" s="276"/>
      <c r="K942" s="276"/>
      <c r="L942" s="276"/>
      <c r="M942" s="276"/>
      <c r="N942" s="276"/>
      <c r="O942" s="276"/>
    </row>
    <row r="943">
      <c r="A943" s="275"/>
      <c r="B943" s="275"/>
      <c r="C943" s="275"/>
      <c r="D943" s="275"/>
      <c r="E943" s="276"/>
      <c r="F943" s="276"/>
      <c r="G943" s="277"/>
      <c r="H943" s="276"/>
      <c r="I943" s="276"/>
      <c r="J943" s="276"/>
      <c r="K943" s="276"/>
      <c r="L943" s="276"/>
      <c r="M943" s="276"/>
      <c r="N943" s="276"/>
      <c r="O943" s="276"/>
    </row>
    <row r="944">
      <c r="A944" s="275"/>
      <c r="B944" s="275"/>
      <c r="C944" s="275"/>
      <c r="D944" s="275"/>
      <c r="E944" s="276"/>
      <c r="F944" s="276"/>
      <c r="G944" s="277"/>
      <c r="H944" s="276"/>
      <c r="I944" s="276"/>
      <c r="J944" s="276"/>
      <c r="K944" s="276"/>
      <c r="L944" s="276"/>
      <c r="M944" s="276"/>
      <c r="N944" s="276"/>
      <c r="O944" s="276"/>
    </row>
    <row r="945">
      <c r="A945" s="275"/>
      <c r="B945" s="275"/>
      <c r="C945" s="275"/>
      <c r="D945" s="275"/>
      <c r="E945" s="276"/>
      <c r="F945" s="276"/>
      <c r="G945" s="277"/>
      <c r="H945" s="276"/>
      <c r="I945" s="276"/>
      <c r="J945" s="276"/>
      <c r="K945" s="276"/>
      <c r="L945" s="276"/>
      <c r="M945" s="276"/>
      <c r="N945" s="276"/>
      <c r="O945" s="276"/>
    </row>
    <row r="946">
      <c r="A946" s="275"/>
      <c r="B946" s="275"/>
      <c r="C946" s="275"/>
      <c r="D946" s="275"/>
      <c r="E946" s="276"/>
      <c r="F946" s="276"/>
      <c r="G946" s="277"/>
      <c r="H946" s="276"/>
      <c r="I946" s="276"/>
      <c r="J946" s="276"/>
      <c r="K946" s="276"/>
      <c r="L946" s="276"/>
      <c r="M946" s="276"/>
      <c r="N946" s="276"/>
      <c r="O946" s="276"/>
    </row>
    <row r="947">
      <c r="A947" s="275"/>
      <c r="B947" s="275"/>
      <c r="C947" s="275"/>
      <c r="D947" s="275"/>
      <c r="E947" s="276"/>
      <c r="F947" s="276"/>
      <c r="G947" s="277"/>
      <c r="H947" s="276"/>
      <c r="I947" s="276"/>
      <c r="J947" s="276"/>
      <c r="K947" s="276"/>
      <c r="L947" s="276"/>
      <c r="M947" s="276"/>
      <c r="N947" s="276"/>
      <c r="O947" s="276"/>
    </row>
    <row r="948">
      <c r="A948" s="275"/>
      <c r="B948" s="275"/>
      <c r="C948" s="275"/>
      <c r="D948" s="275"/>
      <c r="E948" s="276"/>
      <c r="F948" s="276"/>
      <c r="G948" s="277"/>
      <c r="H948" s="276"/>
      <c r="I948" s="276"/>
      <c r="J948" s="276"/>
      <c r="K948" s="276"/>
      <c r="L948" s="276"/>
      <c r="M948" s="276"/>
      <c r="N948" s="276"/>
      <c r="O948" s="276"/>
    </row>
    <row r="949">
      <c r="A949" s="275"/>
      <c r="B949" s="275"/>
      <c r="C949" s="275"/>
      <c r="D949" s="275"/>
      <c r="E949" s="276"/>
      <c r="F949" s="276"/>
      <c r="G949" s="277"/>
      <c r="H949" s="276"/>
      <c r="I949" s="276"/>
      <c r="J949" s="276"/>
      <c r="K949" s="276"/>
      <c r="L949" s="276"/>
      <c r="M949" s="276"/>
      <c r="N949" s="276"/>
      <c r="O949" s="276"/>
    </row>
    <row r="950">
      <c r="A950" s="275"/>
      <c r="B950" s="275"/>
      <c r="C950" s="275"/>
      <c r="D950" s="275"/>
      <c r="E950" s="276"/>
      <c r="F950" s="276"/>
      <c r="G950" s="277"/>
      <c r="H950" s="276"/>
      <c r="I950" s="276"/>
      <c r="J950" s="276"/>
      <c r="K950" s="276"/>
      <c r="L950" s="276"/>
      <c r="M950" s="276"/>
      <c r="N950" s="276"/>
      <c r="O950" s="276"/>
    </row>
    <row r="951">
      <c r="A951" s="275"/>
      <c r="B951" s="275"/>
      <c r="C951" s="275"/>
      <c r="D951" s="275"/>
      <c r="E951" s="276"/>
      <c r="F951" s="276"/>
      <c r="G951" s="277"/>
      <c r="H951" s="276"/>
      <c r="I951" s="276"/>
      <c r="J951" s="276"/>
      <c r="K951" s="276"/>
      <c r="L951" s="276"/>
      <c r="M951" s="276"/>
      <c r="N951" s="276"/>
      <c r="O951" s="276"/>
    </row>
    <row r="952">
      <c r="A952" s="275"/>
      <c r="B952" s="275"/>
      <c r="C952" s="275"/>
      <c r="D952" s="275"/>
      <c r="E952" s="276"/>
      <c r="F952" s="276"/>
      <c r="G952" s="277"/>
      <c r="H952" s="276"/>
      <c r="I952" s="276"/>
      <c r="J952" s="276"/>
      <c r="K952" s="276"/>
      <c r="L952" s="276"/>
      <c r="M952" s="276"/>
      <c r="N952" s="276"/>
      <c r="O952" s="276"/>
    </row>
    <row r="953">
      <c r="A953" s="275"/>
      <c r="B953" s="275"/>
      <c r="C953" s="275"/>
      <c r="D953" s="275"/>
      <c r="E953" s="276"/>
      <c r="F953" s="276"/>
      <c r="G953" s="277"/>
      <c r="H953" s="276"/>
      <c r="I953" s="276"/>
      <c r="J953" s="276"/>
      <c r="K953" s="276"/>
      <c r="L953" s="276"/>
      <c r="M953" s="276"/>
      <c r="N953" s="276"/>
      <c r="O953" s="276"/>
    </row>
    <row r="954">
      <c r="A954" s="275"/>
      <c r="B954" s="275"/>
      <c r="C954" s="275"/>
      <c r="D954" s="275"/>
      <c r="E954" s="276"/>
      <c r="F954" s="276"/>
      <c r="G954" s="277"/>
      <c r="H954" s="276"/>
      <c r="I954" s="276"/>
      <c r="J954" s="276"/>
      <c r="K954" s="276"/>
      <c r="L954" s="276"/>
      <c r="M954" s="276"/>
      <c r="N954" s="276"/>
      <c r="O954" s="276"/>
    </row>
    <row r="955">
      <c r="A955" s="275"/>
      <c r="B955" s="275"/>
      <c r="C955" s="275"/>
      <c r="D955" s="275"/>
      <c r="E955" s="276"/>
      <c r="F955" s="276"/>
      <c r="G955" s="277"/>
      <c r="H955" s="276"/>
      <c r="I955" s="276"/>
      <c r="J955" s="276"/>
      <c r="K955" s="276"/>
      <c r="L955" s="276"/>
      <c r="M955" s="276"/>
      <c r="N955" s="276"/>
      <c r="O955" s="276"/>
    </row>
    <row r="956">
      <c r="A956" s="275"/>
      <c r="B956" s="275"/>
      <c r="C956" s="275"/>
      <c r="D956" s="275"/>
      <c r="E956" s="276"/>
      <c r="F956" s="276"/>
      <c r="G956" s="277"/>
      <c r="H956" s="276"/>
      <c r="I956" s="276"/>
      <c r="J956" s="276"/>
      <c r="K956" s="276"/>
      <c r="L956" s="276"/>
      <c r="M956" s="276"/>
      <c r="N956" s="276"/>
      <c r="O956" s="276"/>
    </row>
    <row r="957">
      <c r="A957" s="275"/>
      <c r="B957" s="275"/>
      <c r="C957" s="275"/>
      <c r="D957" s="275"/>
      <c r="E957" s="276"/>
      <c r="F957" s="276"/>
      <c r="G957" s="277"/>
      <c r="H957" s="276"/>
      <c r="I957" s="276"/>
      <c r="J957" s="276"/>
      <c r="K957" s="276"/>
      <c r="L957" s="276"/>
      <c r="M957" s="276"/>
      <c r="N957" s="276"/>
      <c r="O957" s="276"/>
    </row>
    <row r="958">
      <c r="A958" s="275"/>
      <c r="B958" s="275"/>
      <c r="C958" s="275"/>
      <c r="D958" s="275"/>
      <c r="E958" s="276"/>
      <c r="F958" s="276"/>
      <c r="G958" s="277"/>
      <c r="H958" s="276"/>
      <c r="I958" s="276"/>
      <c r="J958" s="276"/>
      <c r="K958" s="276"/>
      <c r="L958" s="276"/>
      <c r="M958" s="276"/>
      <c r="N958" s="276"/>
      <c r="O958" s="276"/>
    </row>
    <row r="959">
      <c r="A959" s="275"/>
      <c r="B959" s="275"/>
      <c r="C959" s="275"/>
      <c r="D959" s="275"/>
      <c r="E959" s="276"/>
      <c r="F959" s="276"/>
      <c r="G959" s="277"/>
      <c r="H959" s="276"/>
      <c r="I959" s="276"/>
      <c r="J959" s="276"/>
      <c r="K959" s="276"/>
      <c r="L959" s="276"/>
      <c r="M959" s="276"/>
      <c r="N959" s="276"/>
      <c r="O959" s="276"/>
    </row>
    <row r="960">
      <c r="A960" s="275"/>
      <c r="B960" s="275"/>
      <c r="C960" s="275"/>
      <c r="D960" s="275"/>
      <c r="E960" s="276"/>
      <c r="F960" s="276"/>
      <c r="G960" s="277"/>
      <c r="H960" s="276"/>
      <c r="I960" s="276"/>
      <c r="J960" s="276"/>
      <c r="K960" s="276"/>
      <c r="L960" s="276"/>
      <c r="M960" s="276"/>
      <c r="N960" s="276"/>
      <c r="O960" s="276"/>
    </row>
    <row r="961">
      <c r="A961" s="275"/>
      <c r="B961" s="275"/>
      <c r="C961" s="275"/>
      <c r="D961" s="275"/>
      <c r="E961" s="276"/>
      <c r="F961" s="276"/>
      <c r="G961" s="277"/>
      <c r="H961" s="276"/>
      <c r="I961" s="276"/>
      <c r="J961" s="276"/>
      <c r="K961" s="276"/>
      <c r="L961" s="276"/>
      <c r="M961" s="276"/>
      <c r="N961" s="276"/>
      <c r="O961" s="276"/>
    </row>
    <row r="962">
      <c r="A962" s="275"/>
      <c r="B962" s="275"/>
      <c r="C962" s="275"/>
      <c r="D962" s="275"/>
      <c r="E962" s="276"/>
      <c r="F962" s="276"/>
      <c r="G962" s="277"/>
      <c r="H962" s="276"/>
      <c r="I962" s="276"/>
      <c r="J962" s="276"/>
      <c r="K962" s="276"/>
      <c r="L962" s="276"/>
      <c r="M962" s="276"/>
      <c r="N962" s="276"/>
      <c r="O962" s="276"/>
    </row>
    <row r="963">
      <c r="A963" s="275"/>
      <c r="B963" s="275"/>
      <c r="C963" s="275"/>
      <c r="D963" s="275"/>
      <c r="E963" s="276"/>
      <c r="F963" s="276"/>
      <c r="G963" s="277"/>
      <c r="H963" s="276"/>
      <c r="I963" s="276"/>
      <c r="J963" s="276"/>
      <c r="K963" s="276"/>
      <c r="L963" s="276"/>
      <c r="M963" s="276"/>
      <c r="N963" s="276"/>
      <c r="O963" s="276"/>
    </row>
    <row r="964">
      <c r="A964" s="275"/>
      <c r="B964" s="275"/>
      <c r="C964" s="275"/>
      <c r="D964" s="275"/>
      <c r="E964" s="276"/>
      <c r="F964" s="276"/>
      <c r="G964" s="277"/>
      <c r="H964" s="276"/>
      <c r="I964" s="276"/>
      <c r="J964" s="276"/>
      <c r="K964" s="276"/>
      <c r="L964" s="276"/>
      <c r="M964" s="276"/>
      <c r="N964" s="276"/>
      <c r="O964" s="276"/>
    </row>
    <row r="965">
      <c r="A965" s="275"/>
      <c r="B965" s="275"/>
      <c r="C965" s="275"/>
      <c r="D965" s="275"/>
      <c r="E965" s="276"/>
      <c r="F965" s="276"/>
      <c r="G965" s="277"/>
      <c r="H965" s="276"/>
      <c r="I965" s="276"/>
      <c r="J965" s="276"/>
      <c r="K965" s="276"/>
      <c r="L965" s="276"/>
      <c r="M965" s="276"/>
      <c r="N965" s="276"/>
      <c r="O965" s="276"/>
    </row>
    <row r="966">
      <c r="A966" s="275"/>
      <c r="B966" s="275"/>
      <c r="C966" s="275"/>
      <c r="D966" s="275"/>
      <c r="E966" s="276"/>
      <c r="F966" s="276"/>
      <c r="G966" s="277"/>
      <c r="H966" s="276"/>
      <c r="I966" s="276"/>
      <c r="J966" s="276"/>
      <c r="K966" s="276"/>
      <c r="L966" s="276"/>
      <c r="M966" s="276"/>
      <c r="N966" s="276"/>
      <c r="O966" s="276"/>
    </row>
    <row r="967">
      <c r="A967" s="275"/>
      <c r="B967" s="275"/>
      <c r="C967" s="275"/>
      <c r="D967" s="275"/>
      <c r="E967" s="276"/>
      <c r="F967" s="276"/>
      <c r="G967" s="277"/>
      <c r="H967" s="276"/>
      <c r="I967" s="276"/>
      <c r="J967" s="276"/>
      <c r="K967" s="276"/>
      <c r="L967" s="276"/>
      <c r="M967" s="276"/>
      <c r="N967" s="276"/>
      <c r="O967" s="276"/>
    </row>
    <row r="968">
      <c r="A968" s="275"/>
      <c r="B968" s="275"/>
      <c r="C968" s="275"/>
      <c r="D968" s="275"/>
      <c r="E968" s="276"/>
      <c r="F968" s="276"/>
      <c r="G968" s="277"/>
      <c r="H968" s="276"/>
      <c r="I968" s="276"/>
      <c r="J968" s="276"/>
      <c r="K968" s="276"/>
      <c r="L968" s="276"/>
      <c r="M968" s="276"/>
      <c r="N968" s="276"/>
      <c r="O968" s="276"/>
    </row>
    <row r="969">
      <c r="A969" s="275"/>
      <c r="B969" s="275"/>
      <c r="C969" s="275"/>
      <c r="D969" s="275"/>
      <c r="E969" s="276"/>
      <c r="F969" s="276"/>
      <c r="G969" s="277"/>
      <c r="H969" s="276"/>
      <c r="I969" s="276"/>
      <c r="J969" s="276"/>
      <c r="K969" s="276"/>
      <c r="L969" s="276"/>
      <c r="M969" s="276"/>
      <c r="N969" s="276"/>
      <c r="O969" s="276"/>
    </row>
    <row r="970">
      <c r="A970" s="275"/>
      <c r="B970" s="275"/>
      <c r="C970" s="275"/>
      <c r="D970" s="275"/>
      <c r="E970" s="276"/>
      <c r="F970" s="276"/>
      <c r="G970" s="277"/>
      <c r="H970" s="276"/>
      <c r="I970" s="276"/>
      <c r="J970" s="276"/>
      <c r="K970" s="276"/>
      <c r="L970" s="276"/>
      <c r="M970" s="276"/>
      <c r="N970" s="276"/>
      <c r="O970" s="276"/>
    </row>
    <row r="971">
      <c r="A971" s="275"/>
      <c r="B971" s="275"/>
      <c r="C971" s="275"/>
      <c r="D971" s="275"/>
      <c r="E971" s="276"/>
      <c r="F971" s="276"/>
      <c r="G971" s="277"/>
      <c r="H971" s="276"/>
      <c r="I971" s="276"/>
      <c r="J971" s="276"/>
      <c r="K971" s="276"/>
      <c r="L971" s="276"/>
      <c r="M971" s="276"/>
      <c r="N971" s="276"/>
      <c r="O971" s="276"/>
    </row>
    <row r="972">
      <c r="A972" s="275"/>
      <c r="B972" s="275"/>
      <c r="C972" s="275"/>
      <c r="D972" s="275"/>
      <c r="E972" s="276"/>
      <c r="F972" s="276"/>
      <c r="G972" s="277"/>
      <c r="H972" s="276"/>
      <c r="I972" s="276"/>
      <c r="J972" s="276"/>
      <c r="K972" s="276"/>
      <c r="L972" s="276"/>
      <c r="M972" s="276"/>
      <c r="N972" s="276"/>
      <c r="O972" s="276"/>
    </row>
    <row r="973">
      <c r="A973" s="275"/>
      <c r="B973" s="275"/>
      <c r="C973" s="275"/>
      <c r="D973" s="275"/>
      <c r="E973" s="276"/>
      <c r="F973" s="276"/>
      <c r="G973" s="277"/>
      <c r="H973" s="276"/>
      <c r="I973" s="276"/>
      <c r="J973" s="276"/>
      <c r="K973" s="276"/>
      <c r="L973" s="276"/>
      <c r="M973" s="276"/>
      <c r="N973" s="276"/>
      <c r="O973" s="276"/>
    </row>
    <row r="974">
      <c r="A974" s="275"/>
      <c r="B974" s="275"/>
      <c r="C974" s="275"/>
      <c r="D974" s="275"/>
      <c r="E974" s="276"/>
      <c r="F974" s="276"/>
      <c r="G974" s="277"/>
      <c r="H974" s="276"/>
      <c r="I974" s="276"/>
      <c r="J974" s="276"/>
      <c r="K974" s="276"/>
      <c r="L974" s="276"/>
      <c r="M974" s="276"/>
      <c r="N974" s="276"/>
      <c r="O974" s="276"/>
    </row>
    <row r="975">
      <c r="A975" s="275"/>
      <c r="B975" s="275"/>
      <c r="C975" s="275"/>
      <c r="D975" s="275"/>
      <c r="E975" s="276"/>
      <c r="F975" s="276"/>
      <c r="G975" s="277"/>
      <c r="H975" s="276"/>
      <c r="I975" s="276"/>
      <c r="J975" s="276"/>
      <c r="K975" s="276"/>
      <c r="L975" s="276"/>
      <c r="M975" s="276"/>
      <c r="N975" s="276"/>
      <c r="O975" s="276"/>
    </row>
    <row r="976">
      <c r="A976" s="275"/>
      <c r="B976" s="275"/>
      <c r="C976" s="275"/>
      <c r="D976" s="275"/>
      <c r="E976" s="276"/>
      <c r="F976" s="276"/>
      <c r="G976" s="277"/>
      <c r="H976" s="276"/>
      <c r="I976" s="276"/>
      <c r="J976" s="276"/>
      <c r="K976" s="276"/>
      <c r="L976" s="276"/>
      <c r="M976" s="276"/>
      <c r="N976" s="276"/>
      <c r="O976" s="276"/>
    </row>
    <row r="977">
      <c r="A977" s="275"/>
      <c r="B977" s="275"/>
      <c r="C977" s="275"/>
      <c r="D977" s="275"/>
      <c r="E977" s="276"/>
      <c r="F977" s="276"/>
      <c r="G977" s="277"/>
      <c r="H977" s="276"/>
      <c r="I977" s="276"/>
      <c r="J977" s="276"/>
      <c r="K977" s="276"/>
      <c r="L977" s="276"/>
      <c r="M977" s="276"/>
      <c r="N977" s="276"/>
      <c r="O977" s="276"/>
    </row>
    <row r="978">
      <c r="A978" s="275"/>
      <c r="B978" s="275"/>
      <c r="C978" s="275"/>
      <c r="D978" s="275"/>
      <c r="E978" s="276"/>
      <c r="F978" s="276"/>
      <c r="G978" s="277"/>
      <c r="H978" s="276"/>
      <c r="I978" s="276"/>
      <c r="J978" s="276"/>
      <c r="K978" s="276"/>
      <c r="L978" s="276"/>
      <c r="M978" s="276"/>
      <c r="N978" s="276"/>
      <c r="O978" s="276"/>
    </row>
    <row r="979">
      <c r="A979" s="275"/>
      <c r="B979" s="275"/>
      <c r="C979" s="275"/>
      <c r="D979" s="275"/>
      <c r="E979" s="276"/>
      <c r="F979" s="276"/>
      <c r="G979" s="277"/>
      <c r="H979" s="276"/>
      <c r="I979" s="276"/>
      <c r="J979" s="276"/>
      <c r="K979" s="276"/>
      <c r="L979" s="276"/>
      <c r="M979" s="276"/>
      <c r="N979" s="276"/>
      <c r="O979" s="276"/>
    </row>
    <row r="980">
      <c r="A980" s="275"/>
      <c r="B980" s="275"/>
      <c r="C980" s="275"/>
      <c r="D980" s="275"/>
      <c r="E980" s="276"/>
      <c r="F980" s="276"/>
      <c r="G980" s="277"/>
      <c r="H980" s="276"/>
      <c r="I980" s="276"/>
      <c r="J980" s="276"/>
      <c r="K980" s="276"/>
      <c r="L980" s="276"/>
      <c r="M980" s="276"/>
      <c r="N980" s="276"/>
      <c r="O980" s="276"/>
    </row>
    <row r="981">
      <c r="A981" s="275"/>
      <c r="B981" s="275"/>
      <c r="C981" s="275"/>
      <c r="D981" s="275"/>
      <c r="E981" s="276"/>
      <c r="F981" s="276"/>
      <c r="G981" s="277"/>
      <c r="H981" s="276"/>
      <c r="I981" s="276"/>
      <c r="J981" s="276"/>
      <c r="K981" s="276"/>
      <c r="L981" s="276"/>
      <c r="M981" s="276"/>
      <c r="N981" s="276"/>
      <c r="O981" s="276"/>
    </row>
    <row r="982">
      <c r="A982" s="275"/>
      <c r="B982" s="275"/>
      <c r="C982" s="275"/>
      <c r="D982" s="275"/>
      <c r="E982" s="276"/>
      <c r="F982" s="276"/>
      <c r="G982" s="277"/>
      <c r="H982" s="276"/>
      <c r="I982" s="276"/>
      <c r="J982" s="276"/>
      <c r="K982" s="276"/>
      <c r="L982" s="276"/>
      <c r="M982" s="276"/>
      <c r="N982" s="276"/>
      <c r="O982" s="276"/>
    </row>
    <row r="983">
      <c r="A983" s="275"/>
      <c r="B983" s="275"/>
      <c r="C983" s="275"/>
      <c r="D983" s="275"/>
      <c r="E983" s="276"/>
      <c r="F983" s="276"/>
      <c r="G983" s="277"/>
      <c r="H983" s="276"/>
      <c r="I983" s="276"/>
      <c r="J983" s="276"/>
      <c r="K983" s="276"/>
      <c r="L983" s="276"/>
      <c r="M983" s="276"/>
      <c r="N983" s="276"/>
      <c r="O983" s="276"/>
    </row>
    <row r="984">
      <c r="A984" s="275"/>
      <c r="B984" s="275"/>
      <c r="C984" s="275"/>
      <c r="D984" s="275"/>
      <c r="E984" s="276"/>
      <c r="F984" s="276"/>
      <c r="G984" s="277"/>
      <c r="H984" s="276"/>
      <c r="I984" s="276"/>
      <c r="J984" s="276"/>
      <c r="K984" s="276"/>
      <c r="L984" s="276"/>
      <c r="M984" s="276"/>
      <c r="N984" s="276"/>
      <c r="O984" s="276"/>
    </row>
    <row r="985">
      <c r="A985" s="275"/>
      <c r="B985" s="275"/>
      <c r="C985" s="275"/>
      <c r="D985" s="275"/>
      <c r="E985" s="276"/>
      <c r="F985" s="276"/>
      <c r="G985" s="277"/>
      <c r="H985" s="276"/>
      <c r="I985" s="276"/>
      <c r="J985" s="276"/>
      <c r="K985" s="276"/>
      <c r="L985" s="276"/>
      <c r="M985" s="276"/>
      <c r="N985" s="276"/>
      <c r="O985" s="276"/>
    </row>
    <row r="986">
      <c r="A986" s="275"/>
      <c r="B986" s="275"/>
      <c r="C986" s="275"/>
      <c r="D986" s="275"/>
      <c r="E986" s="276"/>
      <c r="F986" s="276"/>
      <c r="G986" s="277"/>
      <c r="H986" s="276"/>
      <c r="I986" s="276"/>
      <c r="J986" s="276"/>
      <c r="K986" s="276"/>
      <c r="L986" s="276"/>
      <c r="M986" s="276"/>
      <c r="N986" s="276"/>
      <c r="O986" s="276"/>
    </row>
    <row r="987">
      <c r="A987" s="275"/>
      <c r="B987" s="275"/>
      <c r="C987" s="275"/>
      <c r="D987" s="275"/>
      <c r="E987" s="276"/>
      <c r="F987" s="276"/>
      <c r="G987" s="277"/>
      <c r="H987" s="276"/>
      <c r="I987" s="276"/>
      <c r="J987" s="276"/>
      <c r="K987" s="276"/>
      <c r="L987" s="276"/>
      <c r="M987" s="276"/>
      <c r="N987" s="276"/>
      <c r="O987" s="276"/>
    </row>
    <row r="988">
      <c r="A988" s="275"/>
      <c r="B988" s="275"/>
      <c r="C988" s="275"/>
      <c r="D988" s="275"/>
      <c r="E988" s="276"/>
      <c r="F988" s="276"/>
      <c r="G988" s="277"/>
      <c r="H988" s="276"/>
      <c r="I988" s="276"/>
      <c r="J988" s="276"/>
      <c r="K988" s="276"/>
      <c r="L988" s="276"/>
      <c r="M988" s="276"/>
      <c r="N988" s="276"/>
      <c r="O988" s="276"/>
    </row>
    <row r="989">
      <c r="A989" s="275"/>
      <c r="B989" s="275"/>
      <c r="C989" s="275"/>
      <c r="D989" s="275"/>
      <c r="E989" s="276"/>
      <c r="F989" s="276"/>
      <c r="G989" s="277"/>
      <c r="H989" s="276"/>
      <c r="I989" s="276"/>
      <c r="J989" s="276"/>
      <c r="K989" s="276"/>
      <c r="L989" s="276"/>
      <c r="M989" s="276"/>
      <c r="N989" s="276"/>
      <c r="O989" s="276"/>
    </row>
    <row r="990">
      <c r="A990" s="275"/>
      <c r="B990" s="275"/>
      <c r="C990" s="275"/>
      <c r="D990" s="275"/>
      <c r="E990" s="276"/>
      <c r="F990" s="276"/>
      <c r="G990" s="277"/>
      <c r="H990" s="276"/>
      <c r="I990" s="276"/>
      <c r="J990" s="276"/>
      <c r="K990" s="276"/>
      <c r="L990" s="276"/>
      <c r="M990" s="276"/>
      <c r="N990" s="276"/>
      <c r="O990" s="276"/>
    </row>
    <row r="991">
      <c r="A991" s="275"/>
      <c r="B991" s="275"/>
      <c r="C991" s="275"/>
      <c r="D991" s="275"/>
      <c r="E991" s="276"/>
      <c r="F991" s="276"/>
      <c r="G991" s="277"/>
      <c r="H991" s="276"/>
      <c r="I991" s="276"/>
      <c r="J991" s="276"/>
      <c r="K991" s="276"/>
      <c r="L991" s="276"/>
      <c r="M991" s="276"/>
      <c r="N991" s="276"/>
      <c r="O991" s="276"/>
    </row>
    <row r="992">
      <c r="A992" s="275"/>
      <c r="B992" s="275"/>
      <c r="C992" s="275"/>
      <c r="D992" s="275"/>
      <c r="E992" s="276"/>
      <c r="F992" s="276"/>
      <c r="G992" s="277"/>
      <c r="H992" s="276"/>
      <c r="I992" s="276"/>
      <c r="J992" s="276"/>
      <c r="K992" s="276"/>
      <c r="L992" s="276"/>
      <c r="M992" s="276"/>
      <c r="N992" s="276"/>
      <c r="O992" s="276"/>
    </row>
    <row r="993">
      <c r="A993" s="275"/>
      <c r="B993" s="275"/>
      <c r="C993" s="275"/>
      <c r="D993" s="275"/>
      <c r="E993" s="276"/>
      <c r="F993" s="276"/>
      <c r="G993" s="277"/>
      <c r="H993" s="276"/>
      <c r="I993" s="276"/>
      <c r="J993" s="276"/>
      <c r="K993" s="276"/>
      <c r="L993" s="276"/>
      <c r="M993" s="276"/>
      <c r="N993" s="276"/>
      <c r="O993" s="276"/>
    </row>
    <row r="994">
      <c r="A994" s="275"/>
      <c r="B994" s="275"/>
      <c r="C994" s="275"/>
      <c r="D994" s="275"/>
      <c r="E994" s="276"/>
      <c r="F994" s="276"/>
      <c r="G994" s="277"/>
      <c r="H994" s="276"/>
      <c r="I994" s="276"/>
      <c r="J994" s="276"/>
      <c r="K994" s="276"/>
      <c r="L994" s="276"/>
      <c r="M994" s="276"/>
      <c r="N994" s="276"/>
      <c r="O994" s="276"/>
    </row>
    <row r="995">
      <c r="A995" s="275"/>
      <c r="B995" s="275"/>
      <c r="C995" s="275"/>
      <c r="D995" s="275"/>
      <c r="E995" s="276"/>
      <c r="F995" s="276"/>
      <c r="G995" s="277"/>
      <c r="H995" s="276"/>
      <c r="I995" s="276"/>
      <c r="J995" s="276"/>
      <c r="K995" s="276"/>
      <c r="L995" s="276"/>
      <c r="M995" s="276"/>
      <c r="N995" s="276"/>
      <c r="O995" s="276"/>
    </row>
    <row r="996">
      <c r="A996" s="275"/>
      <c r="B996" s="275"/>
      <c r="C996" s="275"/>
      <c r="D996" s="275"/>
      <c r="E996" s="276"/>
      <c r="F996" s="276"/>
      <c r="G996" s="277"/>
      <c r="H996" s="276"/>
      <c r="I996" s="276"/>
      <c r="J996" s="276"/>
      <c r="K996" s="276"/>
      <c r="L996" s="276"/>
      <c r="M996" s="276"/>
      <c r="N996" s="276"/>
      <c r="O996" s="276"/>
    </row>
    <row r="997">
      <c r="A997" s="275"/>
      <c r="B997" s="275"/>
      <c r="C997" s="275"/>
      <c r="D997" s="275"/>
      <c r="E997" s="276"/>
      <c r="F997" s="276"/>
      <c r="G997" s="277"/>
      <c r="H997" s="276"/>
      <c r="I997" s="276"/>
      <c r="J997" s="276"/>
      <c r="K997" s="276"/>
      <c r="L997" s="276"/>
      <c r="M997" s="276"/>
      <c r="N997" s="276"/>
      <c r="O997" s="276"/>
    </row>
    <row r="998">
      <c r="A998" s="275"/>
      <c r="B998" s="275"/>
      <c r="C998" s="275"/>
      <c r="D998" s="275"/>
      <c r="E998" s="276"/>
      <c r="F998" s="276"/>
      <c r="G998" s="277"/>
      <c r="H998" s="276"/>
      <c r="I998" s="276"/>
      <c r="J998" s="276"/>
      <c r="K998" s="276"/>
      <c r="L998" s="276"/>
      <c r="M998" s="276"/>
      <c r="N998" s="276"/>
      <c r="O998" s="276"/>
    </row>
    <row r="999">
      <c r="A999" s="275"/>
      <c r="B999" s="275"/>
      <c r="C999" s="275"/>
      <c r="D999" s="275"/>
      <c r="E999" s="276"/>
      <c r="F999" s="276"/>
      <c r="G999" s="277"/>
      <c r="H999" s="276"/>
      <c r="I999" s="276"/>
      <c r="J999" s="276"/>
      <c r="K999" s="276"/>
      <c r="L999" s="276"/>
      <c r="M999" s="276"/>
      <c r="N999" s="276"/>
      <c r="O999" s="276"/>
    </row>
    <row r="1000">
      <c r="A1000" s="275"/>
      <c r="B1000" s="275"/>
      <c r="C1000" s="275"/>
      <c r="D1000" s="275"/>
      <c r="E1000" s="276"/>
      <c r="F1000" s="276"/>
      <c r="G1000" s="277"/>
      <c r="H1000" s="276"/>
      <c r="I1000" s="276"/>
      <c r="J1000" s="276"/>
      <c r="K1000" s="276"/>
      <c r="L1000" s="276"/>
      <c r="M1000" s="276"/>
      <c r="N1000" s="276"/>
      <c r="O1000" s="276"/>
    </row>
    <row r="1001">
      <c r="A1001" s="275"/>
      <c r="B1001" s="275"/>
      <c r="C1001" s="275"/>
      <c r="D1001" s="275"/>
      <c r="E1001" s="276"/>
      <c r="F1001" s="276"/>
      <c r="G1001" s="277"/>
      <c r="H1001" s="276"/>
      <c r="I1001" s="276"/>
      <c r="J1001" s="276"/>
      <c r="K1001" s="276"/>
      <c r="L1001" s="276"/>
      <c r="M1001" s="276"/>
      <c r="N1001" s="276"/>
      <c r="O1001" s="276"/>
    </row>
    <row r="1002">
      <c r="A1002" s="275"/>
      <c r="B1002" s="275"/>
      <c r="C1002" s="275"/>
      <c r="D1002" s="275"/>
      <c r="E1002" s="276"/>
      <c r="F1002" s="276"/>
      <c r="G1002" s="277"/>
      <c r="H1002" s="276"/>
      <c r="I1002" s="276"/>
      <c r="J1002" s="276"/>
      <c r="K1002" s="276"/>
      <c r="L1002" s="276"/>
      <c r="M1002" s="276"/>
      <c r="N1002" s="276"/>
      <c r="O1002" s="276"/>
    </row>
    <row r="1003">
      <c r="A1003" s="275"/>
      <c r="B1003" s="275"/>
      <c r="C1003" s="275"/>
      <c r="D1003" s="275"/>
      <c r="E1003" s="276"/>
      <c r="F1003" s="276"/>
      <c r="G1003" s="277"/>
      <c r="H1003" s="276"/>
      <c r="I1003" s="276"/>
      <c r="J1003" s="276"/>
      <c r="K1003" s="276"/>
      <c r="L1003" s="276"/>
      <c r="M1003" s="276"/>
      <c r="N1003" s="276"/>
      <c r="O1003" s="276"/>
    </row>
    <row r="1004">
      <c r="A1004" s="275"/>
      <c r="B1004" s="275"/>
      <c r="C1004" s="275"/>
      <c r="D1004" s="275"/>
      <c r="E1004" s="276"/>
      <c r="F1004" s="276"/>
      <c r="G1004" s="277"/>
      <c r="H1004" s="276"/>
      <c r="I1004" s="276"/>
      <c r="J1004" s="276"/>
      <c r="K1004" s="276"/>
      <c r="L1004" s="276"/>
      <c r="M1004" s="276"/>
      <c r="N1004" s="276"/>
      <c r="O1004" s="276"/>
    </row>
    <row r="1005">
      <c r="A1005" s="275"/>
      <c r="B1005" s="275"/>
      <c r="C1005" s="275"/>
      <c r="D1005" s="275"/>
      <c r="E1005" s="276"/>
      <c r="F1005" s="276"/>
      <c r="G1005" s="277"/>
      <c r="H1005" s="276"/>
      <c r="I1005" s="276"/>
      <c r="J1005" s="276"/>
      <c r="K1005" s="276"/>
      <c r="L1005" s="276"/>
      <c r="M1005" s="276"/>
      <c r="N1005" s="276"/>
      <c r="O1005" s="276"/>
    </row>
    <row r="1006">
      <c r="A1006" s="275"/>
      <c r="B1006" s="275"/>
      <c r="C1006" s="275"/>
      <c r="D1006" s="275"/>
      <c r="E1006" s="276"/>
      <c r="F1006" s="276"/>
      <c r="G1006" s="277"/>
      <c r="H1006" s="276"/>
      <c r="I1006" s="276"/>
      <c r="J1006" s="276"/>
      <c r="K1006" s="276"/>
      <c r="L1006" s="276"/>
      <c r="M1006" s="276"/>
      <c r="N1006" s="276"/>
      <c r="O1006" s="276"/>
    </row>
    <row r="1007">
      <c r="A1007" s="275"/>
      <c r="B1007" s="275"/>
      <c r="C1007" s="275"/>
      <c r="D1007" s="275"/>
      <c r="E1007" s="276"/>
      <c r="F1007" s="276"/>
      <c r="G1007" s="277"/>
      <c r="H1007" s="276"/>
      <c r="I1007" s="276"/>
      <c r="J1007" s="276"/>
      <c r="K1007" s="276"/>
      <c r="L1007" s="276"/>
      <c r="M1007" s="276"/>
      <c r="N1007" s="276"/>
      <c r="O1007" s="276"/>
    </row>
    <row r="1008">
      <c r="A1008" s="275"/>
      <c r="B1008" s="275"/>
      <c r="C1008" s="275"/>
      <c r="D1008" s="275"/>
      <c r="E1008" s="276"/>
      <c r="F1008" s="276"/>
      <c r="G1008" s="277"/>
      <c r="H1008" s="276"/>
      <c r="I1008" s="276"/>
      <c r="J1008" s="276"/>
      <c r="K1008" s="276"/>
      <c r="L1008" s="276"/>
      <c r="M1008" s="276"/>
      <c r="N1008" s="276"/>
      <c r="O1008" s="276"/>
    </row>
    <row r="1009">
      <c r="A1009" s="275"/>
      <c r="B1009" s="275"/>
      <c r="C1009" s="275"/>
      <c r="D1009" s="275"/>
      <c r="E1009" s="276"/>
      <c r="F1009" s="276"/>
      <c r="G1009" s="277"/>
      <c r="H1009" s="276"/>
      <c r="I1009" s="276"/>
      <c r="J1009" s="276"/>
      <c r="K1009" s="276"/>
      <c r="L1009" s="276"/>
      <c r="M1009" s="276"/>
      <c r="N1009" s="276"/>
      <c r="O1009" s="276"/>
    </row>
    <row r="1010">
      <c r="A1010" s="275"/>
      <c r="B1010" s="275"/>
      <c r="C1010" s="275"/>
      <c r="D1010" s="275"/>
      <c r="E1010" s="276"/>
      <c r="F1010" s="276"/>
      <c r="G1010" s="277"/>
      <c r="H1010" s="276"/>
      <c r="I1010" s="276"/>
      <c r="J1010" s="276"/>
      <c r="K1010" s="276"/>
      <c r="L1010" s="276"/>
      <c r="M1010" s="276"/>
      <c r="N1010" s="276"/>
      <c r="O1010" s="276"/>
    </row>
    <row r="1011">
      <c r="A1011" s="275"/>
      <c r="B1011" s="275"/>
      <c r="C1011" s="275"/>
      <c r="D1011" s="275"/>
      <c r="E1011" s="276"/>
      <c r="F1011" s="276"/>
      <c r="G1011" s="277"/>
      <c r="H1011" s="276"/>
      <c r="I1011" s="276"/>
      <c r="J1011" s="276"/>
      <c r="K1011" s="276"/>
      <c r="L1011" s="276"/>
      <c r="M1011" s="276"/>
      <c r="N1011" s="276"/>
      <c r="O1011" s="276"/>
    </row>
    <row r="1012">
      <c r="A1012" s="275"/>
      <c r="B1012" s="275"/>
      <c r="C1012" s="275"/>
      <c r="D1012" s="275"/>
      <c r="E1012" s="276"/>
      <c r="F1012" s="276"/>
      <c r="G1012" s="277"/>
      <c r="H1012" s="276"/>
      <c r="I1012" s="276"/>
      <c r="J1012" s="276"/>
      <c r="K1012" s="276"/>
      <c r="L1012" s="276"/>
      <c r="M1012" s="276"/>
      <c r="N1012" s="276"/>
      <c r="O1012" s="276"/>
    </row>
    <row r="1013">
      <c r="A1013" s="275"/>
      <c r="B1013" s="275"/>
      <c r="C1013" s="275"/>
      <c r="D1013" s="275"/>
      <c r="E1013" s="276"/>
      <c r="F1013" s="276"/>
      <c r="G1013" s="277"/>
      <c r="H1013" s="276"/>
      <c r="I1013" s="276"/>
      <c r="J1013" s="276"/>
      <c r="K1013" s="276"/>
      <c r="L1013" s="276"/>
      <c r="M1013" s="276"/>
      <c r="N1013" s="276"/>
      <c r="O1013" s="276"/>
    </row>
    <row r="1014">
      <c r="A1014" s="275"/>
      <c r="B1014" s="275"/>
      <c r="C1014" s="275"/>
      <c r="D1014" s="275"/>
      <c r="E1014" s="276"/>
      <c r="F1014" s="276"/>
      <c r="G1014" s="277"/>
      <c r="H1014" s="276"/>
      <c r="I1014" s="276"/>
      <c r="J1014" s="276"/>
      <c r="K1014" s="276"/>
      <c r="L1014" s="276"/>
      <c r="M1014" s="276"/>
      <c r="N1014" s="276"/>
      <c r="O1014" s="276"/>
    </row>
    <row r="1015">
      <c r="A1015" s="275"/>
      <c r="B1015" s="275"/>
      <c r="C1015" s="275"/>
      <c r="D1015" s="275"/>
      <c r="E1015" s="276"/>
      <c r="F1015" s="276"/>
      <c r="G1015" s="277"/>
      <c r="H1015" s="276"/>
      <c r="I1015" s="276"/>
      <c r="J1015" s="276"/>
      <c r="K1015" s="276"/>
      <c r="L1015" s="276"/>
      <c r="M1015" s="276"/>
      <c r="N1015" s="276"/>
      <c r="O1015" s="276"/>
    </row>
    <row r="1016">
      <c r="A1016" s="275"/>
      <c r="B1016" s="275"/>
      <c r="C1016" s="275"/>
      <c r="D1016" s="275"/>
      <c r="E1016" s="276"/>
      <c r="F1016" s="276"/>
      <c r="G1016" s="277"/>
      <c r="H1016" s="276"/>
      <c r="I1016" s="276"/>
      <c r="J1016" s="276"/>
      <c r="K1016" s="276"/>
      <c r="L1016" s="276"/>
      <c r="M1016" s="276"/>
      <c r="N1016" s="276"/>
      <c r="O1016" s="276"/>
    </row>
    <row r="1017">
      <c r="A1017" s="275"/>
      <c r="B1017" s="275"/>
      <c r="C1017" s="275"/>
      <c r="D1017" s="275"/>
      <c r="E1017" s="276"/>
      <c r="F1017" s="276"/>
      <c r="G1017" s="277"/>
      <c r="H1017" s="276"/>
      <c r="I1017" s="276"/>
      <c r="J1017" s="276"/>
      <c r="K1017" s="276"/>
      <c r="L1017" s="276"/>
      <c r="M1017" s="276"/>
      <c r="N1017" s="276"/>
      <c r="O1017" s="276"/>
    </row>
    <row r="1018">
      <c r="A1018" s="275"/>
      <c r="B1018" s="275"/>
      <c r="C1018" s="275"/>
      <c r="D1018" s="275"/>
      <c r="E1018" s="276"/>
      <c r="F1018" s="276"/>
      <c r="G1018" s="277"/>
      <c r="H1018" s="276"/>
      <c r="I1018" s="276"/>
      <c r="J1018" s="276"/>
      <c r="K1018" s="276"/>
      <c r="L1018" s="276"/>
      <c r="M1018" s="276"/>
      <c r="N1018" s="276"/>
      <c r="O1018" s="276"/>
    </row>
    <row r="1019">
      <c r="A1019" s="275"/>
      <c r="B1019" s="275"/>
      <c r="C1019" s="275"/>
      <c r="D1019" s="275"/>
      <c r="E1019" s="276"/>
      <c r="F1019" s="276"/>
      <c r="G1019" s="277"/>
      <c r="H1019" s="276"/>
      <c r="I1019" s="276"/>
      <c r="J1019" s="276"/>
      <c r="K1019" s="276"/>
      <c r="L1019" s="276"/>
      <c r="M1019" s="276"/>
      <c r="N1019" s="276"/>
      <c r="O1019" s="276"/>
    </row>
    <row r="1020">
      <c r="A1020" s="275"/>
      <c r="B1020" s="275"/>
      <c r="C1020" s="275"/>
      <c r="D1020" s="275"/>
      <c r="E1020" s="276"/>
      <c r="F1020" s="276"/>
      <c r="G1020" s="277"/>
      <c r="H1020" s="276"/>
      <c r="I1020" s="276"/>
      <c r="J1020" s="276"/>
      <c r="K1020" s="276"/>
      <c r="L1020" s="276"/>
      <c r="M1020" s="276"/>
      <c r="N1020" s="276"/>
      <c r="O1020" s="276"/>
    </row>
    <row r="1021">
      <c r="A1021" s="275"/>
      <c r="B1021" s="275"/>
      <c r="C1021" s="275"/>
      <c r="D1021" s="275"/>
      <c r="E1021" s="276"/>
      <c r="F1021" s="276"/>
      <c r="G1021" s="277"/>
      <c r="H1021" s="276"/>
      <c r="I1021" s="276"/>
      <c r="J1021" s="276"/>
      <c r="K1021" s="276"/>
      <c r="L1021" s="276"/>
      <c r="M1021" s="276"/>
      <c r="N1021" s="276"/>
      <c r="O1021" s="276"/>
    </row>
    <row r="1022">
      <c r="A1022" s="275"/>
      <c r="B1022" s="275"/>
      <c r="C1022" s="275"/>
      <c r="D1022" s="275"/>
      <c r="E1022" s="276"/>
      <c r="F1022" s="276"/>
      <c r="G1022" s="277"/>
      <c r="H1022" s="276"/>
      <c r="I1022" s="276"/>
      <c r="J1022" s="276"/>
      <c r="K1022" s="276"/>
      <c r="L1022" s="276"/>
      <c r="M1022" s="276"/>
      <c r="N1022" s="276"/>
      <c r="O1022" s="276"/>
    </row>
    <row r="1023">
      <c r="A1023" s="275"/>
      <c r="B1023" s="275"/>
      <c r="C1023" s="275"/>
      <c r="D1023" s="275"/>
      <c r="E1023" s="276"/>
      <c r="F1023" s="276"/>
      <c r="G1023" s="277"/>
      <c r="H1023" s="276"/>
      <c r="I1023" s="276"/>
      <c r="J1023" s="276"/>
      <c r="K1023" s="276"/>
      <c r="L1023" s="276"/>
      <c r="M1023" s="276"/>
      <c r="N1023" s="276"/>
      <c r="O1023" s="276"/>
    </row>
    <row r="1024">
      <c r="A1024" s="275"/>
      <c r="B1024" s="275"/>
      <c r="C1024" s="275"/>
      <c r="D1024" s="275"/>
      <c r="E1024" s="276"/>
      <c r="F1024" s="276"/>
      <c r="G1024" s="277"/>
      <c r="H1024" s="276"/>
      <c r="I1024" s="276"/>
      <c r="J1024" s="276"/>
      <c r="K1024" s="276"/>
      <c r="L1024" s="276"/>
      <c r="M1024" s="276"/>
      <c r="N1024" s="276"/>
      <c r="O1024" s="276"/>
    </row>
    <row r="1025">
      <c r="A1025" s="275"/>
      <c r="B1025" s="275"/>
      <c r="C1025" s="275"/>
      <c r="D1025" s="275"/>
      <c r="E1025" s="276"/>
      <c r="F1025" s="276"/>
      <c r="G1025" s="277"/>
      <c r="H1025" s="276"/>
      <c r="I1025" s="276"/>
      <c r="J1025" s="276"/>
      <c r="K1025" s="276"/>
      <c r="L1025" s="276"/>
      <c r="M1025" s="276"/>
      <c r="N1025" s="276"/>
      <c r="O1025" s="276"/>
    </row>
    <row r="1026">
      <c r="A1026" s="275"/>
      <c r="B1026" s="275"/>
      <c r="C1026" s="275"/>
      <c r="D1026" s="275"/>
      <c r="E1026" s="276"/>
      <c r="F1026" s="276"/>
      <c r="G1026" s="277"/>
      <c r="H1026" s="276"/>
      <c r="I1026" s="276"/>
      <c r="J1026" s="276"/>
      <c r="K1026" s="276"/>
      <c r="L1026" s="276"/>
      <c r="M1026" s="276"/>
      <c r="N1026" s="276"/>
      <c r="O1026" s="276"/>
    </row>
    <row r="1027">
      <c r="A1027" s="275"/>
      <c r="B1027" s="275"/>
      <c r="C1027" s="275"/>
      <c r="D1027" s="275"/>
      <c r="E1027" s="276"/>
      <c r="F1027" s="276"/>
      <c r="G1027" s="277"/>
      <c r="H1027" s="276"/>
      <c r="I1027" s="276"/>
      <c r="J1027" s="276"/>
      <c r="K1027" s="276"/>
      <c r="L1027" s="276"/>
      <c r="M1027" s="276"/>
      <c r="N1027" s="276"/>
      <c r="O1027" s="276"/>
    </row>
    <row r="1028">
      <c r="A1028" s="275"/>
      <c r="B1028" s="275"/>
      <c r="C1028" s="275"/>
      <c r="D1028" s="275"/>
      <c r="E1028" s="276"/>
      <c r="F1028" s="276"/>
      <c r="G1028" s="277"/>
      <c r="H1028" s="276"/>
      <c r="I1028" s="276"/>
      <c r="J1028" s="276"/>
      <c r="K1028" s="276"/>
      <c r="L1028" s="276"/>
      <c r="M1028" s="276"/>
      <c r="N1028" s="276"/>
      <c r="O1028" s="276"/>
    </row>
    <row r="1029">
      <c r="A1029" s="275"/>
      <c r="B1029" s="275"/>
      <c r="C1029" s="275"/>
      <c r="D1029" s="275"/>
      <c r="E1029" s="276"/>
      <c r="F1029" s="276"/>
      <c r="G1029" s="277"/>
      <c r="H1029" s="276"/>
      <c r="I1029" s="276"/>
      <c r="J1029" s="276"/>
      <c r="K1029" s="276"/>
      <c r="L1029" s="276"/>
      <c r="M1029" s="276"/>
      <c r="N1029" s="276"/>
      <c r="O1029" s="276"/>
    </row>
    <row r="1030">
      <c r="A1030" s="275"/>
      <c r="B1030" s="275"/>
      <c r="C1030" s="275"/>
      <c r="D1030" s="275"/>
      <c r="E1030" s="276"/>
      <c r="F1030" s="276"/>
      <c r="G1030" s="277"/>
      <c r="H1030" s="276"/>
      <c r="I1030" s="276"/>
      <c r="J1030" s="276"/>
      <c r="K1030" s="276"/>
      <c r="L1030" s="276"/>
      <c r="M1030" s="276"/>
      <c r="N1030" s="276"/>
      <c r="O1030" s="276"/>
    </row>
    <row r="1031">
      <c r="A1031" s="275"/>
      <c r="B1031" s="275"/>
      <c r="C1031" s="275"/>
      <c r="D1031" s="275"/>
      <c r="E1031" s="276"/>
      <c r="F1031" s="276"/>
      <c r="G1031" s="277"/>
      <c r="H1031" s="276"/>
      <c r="I1031" s="276"/>
      <c r="J1031" s="276"/>
      <c r="K1031" s="276"/>
      <c r="L1031" s="276"/>
      <c r="M1031" s="276"/>
      <c r="N1031" s="276"/>
      <c r="O1031" s="276"/>
    </row>
    <row r="1032">
      <c r="A1032" s="275"/>
      <c r="B1032" s="275"/>
      <c r="C1032" s="275"/>
      <c r="D1032" s="275"/>
      <c r="E1032" s="276"/>
      <c r="F1032" s="276"/>
      <c r="G1032" s="277"/>
      <c r="H1032" s="276"/>
      <c r="I1032" s="276"/>
      <c r="J1032" s="276"/>
      <c r="K1032" s="276"/>
      <c r="L1032" s="276"/>
      <c r="M1032" s="276"/>
      <c r="N1032" s="276"/>
      <c r="O1032" s="276"/>
    </row>
    <row r="1033">
      <c r="A1033" s="275"/>
      <c r="B1033" s="275"/>
      <c r="C1033" s="275"/>
      <c r="D1033" s="275"/>
      <c r="E1033" s="276"/>
      <c r="F1033" s="276"/>
      <c r="G1033" s="277"/>
      <c r="H1033" s="276"/>
      <c r="I1033" s="276"/>
      <c r="J1033" s="276"/>
      <c r="K1033" s="276"/>
      <c r="L1033" s="276"/>
      <c r="M1033" s="276"/>
      <c r="N1033" s="276"/>
      <c r="O1033" s="276"/>
    </row>
    <row r="1034">
      <c r="A1034" s="275"/>
      <c r="B1034" s="275"/>
      <c r="C1034" s="275"/>
      <c r="D1034" s="275"/>
      <c r="E1034" s="276"/>
      <c r="F1034" s="276"/>
      <c r="G1034" s="277"/>
      <c r="H1034" s="276"/>
      <c r="I1034" s="276"/>
      <c r="J1034" s="276"/>
      <c r="K1034" s="276"/>
      <c r="L1034" s="276"/>
      <c r="M1034" s="276"/>
      <c r="N1034" s="276"/>
      <c r="O1034" s="276"/>
    </row>
    <row r="1035">
      <c r="A1035" s="275"/>
      <c r="B1035" s="275"/>
      <c r="C1035" s="275"/>
      <c r="D1035" s="275"/>
      <c r="E1035" s="276"/>
      <c r="F1035" s="276"/>
      <c r="G1035" s="277"/>
      <c r="H1035" s="276"/>
      <c r="I1035" s="276"/>
      <c r="J1035" s="276"/>
      <c r="K1035" s="276"/>
      <c r="L1035" s="276"/>
      <c r="M1035" s="276"/>
      <c r="N1035" s="276"/>
      <c r="O1035" s="276"/>
    </row>
    <row r="1036">
      <c r="A1036" s="275"/>
      <c r="B1036" s="275"/>
      <c r="C1036" s="275"/>
      <c r="D1036" s="275"/>
      <c r="E1036" s="276"/>
      <c r="F1036" s="276"/>
      <c r="G1036" s="277"/>
      <c r="H1036" s="276"/>
      <c r="I1036" s="276"/>
      <c r="J1036" s="276"/>
      <c r="K1036" s="276"/>
      <c r="L1036" s="276"/>
      <c r="M1036" s="276"/>
      <c r="N1036" s="276"/>
      <c r="O1036" s="276"/>
    </row>
    <row r="1037">
      <c r="A1037" s="275"/>
      <c r="B1037" s="275"/>
      <c r="C1037" s="275"/>
      <c r="D1037" s="275"/>
      <c r="E1037" s="276"/>
      <c r="F1037" s="276"/>
      <c r="G1037" s="277"/>
      <c r="H1037" s="276"/>
      <c r="I1037" s="276"/>
      <c r="J1037" s="276"/>
      <c r="K1037" s="276"/>
      <c r="L1037" s="276"/>
      <c r="M1037" s="276"/>
      <c r="N1037" s="276"/>
      <c r="O1037" s="276"/>
    </row>
    <row r="1038">
      <c r="A1038" s="275"/>
      <c r="B1038" s="275"/>
      <c r="C1038" s="275"/>
      <c r="D1038" s="275"/>
      <c r="E1038" s="276"/>
      <c r="F1038" s="276"/>
      <c r="G1038" s="277"/>
      <c r="H1038" s="276"/>
      <c r="I1038" s="276"/>
      <c r="J1038" s="276"/>
      <c r="K1038" s="276"/>
      <c r="L1038" s="276"/>
      <c r="M1038" s="276"/>
      <c r="N1038" s="276"/>
      <c r="O1038" s="276"/>
    </row>
  </sheetData>
  <mergeCells count="20">
    <mergeCell ref="A10:B10"/>
    <mergeCell ref="A20:B20"/>
    <mergeCell ref="A26:B26"/>
    <mergeCell ref="A33:B33"/>
    <mergeCell ref="A38:B38"/>
    <mergeCell ref="A41:B41"/>
    <mergeCell ref="A45:B45"/>
    <mergeCell ref="A97:B97"/>
    <mergeCell ref="A108:B108"/>
    <mergeCell ref="A115:B115"/>
    <mergeCell ref="A123:B123"/>
    <mergeCell ref="A128:B128"/>
    <mergeCell ref="A131:B131"/>
    <mergeCell ref="A50:B50"/>
    <mergeCell ref="A55:B55"/>
    <mergeCell ref="A63:B63"/>
    <mergeCell ref="A66:B66"/>
    <mergeCell ref="A68:B68"/>
    <mergeCell ref="A76:B76"/>
    <mergeCell ref="A87:B87"/>
  </mergeCells>
  <conditionalFormatting sqref="J1:O1038">
    <cfRule type="containsText" dxfId="0" priority="1" operator="containsText" text="fal">
      <formula>NOT(ISERROR(SEARCH(("fal"),(J1))))</formula>
    </cfRule>
  </conditionalFormatting>
  <hyperlinks>
    <hyperlink r:id="rId4" ref="A9"/>
    <hyperlink r:id="rId5" ref="A19"/>
    <hyperlink r:id="rId6" ref="A106"/>
  </hyperlinks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/>
    <row r="4" hidden="1"/>
    <row r="5" hidden="1"/>
    <row r="6"/>
    <row r="7"/>
    <row r="8"/>
    <row r="9"/>
    <row r="10"/>
    <row r="11" hidden="1"/>
    <row r="12" hidden="1"/>
    <row r="13" hidden="1"/>
    <row r="14" hidden="1"/>
    <row r="15"/>
    <row r="16" hidden="1"/>
    <row r="17"/>
    <row r="18" hidden="1"/>
    <row r="19" hidden="1"/>
    <row r="20" hidden="1"/>
    <row r="21" hidden="1"/>
    <row r="22" hidden="1"/>
    <row r="23"/>
    <row r="24" hidden="1"/>
    <row r="25" hidden="1"/>
    <row r="26" hidden="1"/>
    <row r="27" hidden="1"/>
    <row r="28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/>
    <row r="39" hidden="1"/>
  </sheetData>
  <autoFilter ref="$A$1:$Z$39">
    <filterColumn colId="0">
      <filters>
        <filter val="СМИ2"/>
        <filter val="Ozon"/>
        <filter val="Итого"/>
        <filter val="Яндекс Go"/>
        <filter val="Market yandex"/>
        <filter val="Avito"/>
        <filter val="Яндекс Погода"/>
        <filter val="Т-Банк"/>
        <filter val="Wildberries"/>
        <filter val="Пятерочка"/>
        <filter val="CRE"/>
        <filter val="Альфа-Мобайл"/>
      </filters>
    </filterColumn>
  </autoFilter>
  <hyperlinks>
    <hyperlink r:id="rId2" ref="A29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1F1F"/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1F1F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C1" s="291"/>
    </row>
    <row r="2">
      <c r="C2" s="292">
        <f t="shared" ref="C2:C41" si="1">B2</f>
        <v>184027.1511</v>
      </c>
    </row>
    <row r="3">
      <c r="C3" s="292">
        <f t="shared" si="1"/>
        <v>108708.5926</v>
      </c>
    </row>
    <row r="4">
      <c r="C4" s="292">
        <f t="shared" si="1"/>
        <v>245509.1421</v>
      </c>
    </row>
    <row r="5">
      <c r="C5" s="291">
        <f t="shared" si="1"/>
        <v>29961523.94</v>
      </c>
    </row>
    <row r="6">
      <c r="C6" s="292">
        <f t="shared" si="1"/>
        <v>181173.334</v>
      </c>
    </row>
    <row r="7">
      <c r="C7" s="292">
        <f t="shared" si="1"/>
        <v>1804379.741</v>
      </c>
    </row>
    <row r="8">
      <c r="C8" s="292">
        <f t="shared" si="1"/>
        <v>1502380.718</v>
      </c>
    </row>
    <row r="9">
      <c r="C9" s="292">
        <f t="shared" si="1"/>
        <v>294161.6967</v>
      </c>
    </row>
    <row r="10">
      <c r="C10" s="292">
        <f t="shared" si="1"/>
        <v>1993733.227</v>
      </c>
    </row>
    <row r="11">
      <c r="C11" s="292">
        <f t="shared" si="1"/>
        <v>637200</v>
      </c>
    </row>
    <row r="12">
      <c r="C12" s="292">
        <f t="shared" si="1"/>
        <v>576239.6643</v>
      </c>
    </row>
    <row r="13">
      <c r="C13" s="292">
        <f t="shared" si="1"/>
        <v>1873528.215</v>
      </c>
      <c r="D13" s="291">
        <f>C13+C14</f>
        <v>2105662.227</v>
      </c>
    </row>
    <row r="14">
      <c r="C14" s="292">
        <f t="shared" si="1"/>
        <v>232134.0121</v>
      </c>
    </row>
    <row r="15">
      <c r="C15" s="292">
        <f t="shared" si="1"/>
        <v>919683.7127</v>
      </c>
    </row>
    <row r="16">
      <c r="C16" s="292">
        <f t="shared" si="1"/>
        <v>1459817.865</v>
      </c>
    </row>
    <row r="17">
      <c r="C17" s="292">
        <f t="shared" si="1"/>
        <v>1779066.635</v>
      </c>
      <c r="D17" s="291">
        <f>C17+C18</f>
        <v>3828701.305</v>
      </c>
    </row>
    <row r="18">
      <c r="C18" s="292">
        <f t="shared" si="1"/>
        <v>2049634.67</v>
      </c>
    </row>
    <row r="19">
      <c r="C19" s="292">
        <f t="shared" si="1"/>
        <v>1950317.96</v>
      </c>
    </row>
    <row r="20">
      <c r="C20" s="292">
        <f t="shared" si="1"/>
        <v>123880.597</v>
      </c>
      <c r="D20" s="291">
        <f>C20+C10+C9+C40</f>
        <v>2411775.521</v>
      </c>
    </row>
    <row r="21">
      <c r="C21" s="292">
        <f t="shared" si="1"/>
        <v>734149.08</v>
      </c>
    </row>
    <row r="22">
      <c r="C22" s="292">
        <f t="shared" si="1"/>
        <v>3369778.237</v>
      </c>
      <c r="D22" s="291">
        <f>C22+C23+C24+C6+C7</f>
        <v>6124470.884</v>
      </c>
    </row>
    <row r="23">
      <c r="C23" s="292">
        <f t="shared" si="1"/>
        <v>413935.2663</v>
      </c>
    </row>
    <row r="24">
      <c r="C24" s="292">
        <f t="shared" si="1"/>
        <v>355204.3063</v>
      </c>
    </row>
    <row r="25">
      <c r="C25" s="292">
        <f t="shared" si="1"/>
        <v>521643.2002</v>
      </c>
    </row>
    <row r="26">
      <c r="C26" s="292">
        <f t="shared" si="1"/>
        <v>1719203.182</v>
      </c>
    </row>
    <row r="27">
      <c r="C27" s="292">
        <f t="shared" si="1"/>
        <v>573978.4357</v>
      </c>
    </row>
    <row r="28">
      <c r="C28" s="292">
        <f t="shared" si="1"/>
        <v>332137.5989</v>
      </c>
    </row>
    <row r="29">
      <c r="C29" s="292">
        <f t="shared" si="1"/>
        <v>28725.90327</v>
      </c>
      <c r="D29" s="291">
        <f>C29+C30</f>
        <v>40263.89365</v>
      </c>
    </row>
    <row r="30">
      <c r="C30" s="292">
        <f t="shared" si="1"/>
        <v>11537.99038</v>
      </c>
    </row>
    <row r="31">
      <c r="C31" s="292">
        <f t="shared" si="1"/>
        <v>4563929.611</v>
      </c>
      <c r="F31" s="291">
        <f>C31+C27</f>
        <v>5137908.047</v>
      </c>
    </row>
    <row r="32">
      <c r="C32" s="292">
        <f t="shared" si="1"/>
        <v>963626.0821</v>
      </c>
    </row>
    <row r="33">
      <c r="C33" s="292">
        <f t="shared" si="1"/>
        <v>114553.58</v>
      </c>
    </row>
    <row r="34">
      <c r="C34" s="292">
        <f t="shared" si="1"/>
        <v>61579503.35</v>
      </c>
      <c r="D34" s="291">
        <f>C34+C35+C36</f>
        <v>61579503.35</v>
      </c>
    </row>
    <row r="35">
      <c r="C35" s="292" t="str">
        <f t="shared" si="1"/>
        <v/>
      </c>
    </row>
    <row r="36">
      <c r="C36" s="292" t="str">
        <f t="shared" si="1"/>
        <v/>
      </c>
    </row>
    <row r="37">
      <c r="C37" s="292" t="str">
        <f t="shared" si="1"/>
        <v/>
      </c>
      <c r="D37" s="291">
        <f>C37+C21+C11</f>
        <v>1371349.08</v>
      </c>
    </row>
    <row r="38">
      <c r="C38" s="292" t="str">
        <f t="shared" si="1"/>
        <v/>
      </c>
      <c r="D38" s="291">
        <f>C38+C39+C3+C4</f>
        <v>354217.7347</v>
      </c>
    </row>
    <row r="39">
      <c r="C39" s="292" t="str">
        <f t="shared" si="1"/>
        <v/>
      </c>
    </row>
    <row r="40">
      <c r="C40" s="292" t="str">
        <f t="shared" si="1"/>
        <v/>
      </c>
    </row>
    <row r="41">
      <c r="C41" s="291" t="str">
        <f t="shared" si="1"/>
        <v/>
      </c>
    </row>
    <row r="42">
      <c r="C42" s="291"/>
    </row>
    <row r="43">
      <c r="C43" s="291"/>
    </row>
    <row r="44">
      <c r="C44" s="291"/>
    </row>
    <row r="45">
      <c r="C45" s="291"/>
    </row>
    <row r="46">
      <c r="C46" s="291"/>
    </row>
    <row r="47">
      <c r="C47" s="291"/>
    </row>
    <row r="48">
      <c r="C48" s="291"/>
    </row>
    <row r="49">
      <c r="C49" s="291"/>
    </row>
    <row r="50">
      <c r="C50" s="291"/>
    </row>
    <row r="51">
      <c r="C51" s="291"/>
    </row>
    <row r="52">
      <c r="C52" s="291"/>
    </row>
    <row r="53">
      <c r="C53" s="291"/>
    </row>
    <row r="54">
      <c r="C54" s="291"/>
    </row>
    <row r="55">
      <c r="C55" s="291"/>
    </row>
    <row r="56">
      <c r="C56" s="291"/>
    </row>
    <row r="57">
      <c r="C57" s="291"/>
    </row>
    <row r="58">
      <c r="C58" s="291"/>
    </row>
    <row r="59">
      <c r="C59" s="291"/>
    </row>
    <row r="60">
      <c r="C60" s="291"/>
    </row>
    <row r="61">
      <c r="C61" s="291"/>
    </row>
    <row r="62">
      <c r="C62" s="291"/>
    </row>
    <row r="63">
      <c r="C63" s="291"/>
    </row>
    <row r="64">
      <c r="C64" s="291"/>
    </row>
    <row r="65">
      <c r="C65" s="291"/>
    </row>
    <row r="66">
      <c r="C66" s="291"/>
    </row>
    <row r="67">
      <c r="C67" s="291"/>
    </row>
    <row r="68">
      <c r="C68" s="291"/>
    </row>
    <row r="69">
      <c r="C69" s="291"/>
    </row>
    <row r="70">
      <c r="C70" s="291"/>
    </row>
    <row r="71">
      <c r="C71" s="291"/>
    </row>
    <row r="72">
      <c r="C72" s="291"/>
    </row>
    <row r="73">
      <c r="C73" s="291"/>
    </row>
    <row r="74">
      <c r="C74" s="291"/>
    </row>
    <row r="75">
      <c r="C75" s="291"/>
    </row>
    <row r="76">
      <c r="C76" s="291"/>
    </row>
    <row r="77">
      <c r="C77" s="291"/>
    </row>
    <row r="78">
      <c r="C78" s="291"/>
    </row>
    <row r="79">
      <c r="C79" s="291"/>
    </row>
    <row r="80">
      <c r="C80" s="291"/>
    </row>
    <row r="81">
      <c r="C81" s="291"/>
    </row>
    <row r="82">
      <c r="C82" s="291"/>
    </row>
    <row r="83">
      <c r="C83" s="291"/>
    </row>
    <row r="84">
      <c r="C84" s="291"/>
    </row>
    <row r="85">
      <c r="C85" s="291"/>
    </row>
    <row r="86">
      <c r="C86" s="291"/>
    </row>
    <row r="87">
      <c r="C87" s="291"/>
    </row>
    <row r="88">
      <c r="C88" s="291"/>
    </row>
    <row r="89">
      <c r="C89" s="291"/>
    </row>
    <row r="90">
      <c r="C90" s="291"/>
    </row>
    <row r="91">
      <c r="C91" s="291"/>
    </row>
    <row r="92">
      <c r="C92" s="291"/>
    </row>
    <row r="93">
      <c r="C93" s="291"/>
    </row>
    <row r="94">
      <c r="C94" s="291"/>
    </row>
    <row r="95">
      <c r="C95" s="291"/>
    </row>
    <row r="96">
      <c r="C96" s="291"/>
    </row>
    <row r="97">
      <c r="C97" s="291"/>
    </row>
    <row r="98">
      <c r="C98" s="291"/>
    </row>
    <row r="99">
      <c r="C99" s="291"/>
    </row>
    <row r="100">
      <c r="C100" s="291"/>
    </row>
    <row r="101">
      <c r="C101" s="291"/>
    </row>
    <row r="102">
      <c r="C102" s="291"/>
    </row>
    <row r="103">
      <c r="C103" s="291"/>
    </row>
    <row r="104">
      <c r="C104" s="291"/>
    </row>
    <row r="105">
      <c r="C105" s="291"/>
    </row>
    <row r="106">
      <c r="C106" s="291"/>
    </row>
    <row r="107">
      <c r="C107" s="291"/>
    </row>
    <row r="108">
      <c r="C108" s="291"/>
    </row>
    <row r="109">
      <c r="C109" s="291"/>
    </row>
    <row r="110">
      <c r="C110" s="291"/>
    </row>
    <row r="111">
      <c r="C111" s="291"/>
    </row>
    <row r="112">
      <c r="C112" s="291"/>
    </row>
    <row r="113">
      <c r="C113" s="291"/>
    </row>
    <row r="114">
      <c r="C114" s="291"/>
    </row>
    <row r="115">
      <c r="C115" s="291"/>
    </row>
    <row r="116">
      <c r="C116" s="291"/>
    </row>
    <row r="117">
      <c r="C117" s="291"/>
    </row>
    <row r="118">
      <c r="C118" s="291"/>
    </row>
    <row r="119">
      <c r="C119" s="291"/>
    </row>
    <row r="120">
      <c r="C120" s="291"/>
    </row>
    <row r="121">
      <c r="C121" s="291"/>
    </row>
    <row r="122">
      <c r="C122" s="291"/>
    </row>
    <row r="123">
      <c r="C123" s="291"/>
    </row>
    <row r="124">
      <c r="C124" s="291"/>
    </row>
    <row r="125">
      <c r="C125" s="291"/>
    </row>
    <row r="126">
      <c r="C126" s="291"/>
    </row>
    <row r="127">
      <c r="C127" s="291"/>
    </row>
    <row r="128">
      <c r="C128" s="291"/>
    </row>
    <row r="129">
      <c r="C129" s="291"/>
    </row>
    <row r="130">
      <c r="C130" s="291"/>
    </row>
    <row r="131">
      <c r="C131" s="291"/>
    </row>
    <row r="132">
      <c r="C132" s="291"/>
    </row>
    <row r="133">
      <c r="C133" s="291"/>
    </row>
    <row r="134">
      <c r="C134" s="291"/>
    </row>
    <row r="135">
      <c r="C135" s="291"/>
    </row>
    <row r="136">
      <c r="C136" s="291"/>
    </row>
    <row r="137">
      <c r="C137" s="291"/>
    </row>
    <row r="138">
      <c r="C138" s="291"/>
    </row>
    <row r="139">
      <c r="C139" s="291"/>
    </row>
    <row r="140">
      <c r="C140" s="291"/>
    </row>
    <row r="141">
      <c r="C141" s="291"/>
    </row>
    <row r="142">
      <c r="C142" s="291"/>
    </row>
    <row r="143">
      <c r="C143" s="291"/>
    </row>
    <row r="144">
      <c r="C144" s="291"/>
    </row>
    <row r="145">
      <c r="C145" s="291"/>
    </row>
    <row r="146">
      <c r="C146" s="291"/>
    </row>
    <row r="147">
      <c r="C147" s="291"/>
    </row>
    <row r="148">
      <c r="C148" s="291"/>
    </row>
    <row r="149">
      <c r="C149" s="291"/>
    </row>
    <row r="150">
      <c r="C150" s="291"/>
    </row>
    <row r="151">
      <c r="C151" s="291"/>
    </row>
    <row r="152">
      <c r="C152" s="291"/>
    </row>
    <row r="153">
      <c r="C153" s="291"/>
    </row>
    <row r="154">
      <c r="C154" s="291"/>
    </row>
    <row r="155">
      <c r="C155" s="291"/>
    </row>
    <row r="156">
      <c r="C156" s="291"/>
    </row>
    <row r="157">
      <c r="C157" s="291"/>
    </row>
    <row r="158">
      <c r="C158" s="291"/>
    </row>
    <row r="159">
      <c r="C159" s="291"/>
    </row>
    <row r="160">
      <c r="C160" s="291"/>
    </row>
    <row r="161">
      <c r="C161" s="291"/>
    </row>
    <row r="162">
      <c r="C162" s="291"/>
    </row>
    <row r="163">
      <c r="C163" s="291"/>
    </row>
    <row r="164">
      <c r="C164" s="291"/>
    </row>
    <row r="165">
      <c r="C165" s="291"/>
    </row>
    <row r="166">
      <c r="C166" s="291"/>
    </row>
    <row r="167">
      <c r="C167" s="291"/>
    </row>
    <row r="168">
      <c r="C168" s="291"/>
    </row>
    <row r="169">
      <c r="C169" s="291"/>
    </row>
    <row r="170">
      <c r="C170" s="291"/>
    </row>
    <row r="171">
      <c r="C171" s="291"/>
    </row>
    <row r="172">
      <c r="C172" s="291"/>
    </row>
    <row r="173">
      <c r="C173" s="291"/>
    </row>
    <row r="174">
      <c r="C174" s="291"/>
    </row>
    <row r="175">
      <c r="C175" s="291"/>
    </row>
    <row r="176">
      <c r="C176" s="291"/>
    </row>
    <row r="177">
      <c r="C177" s="291"/>
    </row>
    <row r="178">
      <c r="C178" s="291"/>
    </row>
    <row r="179">
      <c r="C179" s="291"/>
    </row>
    <row r="180">
      <c r="C180" s="291"/>
    </row>
    <row r="181">
      <c r="C181" s="291"/>
    </row>
    <row r="182">
      <c r="C182" s="291"/>
    </row>
    <row r="183">
      <c r="C183" s="291"/>
    </row>
    <row r="184">
      <c r="C184" s="291"/>
    </row>
    <row r="185">
      <c r="C185" s="291"/>
    </row>
    <row r="186">
      <c r="C186" s="291"/>
    </row>
    <row r="187">
      <c r="C187" s="291"/>
    </row>
    <row r="188">
      <c r="C188" s="291"/>
    </row>
    <row r="189">
      <c r="C189" s="291"/>
    </row>
    <row r="190">
      <c r="C190" s="291"/>
    </row>
    <row r="191">
      <c r="C191" s="291"/>
    </row>
    <row r="192">
      <c r="C192" s="291"/>
    </row>
    <row r="193">
      <c r="C193" s="291"/>
    </row>
    <row r="194">
      <c r="C194" s="291"/>
    </row>
    <row r="195">
      <c r="C195" s="291"/>
    </row>
    <row r="196">
      <c r="C196" s="291"/>
    </row>
    <row r="197">
      <c r="C197" s="291"/>
    </row>
    <row r="198">
      <c r="C198" s="291"/>
    </row>
    <row r="199">
      <c r="C199" s="291"/>
    </row>
    <row r="200">
      <c r="C200" s="291"/>
    </row>
    <row r="201">
      <c r="C201" s="291"/>
    </row>
    <row r="202">
      <c r="C202" s="291"/>
    </row>
    <row r="203">
      <c r="C203" s="291"/>
    </row>
    <row r="204">
      <c r="C204" s="291"/>
    </row>
    <row r="205">
      <c r="C205" s="291"/>
    </row>
    <row r="206">
      <c r="C206" s="291"/>
    </row>
    <row r="207">
      <c r="C207" s="291"/>
    </row>
    <row r="208">
      <c r="C208" s="291"/>
    </row>
    <row r="209">
      <c r="C209" s="291"/>
    </row>
    <row r="210">
      <c r="C210" s="291"/>
    </row>
    <row r="211">
      <c r="C211" s="291"/>
    </row>
    <row r="212">
      <c r="C212" s="291"/>
    </row>
    <row r="213">
      <c r="C213" s="291"/>
    </row>
    <row r="214">
      <c r="C214" s="291"/>
    </row>
    <row r="215">
      <c r="C215" s="291"/>
    </row>
    <row r="216">
      <c r="C216" s="291"/>
    </row>
    <row r="217">
      <c r="C217" s="291"/>
    </row>
    <row r="218">
      <c r="C218" s="291"/>
    </row>
    <row r="219">
      <c r="C219" s="291"/>
    </row>
    <row r="220">
      <c r="C220" s="291"/>
    </row>
    <row r="221">
      <c r="C221" s="291"/>
    </row>
    <row r="222">
      <c r="C222" s="291"/>
    </row>
    <row r="223">
      <c r="C223" s="291"/>
    </row>
    <row r="224">
      <c r="C224" s="291"/>
    </row>
    <row r="225">
      <c r="C225" s="291"/>
    </row>
    <row r="226">
      <c r="C226" s="291"/>
    </row>
    <row r="227">
      <c r="C227" s="291"/>
    </row>
    <row r="228">
      <c r="C228" s="291"/>
    </row>
    <row r="229">
      <c r="C229" s="291"/>
    </row>
    <row r="230">
      <c r="C230" s="291"/>
    </row>
    <row r="231">
      <c r="C231" s="291"/>
    </row>
    <row r="232">
      <c r="C232" s="291"/>
    </row>
    <row r="233">
      <c r="C233" s="291"/>
    </row>
    <row r="234">
      <c r="C234" s="291"/>
    </row>
    <row r="235">
      <c r="C235" s="291"/>
    </row>
    <row r="236">
      <c r="C236" s="291"/>
    </row>
    <row r="237">
      <c r="C237" s="291"/>
    </row>
    <row r="238">
      <c r="C238" s="291"/>
    </row>
    <row r="239">
      <c r="C239" s="291"/>
    </row>
    <row r="240">
      <c r="C240" s="291"/>
    </row>
    <row r="241">
      <c r="C241" s="291"/>
    </row>
    <row r="242">
      <c r="C242" s="291"/>
    </row>
    <row r="243">
      <c r="C243" s="291"/>
    </row>
    <row r="244">
      <c r="C244" s="291"/>
    </row>
    <row r="245">
      <c r="C245" s="291"/>
    </row>
    <row r="246">
      <c r="C246" s="291"/>
    </row>
    <row r="247">
      <c r="C247" s="291"/>
    </row>
    <row r="248">
      <c r="C248" s="291"/>
    </row>
    <row r="249">
      <c r="C249" s="291"/>
    </row>
    <row r="250">
      <c r="C250" s="291"/>
    </row>
    <row r="251">
      <c r="C251" s="291"/>
    </row>
    <row r="252">
      <c r="C252" s="291"/>
    </row>
    <row r="253">
      <c r="C253" s="291"/>
    </row>
    <row r="254">
      <c r="C254" s="291"/>
    </row>
    <row r="255">
      <c r="C255" s="291"/>
    </row>
    <row r="256">
      <c r="C256" s="291"/>
    </row>
    <row r="257">
      <c r="C257" s="291"/>
    </row>
    <row r="258">
      <c r="C258" s="291"/>
    </row>
    <row r="259">
      <c r="C259" s="291"/>
    </row>
    <row r="260">
      <c r="C260" s="291"/>
    </row>
    <row r="261">
      <c r="C261" s="291"/>
    </row>
    <row r="262">
      <c r="C262" s="291"/>
    </row>
    <row r="263">
      <c r="C263" s="291"/>
    </row>
    <row r="264">
      <c r="C264" s="291"/>
    </row>
    <row r="265">
      <c r="C265" s="291"/>
    </row>
    <row r="266">
      <c r="C266" s="291"/>
    </row>
    <row r="267">
      <c r="C267" s="291"/>
    </row>
    <row r="268">
      <c r="C268" s="291"/>
    </row>
    <row r="269">
      <c r="C269" s="291"/>
    </row>
    <row r="270">
      <c r="C270" s="291"/>
    </row>
    <row r="271">
      <c r="C271" s="291"/>
    </row>
    <row r="272">
      <c r="C272" s="291"/>
    </row>
    <row r="273">
      <c r="C273" s="291"/>
    </row>
    <row r="274">
      <c r="C274" s="291"/>
    </row>
    <row r="275">
      <c r="C275" s="291"/>
    </row>
    <row r="276">
      <c r="C276" s="291"/>
    </row>
    <row r="277">
      <c r="C277" s="291"/>
    </row>
    <row r="278">
      <c r="C278" s="291"/>
    </row>
    <row r="279">
      <c r="C279" s="291"/>
    </row>
    <row r="280">
      <c r="C280" s="291"/>
    </row>
    <row r="281">
      <c r="C281" s="291"/>
    </row>
    <row r="282">
      <c r="C282" s="291"/>
    </row>
    <row r="283">
      <c r="C283" s="291"/>
    </row>
    <row r="284">
      <c r="C284" s="291"/>
    </row>
    <row r="285">
      <c r="C285" s="291"/>
    </row>
    <row r="286">
      <c r="C286" s="291"/>
    </row>
    <row r="287">
      <c r="C287" s="291"/>
    </row>
    <row r="288">
      <c r="C288" s="291"/>
    </row>
    <row r="289">
      <c r="C289" s="291"/>
    </row>
    <row r="290">
      <c r="C290" s="291"/>
    </row>
    <row r="291">
      <c r="C291" s="291"/>
    </row>
    <row r="292">
      <c r="C292" s="291"/>
    </row>
    <row r="293">
      <c r="C293" s="291"/>
    </row>
    <row r="294">
      <c r="C294" s="291"/>
    </row>
    <row r="295">
      <c r="C295" s="291"/>
    </row>
    <row r="296">
      <c r="C296" s="291"/>
    </row>
    <row r="297">
      <c r="C297" s="291"/>
    </row>
    <row r="298">
      <c r="C298" s="291"/>
    </row>
    <row r="299">
      <c r="C299" s="291"/>
    </row>
    <row r="300">
      <c r="C300" s="291"/>
    </row>
    <row r="301">
      <c r="C301" s="291"/>
    </row>
    <row r="302">
      <c r="C302" s="291"/>
    </row>
    <row r="303">
      <c r="C303" s="291"/>
    </row>
    <row r="304">
      <c r="C304" s="291"/>
    </row>
    <row r="305">
      <c r="C305" s="291"/>
    </row>
    <row r="306">
      <c r="C306" s="291"/>
    </row>
    <row r="307">
      <c r="C307" s="291"/>
    </row>
    <row r="308">
      <c r="C308" s="291"/>
    </row>
    <row r="309">
      <c r="C309" s="291"/>
    </row>
    <row r="310">
      <c r="C310" s="291"/>
    </row>
    <row r="311">
      <c r="C311" s="291"/>
    </row>
    <row r="312">
      <c r="C312" s="291"/>
    </row>
    <row r="313">
      <c r="C313" s="291"/>
    </row>
    <row r="314">
      <c r="C314" s="291"/>
    </row>
    <row r="315">
      <c r="C315" s="291"/>
    </row>
    <row r="316">
      <c r="C316" s="291"/>
    </row>
    <row r="317">
      <c r="C317" s="291"/>
    </row>
    <row r="318">
      <c r="C318" s="291"/>
    </row>
    <row r="319">
      <c r="C319" s="291"/>
    </row>
    <row r="320">
      <c r="C320" s="291"/>
    </row>
    <row r="321">
      <c r="C321" s="291"/>
    </row>
    <row r="322">
      <c r="C322" s="291"/>
    </row>
    <row r="323">
      <c r="C323" s="291"/>
    </row>
    <row r="324">
      <c r="C324" s="291"/>
    </row>
    <row r="325">
      <c r="C325" s="291"/>
    </row>
    <row r="326">
      <c r="C326" s="291"/>
    </row>
    <row r="327">
      <c r="C327" s="291"/>
    </row>
    <row r="328">
      <c r="C328" s="291"/>
    </row>
    <row r="329">
      <c r="C329" s="291"/>
    </row>
    <row r="330">
      <c r="C330" s="291"/>
    </row>
    <row r="331">
      <c r="C331" s="291"/>
    </row>
    <row r="332">
      <c r="C332" s="291"/>
    </row>
    <row r="333">
      <c r="C333" s="291"/>
    </row>
    <row r="334">
      <c r="C334" s="291"/>
    </row>
    <row r="335">
      <c r="C335" s="291"/>
    </row>
    <row r="336">
      <c r="C336" s="291"/>
    </row>
    <row r="337">
      <c r="C337" s="291"/>
    </row>
    <row r="338">
      <c r="C338" s="291"/>
    </row>
    <row r="339">
      <c r="C339" s="291"/>
    </row>
    <row r="340">
      <c r="C340" s="291"/>
    </row>
    <row r="341">
      <c r="C341" s="291"/>
    </row>
    <row r="342">
      <c r="C342" s="291"/>
    </row>
    <row r="343">
      <c r="C343" s="291"/>
    </row>
    <row r="344">
      <c r="C344" s="291"/>
    </row>
    <row r="345">
      <c r="C345" s="291"/>
    </row>
    <row r="346">
      <c r="C346" s="291"/>
    </row>
    <row r="347">
      <c r="C347" s="291"/>
    </row>
    <row r="348">
      <c r="C348" s="291"/>
    </row>
    <row r="349">
      <c r="C349" s="291"/>
    </row>
    <row r="350">
      <c r="C350" s="291"/>
    </row>
    <row r="351">
      <c r="C351" s="291"/>
    </row>
    <row r="352">
      <c r="C352" s="291"/>
    </row>
    <row r="353">
      <c r="C353" s="291"/>
    </row>
    <row r="354">
      <c r="C354" s="291"/>
    </row>
    <row r="355">
      <c r="C355" s="291"/>
    </row>
    <row r="356">
      <c r="C356" s="291"/>
    </row>
    <row r="357">
      <c r="C357" s="291"/>
    </row>
    <row r="358">
      <c r="C358" s="291"/>
    </row>
    <row r="359">
      <c r="C359" s="291"/>
    </row>
    <row r="360">
      <c r="C360" s="291"/>
    </row>
    <row r="361">
      <c r="C361" s="291"/>
    </row>
    <row r="362">
      <c r="C362" s="291"/>
    </row>
    <row r="363">
      <c r="C363" s="291"/>
    </row>
    <row r="364">
      <c r="C364" s="291"/>
    </row>
    <row r="365">
      <c r="C365" s="291"/>
    </row>
    <row r="366">
      <c r="C366" s="291"/>
    </row>
    <row r="367">
      <c r="C367" s="291"/>
    </row>
    <row r="368">
      <c r="C368" s="291"/>
    </row>
    <row r="369">
      <c r="C369" s="291"/>
    </row>
    <row r="370">
      <c r="C370" s="291"/>
    </row>
    <row r="371">
      <c r="C371" s="291"/>
    </row>
    <row r="372">
      <c r="C372" s="291"/>
    </row>
    <row r="373">
      <c r="C373" s="291"/>
    </row>
    <row r="374">
      <c r="C374" s="291"/>
    </row>
    <row r="375">
      <c r="C375" s="291"/>
    </row>
    <row r="376">
      <c r="C376" s="291"/>
    </row>
    <row r="377">
      <c r="C377" s="291"/>
    </row>
    <row r="378">
      <c r="C378" s="291"/>
    </row>
    <row r="379">
      <c r="C379" s="291"/>
    </row>
    <row r="380">
      <c r="C380" s="291"/>
    </row>
    <row r="381">
      <c r="C381" s="291"/>
    </row>
    <row r="382">
      <c r="C382" s="291"/>
    </row>
    <row r="383">
      <c r="C383" s="291"/>
    </row>
    <row r="384">
      <c r="C384" s="291"/>
    </row>
    <row r="385">
      <c r="C385" s="291"/>
    </row>
    <row r="386">
      <c r="C386" s="291"/>
    </row>
    <row r="387">
      <c r="C387" s="291"/>
    </row>
    <row r="388">
      <c r="C388" s="291"/>
    </row>
    <row r="389">
      <c r="C389" s="291"/>
    </row>
    <row r="390">
      <c r="C390" s="291"/>
    </row>
    <row r="391">
      <c r="C391" s="291"/>
    </row>
    <row r="392">
      <c r="C392" s="291"/>
    </row>
    <row r="393">
      <c r="C393" s="291"/>
    </row>
    <row r="394">
      <c r="C394" s="291"/>
    </row>
    <row r="395">
      <c r="C395" s="291"/>
    </row>
    <row r="396">
      <c r="C396" s="291"/>
    </row>
    <row r="397">
      <c r="C397" s="291"/>
    </row>
    <row r="398">
      <c r="C398" s="291"/>
    </row>
    <row r="399">
      <c r="C399" s="291"/>
    </row>
    <row r="400">
      <c r="C400" s="291"/>
    </row>
    <row r="401">
      <c r="C401" s="291"/>
    </row>
    <row r="402">
      <c r="C402" s="291"/>
    </row>
    <row r="403">
      <c r="C403" s="291"/>
    </row>
    <row r="404">
      <c r="C404" s="291"/>
    </row>
    <row r="405">
      <c r="C405" s="291"/>
    </row>
    <row r="406">
      <c r="C406" s="291"/>
    </row>
    <row r="407">
      <c r="C407" s="291"/>
    </row>
    <row r="408">
      <c r="C408" s="291"/>
    </row>
    <row r="409">
      <c r="C409" s="291"/>
    </row>
    <row r="410">
      <c r="C410" s="291"/>
    </row>
    <row r="411">
      <c r="C411" s="291"/>
    </row>
    <row r="412">
      <c r="C412" s="291"/>
    </row>
    <row r="413">
      <c r="C413" s="291"/>
    </row>
    <row r="414">
      <c r="C414" s="291"/>
    </row>
    <row r="415">
      <c r="C415" s="291"/>
    </row>
    <row r="416">
      <c r="C416" s="291"/>
    </row>
    <row r="417">
      <c r="C417" s="291"/>
    </row>
    <row r="418">
      <c r="C418" s="291"/>
    </row>
    <row r="419">
      <c r="C419" s="291"/>
    </row>
    <row r="420">
      <c r="C420" s="291"/>
    </row>
    <row r="421">
      <c r="C421" s="291"/>
    </row>
    <row r="422">
      <c r="C422" s="291"/>
    </row>
    <row r="423">
      <c r="C423" s="291"/>
    </row>
    <row r="424">
      <c r="C424" s="291"/>
    </row>
    <row r="425">
      <c r="C425" s="291"/>
    </row>
    <row r="426">
      <c r="C426" s="291"/>
    </row>
    <row r="427">
      <c r="C427" s="291"/>
    </row>
    <row r="428">
      <c r="C428" s="291"/>
    </row>
    <row r="429">
      <c r="C429" s="291"/>
    </row>
    <row r="430">
      <c r="C430" s="291"/>
    </row>
    <row r="431">
      <c r="C431" s="291"/>
    </row>
    <row r="432">
      <c r="C432" s="291"/>
    </row>
    <row r="433">
      <c r="C433" s="291"/>
    </row>
    <row r="434">
      <c r="C434" s="291"/>
    </row>
    <row r="435">
      <c r="C435" s="291"/>
    </row>
    <row r="436">
      <c r="C436" s="291"/>
    </row>
    <row r="437">
      <c r="C437" s="291"/>
    </row>
    <row r="438">
      <c r="C438" s="291"/>
    </row>
    <row r="439">
      <c r="C439" s="291"/>
    </row>
    <row r="440">
      <c r="C440" s="291"/>
    </row>
    <row r="441">
      <c r="C441" s="291"/>
    </row>
    <row r="442">
      <c r="C442" s="291"/>
    </row>
    <row r="443">
      <c r="C443" s="291"/>
    </row>
    <row r="444">
      <c r="C444" s="291"/>
    </row>
    <row r="445">
      <c r="C445" s="291"/>
    </row>
    <row r="446">
      <c r="C446" s="291"/>
    </row>
    <row r="447">
      <c r="C447" s="291"/>
    </row>
    <row r="448">
      <c r="C448" s="291"/>
    </row>
    <row r="449">
      <c r="C449" s="291"/>
    </row>
    <row r="450">
      <c r="C450" s="291"/>
    </row>
    <row r="451">
      <c r="C451" s="291"/>
    </row>
    <row r="452">
      <c r="C452" s="291"/>
    </row>
    <row r="453">
      <c r="C453" s="291"/>
    </row>
    <row r="454">
      <c r="C454" s="291"/>
    </row>
    <row r="455">
      <c r="C455" s="291"/>
    </row>
    <row r="456">
      <c r="C456" s="291"/>
    </row>
    <row r="457">
      <c r="C457" s="291"/>
    </row>
    <row r="458">
      <c r="C458" s="291"/>
    </row>
    <row r="459">
      <c r="C459" s="291"/>
    </row>
    <row r="460">
      <c r="C460" s="291"/>
    </row>
    <row r="461">
      <c r="C461" s="291"/>
    </row>
    <row r="462">
      <c r="C462" s="291"/>
    </row>
    <row r="463">
      <c r="C463" s="291"/>
    </row>
    <row r="464">
      <c r="C464" s="291"/>
    </row>
    <row r="465">
      <c r="C465" s="291"/>
    </row>
    <row r="466">
      <c r="C466" s="291"/>
    </row>
    <row r="467">
      <c r="C467" s="291"/>
    </row>
    <row r="468">
      <c r="C468" s="291"/>
    </row>
    <row r="469">
      <c r="C469" s="291"/>
    </row>
    <row r="470">
      <c r="C470" s="291"/>
    </row>
    <row r="471">
      <c r="C471" s="291"/>
    </row>
    <row r="472">
      <c r="C472" s="291"/>
    </row>
    <row r="473">
      <c r="C473" s="291"/>
    </row>
    <row r="474">
      <c r="C474" s="291"/>
    </row>
    <row r="475">
      <c r="C475" s="291"/>
    </row>
    <row r="476">
      <c r="C476" s="291"/>
    </row>
    <row r="477">
      <c r="C477" s="291"/>
    </row>
    <row r="478">
      <c r="C478" s="291"/>
    </row>
    <row r="479">
      <c r="C479" s="291"/>
    </row>
    <row r="480">
      <c r="C480" s="291"/>
    </row>
    <row r="481">
      <c r="C481" s="291"/>
    </row>
    <row r="482">
      <c r="C482" s="291"/>
    </row>
    <row r="483">
      <c r="C483" s="291"/>
    </row>
    <row r="484">
      <c r="C484" s="291"/>
    </row>
    <row r="485">
      <c r="C485" s="291"/>
    </row>
    <row r="486">
      <c r="C486" s="291"/>
    </row>
    <row r="487">
      <c r="C487" s="291"/>
    </row>
    <row r="488">
      <c r="C488" s="291"/>
    </row>
    <row r="489">
      <c r="C489" s="291"/>
    </row>
    <row r="490">
      <c r="C490" s="291"/>
    </row>
    <row r="491">
      <c r="C491" s="291"/>
    </row>
    <row r="492">
      <c r="C492" s="291"/>
    </row>
    <row r="493">
      <c r="C493" s="291"/>
    </row>
    <row r="494">
      <c r="C494" s="291"/>
    </row>
    <row r="495">
      <c r="C495" s="291"/>
    </row>
    <row r="496">
      <c r="C496" s="291"/>
    </row>
    <row r="497">
      <c r="C497" s="291"/>
    </row>
    <row r="498">
      <c r="C498" s="291"/>
    </row>
    <row r="499">
      <c r="C499" s="291"/>
    </row>
    <row r="500">
      <c r="C500" s="291"/>
    </row>
    <row r="501">
      <c r="C501" s="291"/>
    </row>
    <row r="502">
      <c r="C502" s="291"/>
    </row>
    <row r="503">
      <c r="C503" s="291"/>
    </row>
    <row r="504">
      <c r="C504" s="291"/>
    </row>
    <row r="505">
      <c r="C505" s="291"/>
    </row>
    <row r="506">
      <c r="C506" s="291"/>
    </row>
    <row r="507">
      <c r="C507" s="291"/>
    </row>
    <row r="508">
      <c r="C508" s="291"/>
    </row>
    <row r="509">
      <c r="C509" s="291"/>
    </row>
    <row r="510">
      <c r="C510" s="291"/>
    </row>
    <row r="511">
      <c r="C511" s="291"/>
    </row>
    <row r="512">
      <c r="C512" s="291"/>
    </row>
    <row r="513">
      <c r="C513" s="291"/>
    </row>
    <row r="514">
      <c r="C514" s="291"/>
    </row>
    <row r="515">
      <c r="C515" s="291"/>
    </row>
    <row r="516">
      <c r="C516" s="291"/>
    </row>
    <row r="517">
      <c r="C517" s="291"/>
    </row>
    <row r="518">
      <c r="C518" s="291"/>
    </row>
    <row r="519">
      <c r="C519" s="291"/>
    </row>
    <row r="520">
      <c r="C520" s="291"/>
    </row>
    <row r="521">
      <c r="C521" s="291"/>
    </row>
    <row r="522">
      <c r="C522" s="291"/>
    </row>
    <row r="523">
      <c r="C523" s="291"/>
    </row>
    <row r="524">
      <c r="C524" s="291"/>
    </row>
    <row r="525">
      <c r="C525" s="291"/>
    </row>
    <row r="526">
      <c r="C526" s="291"/>
    </row>
    <row r="527">
      <c r="C527" s="291"/>
    </row>
    <row r="528">
      <c r="C528" s="291"/>
    </row>
    <row r="529">
      <c r="C529" s="291"/>
    </row>
    <row r="530">
      <c r="C530" s="291"/>
    </row>
    <row r="531">
      <c r="C531" s="291"/>
    </row>
    <row r="532">
      <c r="C532" s="291"/>
    </row>
    <row r="533">
      <c r="C533" s="291"/>
    </row>
    <row r="534">
      <c r="C534" s="291"/>
    </row>
    <row r="535">
      <c r="C535" s="291"/>
    </row>
    <row r="536">
      <c r="C536" s="291"/>
    </row>
    <row r="537">
      <c r="C537" s="291"/>
    </row>
    <row r="538">
      <c r="C538" s="291"/>
    </row>
    <row r="539">
      <c r="C539" s="291"/>
    </row>
    <row r="540">
      <c r="C540" s="291"/>
    </row>
    <row r="541">
      <c r="C541" s="291"/>
    </row>
    <row r="542">
      <c r="C542" s="291"/>
    </row>
    <row r="543">
      <c r="C543" s="291"/>
    </row>
    <row r="544">
      <c r="C544" s="291"/>
    </row>
    <row r="545">
      <c r="C545" s="291"/>
    </row>
    <row r="546">
      <c r="C546" s="291"/>
    </row>
    <row r="547">
      <c r="C547" s="291"/>
    </row>
    <row r="548">
      <c r="C548" s="291"/>
    </row>
    <row r="549">
      <c r="C549" s="291"/>
    </row>
    <row r="550">
      <c r="C550" s="291"/>
    </row>
    <row r="551">
      <c r="C551" s="291"/>
    </row>
    <row r="552">
      <c r="C552" s="291"/>
    </row>
    <row r="553">
      <c r="C553" s="291"/>
    </row>
    <row r="554">
      <c r="C554" s="291"/>
    </row>
    <row r="555">
      <c r="C555" s="291"/>
    </row>
    <row r="556">
      <c r="C556" s="291"/>
    </row>
    <row r="557">
      <c r="C557" s="291"/>
    </row>
    <row r="558">
      <c r="C558" s="291"/>
    </row>
    <row r="559">
      <c r="C559" s="291"/>
    </row>
    <row r="560">
      <c r="C560" s="291"/>
    </row>
    <row r="561">
      <c r="C561" s="291"/>
    </row>
    <row r="562">
      <c r="C562" s="291"/>
    </row>
    <row r="563">
      <c r="C563" s="291"/>
    </row>
    <row r="564">
      <c r="C564" s="291"/>
    </row>
    <row r="565">
      <c r="C565" s="291"/>
    </row>
    <row r="566">
      <c r="C566" s="291"/>
    </row>
    <row r="567">
      <c r="C567" s="291"/>
    </row>
    <row r="568">
      <c r="C568" s="291"/>
    </row>
    <row r="569">
      <c r="C569" s="291"/>
    </row>
    <row r="570">
      <c r="C570" s="291"/>
    </row>
    <row r="571">
      <c r="C571" s="291"/>
    </row>
    <row r="572">
      <c r="C572" s="291"/>
    </row>
    <row r="573">
      <c r="C573" s="291"/>
    </row>
    <row r="574">
      <c r="C574" s="291"/>
    </row>
    <row r="575">
      <c r="C575" s="291"/>
    </row>
    <row r="576">
      <c r="C576" s="291"/>
    </row>
    <row r="577">
      <c r="C577" s="291"/>
    </row>
    <row r="578">
      <c r="C578" s="291"/>
    </row>
    <row r="579">
      <c r="C579" s="291"/>
    </row>
    <row r="580">
      <c r="C580" s="291"/>
    </row>
    <row r="581">
      <c r="C581" s="291"/>
    </row>
    <row r="582">
      <c r="C582" s="291"/>
    </row>
    <row r="583">
      <c r="C583" s="291"/>
    </row>
    <row r="584">
      <c r="C584" s="291"/>
    </row>
    <row r="585">
      <c r="C585" s="291"/>
    </row>
    <row r="586">
      <c r="C586" s="291"/>
    </row>
    <row r="587">
      <c r="C587" s="291"/>
    </row>
    <row r="588">
      <c r="C588" s="291"/>
    </row>
    <row r="589">
      <c r="C589" s="291"/>
    </row>
    <row r="590">
      <c r="C590" s="291"/>
    </row>
    <row r="591">
      <c r="C591" s="291"/>
    </row>
    <row r="592">
      <c r="C592" s="291"/>
    </row>
    <row r="593">
      <c r="C593" s="291"/>
    </row>
    <row r="594">
      <c r="C594" s="291"/>
    </row>
    <row r="595">
      <c r="C595" s="291"/>
    </row>
    <row r="596">
      <c r="C596" s="291"/>
    </row>
    <row r="597">
      <c r="C597" s="291"/>
    </row>
    <row r="598">
      <c r="C598" s="291"/>
    </row>
    <row r="599">
      <c r="C599" s="291"/>
    </row>
    <row r="600">
      <c r="C600" s="291"/>
    </row>
    <row r="601">
      <c r="C601" s="291"/>
    </row>
    <row r="602">
      <c r="C602" s="291"/>
    </row>
    <row r="603">
      <c r="C603" s="291"/>
    </row>
    <row r="604">
      <c r="C604" s="291"/>
    </row>
    <row r="605">
      <c r="C605" s="291"/>
    </row>
    <row r="606">
      <c r="C606" s="291"/>
    </row>
    <row r="607">
      <c r="C607" s="291"/>
    </row>
    <row r="608">
      <c r="C608" s="291"/>
    </row>
    <row r="609">
      <c r="C609" s="291"/>
    </row>
    <row r="610">
      <c r="C610" s="291"/>
    </row>
    <row r="611">
      <c r="C611" s="291"/>
    </row>
    <row r="612">
      <c r="C612" s="291"/>
    </row>
    <row r="613">
      <c r="C613" s="291"/>
    </row>
    <row r="614">
      <c r="C614" s="291"/>
    </row>
    <row r="615">
      <c r="C615" s="291"/>
    </row>
    <row r="616">
      <c r="C616" s="291"/>
    </row>
    <row r="617">
      <c r="C617" s="291"/>
    </row>
    <row r="618">
      <c r="C618" s="291"/>
    </row>
    <row r="619">
      <c r="C619" s="291"/>
    </row>
    <row r="620">
      <c r="C620" s="291"/>
    </row>
    <row r="621">
      <c r="C621" s="291"/>
    </row>
    <row r="622">
      <c r="C622" s="291"/>
    </row>
    <row r="623">
      <c r="C623" s="291"/>
    </row>
    <row r="624">
      <c r="C624" s="291"/>
    </row>
    <row r="625">
      <c r="C625" s="291"/>
    </row>
    <row r="626">
      <c r="C626" s="291"/>
    </row>
    <row r="627">
      <c r="C627" s="291"/>
    </row>
    <row r="628">
      <c r="C628" s="291"/>
    </row>
    <row r="629">
      <c r="C629" s="291"/>
    </row>
    <row r="630">
      <c r="C630" s="291"/>
    </row>
    <row r="631">
      <c r="C631" s="291"/>
    </row>
    <row r="632">
      <c r="C632" s="291"/>
    </row>
    <row r="633">
      <c r="C633" s="291"/>
    </row>
    <row r="634">
      <c r="C634" s="291"/>
    </row>
    <row r="635">
      <c r="C635" s="291"/>
    </row>
    <row r="636">
      <c r="C636" s="291"/>
    </row>
    <row r="637">
      <c r="C637" s="291"/>
    </row>
    <row r="638">
      <c r="C638" s="291"/>
    </row>
    <row r="639">
      <c r="C639" s="291"/>
    </row>
    <row r="640">
      <c r="C640" s="291"/>
    </row>
    <row r="641">
      <c r="C641" s="291"/>
    </row>
    <row r="642">
      <c r="C642" s="291"/>
    </row>
    <row r="643">
      <c r="C643" s="291"/>
    </row>
    <row r="644">
      <c r="C644" s="291"/>
    </row>
    <row r="645">
      <c r="C645" s="291"/>
    </row>
    <row r="646">
      <c r="C646" s="291"/>
    </row>
    <row r="647">
      <c r="C647" s="291"/>
    </row>
    <row r="648">
      <c r="C648" s="291"/>
    </row>
    <row r="649">
      <c r="C649" s="291"/>
    </row>
    <row r="650">
      <c r="C650" s="291"/>
    </row>
    <row r="651">
      <c r="C651" s="291"/>
    </row>
    <row r="652">
      <c r="C652" s="291"/>
    </row>
    <row r="653">
      <c r="C653" s="291"/>
    </row>
    <row r="654">
      <c r="C654" s="291"/>
    </row>
    <row r="655">
      <c r="C655" s="291"/>
    </row>
    <row r="656">
      <c r="C656" s="291"/>
    </row>
    <row r="657">
      <c r="C657" s="291"/>
    </row>
    <row r="658">
      <c r="C658" s="291"/>
    </row>
    <row r="659">
      <c r="C659" s="291"/>
    </row>
    <row r="660">
      <c r="C660" s="291"/>
    </row>
    <row r="661">
      <c r="C661" s="291"/>
    </row>
    <row r="662">
      <c r="C662" s="291"/>
    </row>
    <row r="663">
      <c r="C663" s="291"/>
    </row>
    <row r="664">
      <c r="C664" s="291"/>
    </row>
    <row r="665">
      <c r="C665" s="291"/>
    </row>
    <row r="666">
      <c r="C666" s="291"/>
    </row>
    <row r="667">
      <c r="C667" s="291"/>
    </row>
    <row r="668">
      <c r="C668" s="291"/>
    </row>
    <row r="669">
      <c r="C669" s="291"/>
    </row>
    <row r="670">
      <c r="C670" s="291"/>
    </row>
    <row r="671">
      <c r="C671" s="291"/>
    </row>
    <row r="672">
      <c r="C672" s="291"/>
    </row>
    <row r="673">
      <c r="C673" s="291"/>
    </row>
    <row r="674">
      <c r="C674" s="291"/>
    </row>
    <row r="675">
      <c r="C675" s="291"/>
    </row>
    <row r="676">
      <c r="C676" s="291"/>
    </row>
    <row r="677">
      <c r="C677" s="291"/>
    </row>
    <row r="678">
      <c r="C678" s="291"/>
    </row>
    <row r="679">
      <c r="C679" s="291"/>
    </row>
    <row r="680">
      <c r="C680" s="291"/>
    </row>
    <row r="681">
      <c r="C681" s="291"/>
    </row>
    <row r="682">
      <c r="C682" s="291"/>
    </row>
    <row r="683">
      <c r="C683" s="291"/>
    </row>
    <row r="684">
      <c r="C684" s="291"/>
    </row>
    <row r="685">
      <c r="C685" s="291"/>
    </row>
    <row r="686">
      <c r="C686" s="291"/>
    </row>
    <row r="687">
      <c r="C687" s="291"/>
    </row>
    <row r="688">
      <c r="C688" s="291"/>
    </row>
    <row r="689">
      <c r="C689" s="291"/>
    </row>
    <row r="690">
      <c r="C690" s="291"/>
    </row>
    <row r="691">
      <c r="C691" s="291"/>
    </row>
    <row r="692">
      <c r="C692" s="291"/>
    </row>
    <row r="693">
      <c r="C693" s="291"/>
    </row>
    <row r="694">
      <c r="C694" s="291"/>
    </row>
    <row r="695">
      <c r="C695" s="291"/>
    </row>
    <row r="696">
      <c r="C696" s="291"/>
    </row>
    <row r="697">
      <c r="C697" s="291"/>
    </row>
    <row r="698">
      <c r="C698" s="291"/>
    </row>
    <row r="699">
      <c r="C699" s="291"/>
    </row>
    <row r="700">
      <c r="C700" s="291"/>
    </row>
    <row r="701">
      <c r="C701" s="291"/>
    </row>
    <row r="702">
      <c r="C702" s="291"/>
    </row>
    <row r="703">
      <c r="C703" s="291"/>
    </row>
    <row r="704">
      <c r="C704" s="291"/>
    </row>
    <row r="705">
      <c r="C705" s="291"/>
    </row>
    <row r="706">
      <c r="C706" s="291"/>
    </row>
    <row r="707">
      <c r="C707" s="291"/>
    </row>
    <row r="708">
      <c r="C708" s="291"/>
    </row>
    <row r="709">
      <c r="C709" s="291"/>
    </row>
    <row r="710">
      <c r="C710" s="291"/>
    </row>
    <row r="711">
      <c r="C711" s="291"/>
    </row>
    <row r="712">
      <c r="C712" s="291"/>
    </row>
    <row r="713">
      <c r="C713" s="291"/>
    </row>
    <row r="714">
      <c r="C714" s="291"/>
    </row>
    <row r="715">
      <c r="C715" s="291"/>
    </row>
    <row r="716">
      <c r="C716" s="291"/>
    </row>
    <row r="717">
      <c r="C717" s="291"/>
    </row>
    <row r="718">
      <c r="C718" s="291"/>
    </row>
    <row r="719">
      <c r="C719" s="291"/>
    </row>
    <row r="720">
      <c r="C720" s="291"/>
    </row>
    <row r="721">
      <c r="C721" s="291"/>
    </row>
    <row r="722">
      <c r="C722" s="291"/>
    </row>
    <row r="723">
      <c r="C723" s="291"/>
    </row>
    <row r="724">
      <c r="C724" s="291"/>
    </row>
    <row r="725">
      <c r="C725" s="291"/>
    </row>
    <row r="726">
      <c r="C726" s="291"/>
    </row>
    <row r="727">
      <c r="C727" s="291"/>
    </row>
    <row r="728">
      <c r="C728" s="291"/>
    </row>
    <row r="729">
      <c r="C729" s="291"/>
    </row>
    <row r="730">
      <c r="C730" s="291"/>
    </row>
    <row r="731">
      <c r="C731" s="291"/>
    </row>
    <row r="732">
      <c r="C732" s="291"/>
    </row>
    <row r="733">
      <c r="C733" s="291"/>
    </row>
    <row r="734">
      <c r="C734" s="291"/>
    </row>
    <row r="735">
      <c r="C735" s="291"/>
    </row>
    <row r="736">
      <c r="C736" s="291"/>
    </row>
    <row r="737">
      <c r="C737" s="291"/>
    </row>
    <row r="738">
      <c r="C738" s="291"/>
    </row>
    <row r="739">
      <c r="C739" s="291"/>
    </row>
    <row r="740">
      <c r="C740" s="291"/>
    </row>
    <row r="741">
      <c r="C741" s="291"/>
    </row>
    <row r="742">
      <c r="C742" s="291"/>
    </row>
    <row r="743">
      <c r="C743" s="291"/>
    </row>
    <row r="744">
      <c r="C744" s="291"/>
    </row>
    <row r="745">
      <c r="C745" s="291"/>
    </row>
    <row r="746">
      <c r="C746" s="291"/>
    </row>
    <row r="747">
      <c r="C747" s="291"/>
    </row>
    <row r="748">
      <c r="C748" s="291"/>
    </row>
    <row r="749">
      <c r="C749" s="291"/>
    </row>
    <row r="750">
      <c r="C750" s="291"/>
    </row>
    <row r="751">
      <c r="C751" s="291"/>
    </row>
    <row r="752">
      <c r="C752" s="291"/>
    </row>
    <row r="753">
      <c r="C753" s="291"/>
    </row>
    <row r="754">
      <c r="C754" s="291"/>
    </row>
    <row r="755">
      <c r="C755" s="291"/>
    </row>
    <row r="756">
      <c r="C756" s="291"/>
    </row>
    <row r="757">
      <c r="C757" s="291"/>
    </row>
    <row r="758">
      <c r="C758" s="291"/>
    </row>
    <row r="759">
      <c r="C759" s="291"/>
    </row>
    <row r="760">
      <c r="C760" s="291"/>
    </row>
    <row r="761">
      <c r="C761" s="291"/>
    </row>
    <row r="762">
      <c r="C762" s="291"/>
    </row>
    <row r="763">
      <c r="C763" s="291"/>
    </row>
    <row r="764">
      <c r="C764" s="291"/>
    </row>
    <row r="765">
      <c r="C765" s="291"/>
    </row>
    <row r="766">
      <c r="C766" s="291"/>
    </row>
    <row r="767">
      <c r="C767" s="291"/>
    </row>
    <row r="768">
      <c r="C768" s="291"/>
    </row>
    <row r="769">
      <c r="C769" s="291"/>
    </row>
    <row r="770">
      <c r="C770" s="291"/>
    </row>
    <row r="771">
      <c r="C771" s="291"/>
    </row>
    <row r="772">
      <c r="C772" s="291"/>
    </row>
    <row r="773">
      <c r="C773" s="291"/>
    </row>
    <row r="774">
      <c r="C774" s="291"/>
    </row>
    <row r="775">
      <c r="C775" s="291"/>
    </row>
    <row r="776">
      <c r="C776" s="291"/>
    </row>
    <row r="777">
      <c r="C777" s="291"/>
    </row>
    <row r="778">
      <c r="C778" s="291"/>
    </row>
    <row r="779">
      <c r="C779" s="291"/>
    </row>
    <row r="780">
      <c r="C780" s="291"/>
    </row>
    <row r="781">
      <c r="C781" s="291"/>
    </row>
    <row r="782">
      <c r="C782" s="291"/>
    </row>
    <row r="783">
      <c r="C783" s="291"/>
    </row>
    <row r="784">
      <c r="C784" s="291"/>
    </row>
    <row r="785">
      <c r="C785" s="291"/>
    </row>
    <row r="786">
      <c r="C786" s="291"/>
    </row>
    <row r="787">
      <c r="C787" s="291"/>
    </row>
    <row r="788">
      <c r="C788" s="291"/>
    </row>
    <row r="789">
      <c r="C789" s="291"/>
    </row>
    <row r="790">
      <c r="C790" s="291"/>
    </row>
    <row r="791">
      <c r="C791" s="291"/>
    </row>
    <row r="792">
      <c r="C792" s="291"/>
    </row>
    <row r="793">
      <c r="C793" s="291"/>
    </row>
    <row r="794">
      <c r="C794" s="291"/>
    </row>
    <row r="795">
      <c r="C795" s="291"/>
    </row>
    <row r="796">
      <c r="C796" s="291"/>
    </row>
    <row r="797">
      <c r="C797" s="291"/>
    </row>
    <row r="798">
      <c r="C798" s="291"/>
    </row>
    <row r="799">
      <c r="C799" s="291"/>
    </row>
    <row r="800">
      <c r="C800" s="291"/>
    </row>
    <row r="801">
      <c r="C801" s="291"/>
    </row>
    <row r="802">
      <c r="C802" s="291"/>
    </row>
    <row r="803">
      <c r="C803" s="291"/>
    </row>
    <row r="804">
      <c r="C804" s="291"/>
    </row>
    <row r="805">
      <c r="C805" s="291"/>
    </row>
    <row r="806">
      <c r="C806" s="291"/>
    </row>
    <row r="807">
      <c r="C807" s="291"/>
    </row>
    <row r="808">
      <c r="C808" s="291"/>
    </row>
    <row r="809">
      <c r="C809" s="291"/>
    </row>
    <row r="810">
      <c r="C810" s="291"/>
    </row>
    <row r="811">
      <c r="C811" s="291"/>
    </row>
    <row r="812">
      <c r="C812" s="291"/>
    </row>
    <row r="813">
      <c r="C813" s="291"/>
    </row>
    <row r="814">
      <c r="C814" s="291"/>
    </row>
    <row r="815">
      <c r="C815" s="291"/>
    </row>
    <row r="816">
      <c r="C816" s="291"/>
    </row>
    <row r="817">
      <c r="C817" s="291"/>
    </row>
    <row r="818">
      <c r="C818" s="291"/>
    </row>
    <row r="819">
      <c r="C819" s="291"/>
    </row>
    <row r="820">
      <c r="C820" s="291"/>
    </row>
    <row r="821">
      <c r="C821" s="291"/>
    </row>
    <row r="822">
      <c r="C822" s="291"/>
    </row>
    <row r="823">
      <c r="C823" s="291"/>
    </row>
    <row r="824">
      <c r="C824" s="291"/>
    </row>
    <row r="825">
      <c r="C825" s="291"/>
    </row>
    <row r="826">
      <c r="C826" s="291"/>
    </row>
    <row r="827">
      <c r="C827" s="291"/>
    </row>
    <row r="828">
      <c r="C828" s="291"/>
    </row>
    <row r="829">
      <c r="C829" s="291"/>
    </row>
    <row r="830">
      <c r="C830" s="291"/>
    </row>
    <row r="831">
      <c r="C831" s="291"/>
    </row>
    <row r="832">
      <c r="C832" s="291"/>
    </row>
    <row r="833">
      <c r="C833" s="291"/>
    </row>
    <row r="834">
      <c r="C834" s="291"/>
    </row>
    <row r="835">
      <c r="C835" s="291"/>
    </row>
    <row r="836">
      <c r="C836" s="291"/>
    </row>
    <row r="837">
      <c r="C837" s="291"/>
    </row>
    <row r="838">
      <c r="C838" s="291"/>
    </row>
    <row r="839">
      <c r="C839" s="291"/>
    </row>
    <row r="840">
      <c r="C840" s="291"/>
    </row>
    <row r="841">
      <c r="C841" s="291"/>
    </row>
    <row r="842">
      <c r="C842" s="291"/>
    </row>
    <row r="843">
      <c r="C843" s="291"/>
    </row>
    <row r="844">
      <c r="C844" s="291"/>
    </row>
    <row r="845">
      <c r="C845" s="291"/>
    </row>
    <row r="846">
      <c r="C846" s="291"/>
    </row>
    <row r="847">
      <c r="C847" s="291"/>
    </row>
    <row r="848">
      <c r="C848" s="291"/>
    </row>
    <row r="849">
      <c r="C849" s="291"/>
    </row>
    <row r="850">
      <c r="C850" s="291"/>
    </row>
    <row r="851">
      <c r="C851" s="291"/>
    </row>
    <row r="852">
      <c r="C852" s="291"/>
    </row>
    <row r="853">
      <c r="C853" s="291"/>
    </row>
    <row r="854">
      <c r="C854" s="291"/>
    </row>
    <row r="855">
      <c r="C855" s="291"/>
    </row>
    <row r="856">
      <c r="C856" s="291"/>
    </row>
    <row r="857">
      <c r="C857" s="291"/>
    </row>
    <row r="858">
      <c r="C858" s="291"/>
    </row>
    <row r="859">
      <c r="C859" s="291"/>
    </row>
    <row r="860">
      <c r="C860" s="291"/>
    </row>
    <row r="861">
      <c r="C861" s="291"/>
    </row>
    <row r="862">
      <c r="C862" s="291"/>
    </row>
    <row r="863">
      <c r="C863" s="291"/>
    </row>
    <row r="864">
      <c r="C864" s="291"/>
    </row>
    <row r="865">
      <c r="C865" s="291"/>
    </row>
    <row r="866">
      <c r="C866" s="291"/>
    </row>
    <row r="867">
      <c r="C867" s="291"/>
    </row>
    <row r="868">
      <c r="C868" s="291"/>
    </row>
    <row r="869">
      <c r="C869" s="291"/>
    </row>
    <row r="870">
      <c r="C870" s="291"/>
    </row>
    <row r="871">
      <c r="C871" s="291"/>
    </row>
    <row r="872">
      <c r="C872" s="291"/>
    </row>
    <row r="873">
      <c r="C873" s="291"/>
    </row>
    <row r="874">
      <c r="C874" s="291"/>
    </row>
    <row r="875">
      <c r="C875" s="291"/>
    </row>
    <row r="876">
      <c r="C876" s="291"/>
    </row>
    <row r="877">
      <c r="C877" s="291"/>
    </row>
    <row r="878">
      <c r="C878" s="291"/>
    </row>
    <row r="879">
      <c r="C879" s="291"/>
    </row>
    <row r="880">
      <c r="C880" s="291"/>
    </row>
    <row r="881">
      <c r="C881" s="291"/>
    </row>
    <row r="882">
      <c r="C882" s="291"/>
    </row>
    <row r="883">
      <c r="C883" s="291"/>
    </row>
    <row r="884">
      <c r="C884" s="291"/>
    </row>
    <row r="885">
      <c r="C885" s="291"/>
    </row>
    <row r="886">
      <c r="C886" s="291"/>
    </row>
    <row r="887">
      <c r="C887" s="291"/>
    </row>
    <row r="888">
      <c r="C888" s="291"/>
    </row>
    <row r="889">
      <c r="C889" s="291"/>
    </row>
    <row r="890">
      <c r="C890" s="291"/>
    </row>
    <row r="891">
      <c r="C891" s="291"/>
    </row>
    <row r="892">
      <c r="C892" s="291"/>
    </row>
    <row r="893">
      <c r="C893" s="291"/>
    </row>
    <row r="894">
      <c r="C894" s="291"/>
    </row>
    <row r="895">
      <c r="C895" s="291"/>
    </row>
    <row r="896">
      <c r="C896" s="291"/>
    </row>
    <row r="897">
      <c r="C897" s="291"/>
    </row>
    <row r="898">
      <c r="C898" s="291"/>
    </row>
    <row r="899">
      <c r="C899" s="291"/>
    </row>
    <row r="900">
      <c r="C900" s="291"/>
    </row>
    <row r="901">
      <c r="C901" s="291"/>
    </row>
    <row r="902">
      <c r="C902" s="291"/>
    </row>
    <row r="903">
      <c r="C903" s="291"/>
    </row>
    <row r="904">
      <c r="C904" s="291"/>
    </row>
    <row r="905">
      <c r="C905" s="291"/>
    </row>
    <row r="906">
      <c r="C906" s="291"/>
    </row>
    <row r="907">
      <c r="C907" s="291"/>
    </row>
    <row r="908">
      <c r="C908" s="291"/>
    </row>
    <row r="909">
      <c r="C909" s="291"/>
    </row>
    <row r="910">
      <c r="C910" s="291"/>
    </row>
    <row r="911">
      <c r="C911" s="291"/>
    </row>
    <row r="912">
      <c r="C912" s="291"/>
    </row>
    <row r="913">
      <c r="C913" s="291"/>
    </row>
    <row r="914">
      <c r="C914" s="291"/>
    </row>
    <row r="915">
      <c r="C915" s="291"/>
    </row>
    <row r="916">
      <c r="C916" s="291"/>
    </row>
    <row r="917">
      <c r="C917" s="291"/>
    </row>
    <row r="918">
      <c r="C918" s="291"/>
    </row>
    <row r="919">
      <c r="C919" s="291"/>
    </row>
    <row r="920">
      <c r="C920" s="291"/>
    </row>
    <row r="921">
      <c r="C921" s="291"/>
    </row>
    <row r="922">
      <c r="C922" s="291"/>
    </row>
    <row r="923">
      <c r="C923" s="291"/>
    </row>
    <row r="924">
      <c r="C924" s="291"/>
    </row>
    <row r="925">
      <c r="C925" s="291"/>
    </row>
    <row r="926">
      <c r="C926" s="291"/>
    </row>
    <row r="927">
      <c r="C927" s="291"/>
    </row>
    <row r="928">
      <c r="C928" s="291"/>
    </row>
    <row r="929">
      <c r="C929" s="291"/>
    </row>
    <row r="930">
      <c r="C930" s="291"/>
    </row>
    <row r="931">
      <c r="C931" s="291"/>
    </row>
    <row r="932">
      <c r="C932" s="291"/>
    </row>
    <row r="933">
      <c r="C933" s="291"/>
    </row>
    <row r="934">
      <c r="C934" s="291"/>
    </row>
    <row r="935">
      <c r="C935" s="291"/>
    </row>
    <row r="936">
      <c r="C936" s="291"/>
    </row>
    <row r="937">
      <c r="C937" s="291"/>
    </row>
    <row r="938">
      <c r="C938" s="291"/>
    </row>
    <row r="939">
      <c r="C939" s="291"/>
    </row>
    <row r="940">
      <c r="C940" s="291"/>
    </row>
    <row r="941">
      <c r="C941" s="291"/>
    </row>
    <row r="942">
      <c r="C942" s="291"/>
    </row>
    <row r="943">
      <c r="C943" s="291"/>
    </row>
    <row r="944">
      <c r="C944" s="291"/>
    </row>
    <row r="945">
      <c r="C945" s="291"/>
    </row>
    <row r="946">
      <c r="C946" s="291"/>
    </row>
    <row r="947">
      <c r="C947" s="291"/>
    </row>
    <row r="948">
      <c r="C948" s="291"/>
    </row>
    <row r="949">
      <c r="C949" s="291"/>
    </row>
    <row r="950">
      <c r="C950" s="291"/>
    </row>
    <row r="951">
      <c r="C951" s="291"/>
    </row>
    <row r="952">
      <c r="C952" s="291"/>
    </row>
    <row r="953">
      <c r="C953" s="291"/>
    </row>
    <row r="954">
      <c r="C954" s="291"/>
    </row>
    <row r="955">
      <c r="C955" s="291"/>
    </row>
    <row r="956">
      <c r="C956" s="291"/>
    </row>
    <row r="957">
      <c r="C957" s="291"/>
    </row>
    <row r="958">
      <c r="C958" s="291"/>
    </row>
    <row r="959">
      <c r="C959" s="291"/>
    </row>
    <row r="960">
      <c r="C960" s="291"/>
    </row>
    <row r="961">
      <c r="C961" s="291"/>
    </row>
    <row r="962">
      <c r="C962" s="291"/>
    </row>
    <row r="963">
      <c r="C963" s="291"/>
    </row>
    <row r="964">
      <c r="C964" s="291"/>
    </row>
    <row r="965">
      <c r="C965" s="291"/>
    </row>
    <row r="966">
      <c r="C966" s="291"/>
    </row>
    <row r="967">
      <c r="C967" s="291"/>
    </row>
    <row r="968">
      <c r="C968" s="291"/>
    </row>
    <row r="969">
      <c r="C969" s="291"/>
    </row>
    <row r="970">
      <c r="C970" s="291"/>
    </row>
    <row r="971">
      <c r="C971" s="291"/>
    </row>
    <row r="972">
      <c r="C972" s="291"/>
    </row>
    <row r="973">
      <c r="C973" s="291"/>
    </row>
    <row r="974">
      <c r="C974" s="291"/>
    </row>
    <row r="975">
      <c r="C975" s="291"/>
    </row>
    <row r="976">
      <c r="C976" s="291"/>
    </row>
    <row r="977">
      <c r="C977" s="291"/>
    </row>
    <row r="978">
      <c r="C978" s="291"/>
    </row>
    <row r="979">
      <c r="C979" s="291"/>
    </row>
    <row r="980">
      <c r="C980" s="291"/>
    </row>
    <row r="981">
      <c r="C981" s="291"/>
    </row>
    <row r="982">
      <c r="C982" s="291"/>
    </row>
    <row r="983">
      <c r="C983" s="291"/>
    </row>
    <row r="984">
      <c r="C984" s="291"/>
    </row>
    <row r="985">
      <c r="C985" s="291"/>
    </row>
    <row r="986">
      <c r="C986" s="291"/>
    </row>
    <row r="987">
      <c r="C987" s="291"/>
    </row>
    <row r="988">
      <c r="C988" s="291"/>
    </row>
    <row r="989">
      <c r="C989" s="291"/>
    </row>
    <row r="990">
      <c r="C990" s="291"/>
    </row>
    <row r="991">
      <c r="C991" s="291"/>
    </row>
    <row r="992">
      <c r="C992" s="291"/>
    </row>
    <row r="993">
      <c r="C993" s="291"/>
    </row>
    <row r="994">
      <c r="C994" s="291"/>
    </row>
    <row r="995">
      <c r="C995" s="291"/>
    </row>
    <row r="996">
      <c r="C996" s="291"/>
    </row>
    <row r="997">
      <c r="C997" s="291"/>
    </row>
    <row r="998">
      <c r="C998" s="291"/>
    </row>
    <row r="999">
      <c r="C999" s="291"/>
    </row>
    <row r="1000">
      <c r="C1000" s="291"/>
    </row>
  </sheetData>
  <autoFilter ref="$A$1:$C$41"/>
  <hyperlinks>
    <hyperlink r:id="rId2" ref="A22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1F1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5"/>
  </cols>
  <sheetData>
    <row r="1">
      <c r="C1" s="293"/>
    </row>
    <row r="2">
      <c r="C2" s="294">
        <v>184027.04918032786</v>
      </c>
    </row>
    <row r="3">
      <c r="C3" s="294">
        <v>107972.51639344262</v>
      </c>
      <c r="D3" s="293">
        <f>C3+C4</f>
        <v>356041.4918</v>
      </c>
    </row>
    <row r="4">
      <c r="C4" s="294">
        <v>248068.9754098361</v>
      </c>
    </row>
    <row r="5">
      <c r="C5" s="293">
        <v>3.221980976229508E7</v>
      </c>
      <c r="F5" s="295">
        <v>3.261996803E7</v>
      </c>
      <c r="G5" s="293">
        <f>C5-F5</f>
        <v>-400158.2677</v>
      </c>
    </row>
    <row r="6">
      <c r="C6" s="294">
        <v>191850.0</v>
      </c>
      <c r="D6" s="293">
        <f>C6+C7+C27+C28</f>
        <v>4661820.459</v>
      </c>
    </row>
    <row r="7">
      <c r="C7" s="294">
        <v>1231396.7950819673</v>
      </c>
    </row>
    <row r="8">
      <c r="C8" s="294">
        <v>515375.0</v>
      </c>
    </row>
    <row r="9">
      <c r="C9" s="294">
        <v>500500.0</v>
      </c>
    </row>
    <row r="10">
      <c r="C10" s="294">
        <v>403083.75409836066</v>
      </c>
    </row>
    <row r="11">
      <c r="C11" s="294">
        <v>1764416.393442623</v>
      </c>
    </row>
    <row r="12">
      <c r="C12" s="294">
        <v>688329.131147541</v>
      </c>
    </row>
    <row r="13">
      <c r="C13" s="294">
        <v>446766.6475409836</v>
      </c>
    </row>
    <row r="14">
      <c r="C14" s="294">
        <v>396800.0</v>
      </c>
    </row>
    <row r="15">
      <c r="C15" s="294">
        <v>38935.45901639344</v>
      </c>
    </row>
    <row r="16">
      <c r="C16" s="294">
        <v>1601999.9016393442</v>
      </c>
    </row>
    <row r="17">
      <c r="C17" s="294">
        <v>250490.0</v>
      </c>
    </row>
    <row r="18">
      <c r="C18" s="294">
        <v>688785.7540983607</v>
      </c>
    </row>
    <row r="19">
      <c r="C19" s="294">
        <v>1355504.8770491802</v>
      </c>
      <c r="D19" s="293">
        <f>C19+C20</f>
        <v>1841828.082</v>
      </c>
    </row>
    <row r="20">
      <c r="C20" s="294">
        <v>486323.20491803286</v>
      </c>
    </row>
    <row r="21">
      <c r="C21" s="294">
        <v>914918.0</v>
      </c>
    </row>
    <row r="22">
      <c r="C22" s="294">
        <v>402500.0</v>
      </c>
    </row>
    <row r="23">
      <c r="C23" s="294">
        <v>1640522.950819672</v>
      </c>
      <c r="D23" s="293">
        <f>C23+C11</f>
        <v>3404939.344</v>
      </c>
    </row>
    <row r="24">
      <c r="C24" s="294">
        <v>89375.0</v>
      </c>
    </row>
    <row r="25">
      <c r="C25" s="294">
        <v>1882933.0409836066</v>
      </c>
      <c r="D25" s="293">
        <f>C25+C10+C12+C36+C37</f>
        <v>6142082.754</v>
      </c>
    </row>
    <row r="26">
      <c r="C26" s="294">
        <v>300040.0</v>
      </c>
    </row>
    <row r="27">
      <c r="C27" s="294">
        <v>1928288.8032786883</v>
      </c>
    </row>
    <row r="28">
      <c r="C28" s="294">
        <v>1310284.8606557376</v>
      </c>
    </row>
    <row r="29">
      <c r="C29" s="294">
        <v>3330256.8606557376</v>
      </c>
    </row>
    <row r="30">
      <c r="C30" s="294">
        <v>2976097.901639344</v>
      </c>
    </row>
    <row r="31">
      <c r="C31" s="294">
        <v>113050.03278688526</v>
      </c>
      <c r="D31" s="293">
        <f>C31+C32</f>
        <v>261050.0328</v>
      </c>
    </row>
    <row r="32">
      <c r="C32" s="294">
        <v>148000.0</v>
      </c>
    </row>
    <row r="33">
      <c r="C33" s="294">
        <v>1066336.6557377048</v>
      </c>
    </row>
    <row r="34">
      <c r="C34" s="294">
        <v>905250.0</v>
      </c>
    </row>
    <row r="35">
      <c r="C35" s="294">
        <v>343596.2786885246</v>
      </c>
    </row>
    <row r="36">
      <c r="C36" s="294">
        <v>3068990.401639345</v>
      </c>
    </row>
    <row r="37">
      <c r="C37" s="294">
        <v>98746.4262295082</v>
      </c>
    </row>
    <row r="38">
      <c r="C38" s="294">
        <v>299997.09016393445</v>
      </c>
      <c r="D38" s="293">
        <f>C38+C33</f>
        <v>1366333.746</v>
      </c>
    </row>
    <row r="39">
      <c r="C39" s="294">
        <v>300000.0</v>
      </c>
    </row>
    <row r="40">
      <c r="C40" s="293"/>
    </row>
    <row r="41">
      <c r="C41" s="293"/>
    </row>
    <row r="42">
      <c r="C42" s="293"/>
    </row>
    <row r="43">
      <c r="C43" s="293"/>
    </row>
    <row r="44">
      <c r="C44" s="293"/>
    </row>
    <row r="45">
      <c r="C45" s="293"/>
    </row>
    <row r="46">
      <c r="C46" s="293"/>
    </row>
    <row r="47">
      <c r="C47" s="293"/>
    </row>
    <row r="48">
      <c r="C48" s="293"/>
    </row>
    <row r="49">
      <c r="C49" s="293"/>
    </row>
    <row r="50">
      <c r="C50" s="293"/>
    </row>
    <row r="51">
      <c r="C51" s="293"/>
    </row>
    <row r="52">
      <c r="C52" s="293"/>
    </row>
    <row r="53">
      <c r="C53" s="293"/>
    </row>
    <row r="54">
      <c r="C54" s="293"/>
    </row>
    <row r="55">
      <c r="C55" s="293"/>
    </row>
    <row r="56">
      <c r="C56" s="293"/>
    </row>
    <row r="57">
      <c r="C57" s="293"/>
    </row>
    <row r="58">
      <c r="C58" s="293"/>
    </row>
    <row r="59">
      <c r="C59" s="293"/>
    </row>
    <row r="60">
      <c r="C60" s="293"/>
    </row>
    <row r="61">
      <c r="C61" s="293"/>
    </row>
    <row r="62">
      <c r="C62" s="293"/>
    </row>
    <row r="63">
      <c r="C63" s="293"/>
    </row>
    <row r="64">
      <c r="C64" s="293"/>
    </row>
    <row r="65">
      <c r="C65" s="293"/>
    </row>
    <row r="66">
      <c r="C66" s="293"/>
    </row>
    <row r="67">
      <c r="C67" s="293"/>
    </row>
    <row r="68">
      <c r="C68" s="293"/>
    </row>
    <row r="69">
      <c r="C69" s="293"/>
    </row>
    <row r="70">
      <c r="C70" s="293"/>
    </row>
    <row r="71">
      <c r="C71" s="293"/>
    </row>
    <row r="72">
      <c r="C72" s="293"/>
    </row>
    <row r="73">
      <c r="C73" s="293"/>
    </row>
    <row r="74">
      <c r="C74" s="293"/>
    </row>
    <row r="75">
      <c r="C75" s="293"/>
    </row>
    <row r="76">
      <c r="C76" s="293"/>
    </row>
    <row r="77">
      <c r="C77" s="293"/>
    </row>
    <row r="78">
      <c r="C78" s="293"/>
    </row>
    <row r="79">
      <c r="C79" s="293"/>
    </row>
    <row r="80">
      <c r="C80" s="293"/>
    </row>
    <row r="81">
      <c r="C81" s="293"/>
    </row>
    <row r="82">
      <c r="C82" s="293"/>
    </row>
    <row r="83">
      <c r="C83" s="293"/>
    </row>
    <row r="84">
      <c r="C84" s="293"/>
    </row>
    <row r="85">
      <c r="C85" s="293"/>
    </row>
    <row r="86">
      <c r="C86" s="293"/>
    </row>
    <row r="87">
      <c r="C87" s="293"/>
    </row>
    <row r="88">
      <c r="C88" s="293"/>
    </row>
    <row r="89">
      <c r="C89" s="293"/>
    </row>
    <row r="90">
      <c r="C90" s="293"/>
    </row>
    <row r="91">
      <c r="C91" s="293"/>
    </row>
    <row r="92">
      <c r="C92" s="293"/>
    </row>
    <row r="93">
      <c r="C93" s="293"/>
    </row>
    <row r="94">
      <c r="C94" s="293"/>
    </row>
    <row r="95">
      <c r="C95" s="293"/>
    </row>
    <row r="96">
      <c r="C96" s="293"/>
    </row>
    <row r="97">
      <c r="C97" s="293"/>
    </row>
    <row r="98">
      <c r="C98" s="293"/>
    </row>
    <row r="99">
      <c r="C99" s="293"/>
    </row>
    <row r="100">
      <c r="C100" s="293"/>
    </row>
    <row r="101">
      <c r="C101" s="293"/>
    </row>
    <row r="102">
      <c r="C102" s="293"/>
    </row>
    <row r="103">
      <c r="C103" s="293"/>
    </row>
    <row r="104">
      <c r="C104" s="293"/>
    </row>
    <row r="105">
      <c r="C105" s="293"/>
    </row>
    <row r="106">
      <c r="C106" s="293"/>
    </row>
    <row r="107">
      <c r="C107" s="293"/>
    </row>
    <row r="108">
      <c r="C108" s="293"/>
    </row>
    <row r="109">
      <c r="C109" s="293"/>
    </row>
    <row r="110">
      <c r="C110" s="293"/>
    </row>
    <row r="111">
      <c r="C111" s="293"/>
    </row>
    <row r="112">
      <c r="C112" s="293"/>
    </row>
    <row r="113">
      <c r="C113" s="293"/>
    </row>
    <row r="114">
      <c r="C114" s="293"/>
    </row>
    <row r="115">
      <c r="C115" s="293"/>
    </row>
    <row r="116">
      <c r="C116" s="293"/>
    </row>
    <row r="117">
      <c r="C117" s="293"/>
    </row>
    <row r="118">
      <c r="C118" s="293"/>
    </row>
    <row r="119">
      <c r="C119" s="293"/>
    </row>
    <row r="120">
      <c r="C120" s="293"/>
    </row>
    <row r="121">
      <c r="C121" s="293"/>
    </row>
    <row r="122">
      <c r="C122" s="293"/>
    </row>
    <row r="123">
      <c r="C123" s="293"/>
    </row>
    <row r="124">
      <c r="C124" s="293"/>
    </row>
    <row r="125">
      <c r="C125" s="293"/>
    </row>
    <row r="126">
      <c r="C126" s="293"/>
    </row>
    <row r="127">
      <c r="C127" s="293"/>
    </row>
    <row r="128">
      <c r="C128" s="293"/>
    </row>
    <row r="129">
      <c r="C129" s="293"/>
    </row>
    <row r="130">
      <c r="C130" s="293"/>
    </row>
    <row r="131">
      <c r="C131" s="293"/>
    </row>
    <row r="132">
      <c r="C132" s="293"/>
    </row>
    <row r="133">
      <c r="C133" s="293"/>
    </row>
    <row r="134">
      <c r="C134" s="293"/>
    </row>
    <row r="135">
      <c r="C135" s="293"/>
    </row>
    <row r="136">
      <c r="C136" s="293"/>
    </row>
    <row r="137">
      <c r="C137" s="293"/>
    </row>
    <row r="138">
      <c r="C138" s="293"/>
    </row>
    <row r="139">
      <c r="C139" s="293"/>
    </row>
    <row r="140">
      <c r="C140" s="293"/>
    </row>
    <row r="141">
      <c r="C141" s="293"/>
    </row>
    <row r="142">
      <c r="C142" s="293"/>
    </row>
    <row r="143">
      <c r="C143" s="293"/>
    </row>
    <row r="144">
      <c r="C144" s="293"/>
    </row>
    <row r="145">
      <c r="C145" s="293"/>
    </row>
    <row r="146">
      <c r="C146" s="293"/>
    </row>
    <row r="147">
      <c r="C147" s="293"/>
    </row>
    <row r="148">
      <c r="C148" s="293"/>
    </row>
    <row r="149">
      <c r="C149" s="293"/>
    </row>
    <row r="150">
      <c r="C150" s="293"/>
    </row>
    <row r="151">
      <c r="C151" s="293"/>
    </row>
    <row r="152">
      <c r="C152" s="293"/>
    </row>
    <row r="153">
      <c r="C153" s="293"/>
    </row>
    <row r="154">
      <c r="C154" s="293"/>
    </row>
    <row r="155">
      <c r="C155" s="293"/>
    </row>
    <row r="156">
      <c r="C156" s="293"/>
    </row>
    <row r="157">
      <c r="C157" s="293"/>
    </row>
    <row r="158">
      <c r="C158" s="293"/>
    </row>
    <row r="159">
      <c r="C159" s="293"/>
    </row>
    <row r="160">
      <c r="C160" s="293"/>
    </row>
    <row r="161">
      <c r="C161" s="293"/>
    </row>
    <row r="162">
      <c r="C162" s="293"/>
    </row>
    <row r="163">
      <c r="C163" s="293"/>
    </row>
    <row r="164">
      <c r="C164" s="293"/>
    </row>
    <row r="165">
      <c r="C165" s="293"/>
    </row>
    <row r="166">
      <c r="C166" s="293"/>
    </row>
    <row r="167">
      <c r="C167" s="293"/>
    </row>
    <row r="168">
      <c r="C168" s="293"/>
    </row>
    <row r="169">
      <c r="C169" s="293"/>
    </row>
    <row r="170">
      <c r="C170" s="293"/>
    </row>
    <row r="171">
      <c r="C171" s="293"/>
    </row>
    <row r="172">
      <c r="C172" s="293"/>
    </row>
    <row r="173">
      <c r="C173" s="293"/>
    </row>
    <row r="174">
      <c r="C174" s="293"/>
    </row>
    <row r="175">
      <c r="C175" s="293"/>
    </row>
    <row r="176">
      <c r="C176" s="293"/>
    </row>
    <row r="177">
      <c r="C177" s="293"/>
    </row>
    <row r="178">
      <c r="C178" s="293"/>
    </row>
    <row r="179">
      <c r="C179" s="293"/>
    </row>
    <row r="180">
      <c r="C180" s="293"/>
    </row>
    <row r="181">
      <c r="C181" s="293"/>
    </row>
    <row r="182">
      <c r="C182" s="293"/>
    </row>
    <row r="183">
      <c r="C183" s="293"/>
    </row>
    <row r="184">
      <c r="C184" s="293"/>
    </row>
    <row r="185">
      <c r="C185" s="293"/>
    </row>
    <row r="186">
      <c r="C186" s="293"/>
    </row>
    <row r="187">
      <c r="C187" s="293"/>
    </row>
    <row r="188">
      <c r="C188" s="293"/>
    </row>
    <row r="189">
      <c r="C189" s="293"/>
    </row>
    <row r="190">
      <c r="C190" s="293"/>
    </row>
    <row r="191">
      <c r="C191" s="293"/>
    </row>
    <row r="192">
      <c r="C192" s="293"/>
    </row>
    <row r="193">
      <c r="C193" s="293"/>
    </row>
    <row r="194">
      <c r="C194" s="293"/>
    </row>
    <row r="195">
      <c r="C195" s="293"/>
    </row>
    <row r="196">
      <c r="C196" s="293"/>
    </row>
    <row r="197">
      <c r="C197" s="293"/>
    </row>
    <row r="198">
      <c r="C198" s="293"/>
    </row>
    <row r="199">
      <c r="C199" s="293"/>
    </row>
    <row r="200">
      <c r="C200" s="293"/>
    </row>
    <row r="201">
      <c r="C201" s="293"/>
    </row>
    <row r="202">
      <c r="C202" s="293"/>
    </row>
    <row r="203">
      <c r="C203" s="293"/>
    </row>
    <row r="204">
      <c r="C204" s="293"/>
    </row>
    <row r="205">
      <c r="C205" s="293"/>
    </row>
    <row r="206">
      <c r="C206" s="293"/>
    </row>
    <row r="207">
      <c r="C207" s="293"/>
    </row>
    <row r="208">
      <c r="C208" s="293"/>
    </row>
    <row r="209">
      <c r="C209" s="293"/>
    </row>
    <row r="210">
      <c r="C210" s="293"/>
    </row>
    <row r="211">
      <c r="C211" s="293"/>
    </row>
    <row r="212">
      <c r="C212" s="293"/>
    </row>
    <row r="213">
      <c r="C213" s="293"/>
    </row>
    <row r="214">
      <c r="C214" s="293"/>
    </row>
    <row r="215">
      <c r="C215" s="293"/>
    </row>
    <row r="216">
      <c r="C216" s="293"/>
    </row>
    <row r="217">
      <c r="C217" s="293"/>
    </row>
    <row r="218">
      <c r="C218" s="293"/>
    </row>
    <row r="219">
      <c r="C219" s="293"/>
    </row>
    <row r="220">
      <c r="C220" s="293"/>
    </row>
    <row r="221">
      <c r="C221" s="293"/>
    </row>
    <row r="222">
      <c r="C222" s="293"/>
    </row>
    <row r="223">
      <c r="C223" s="293"/>
    </row>
    <row r="224">
      <c r="C224" s="293"/>
    </row>
    <row r="225">
      <c r="C225" s="293"/>
    </row>
    <row r="226">
      <c r="C226" s="293"/>
    </row>
    <row r="227">
      <c r="C227" s="293"/>
    </row>
    <row r="228">
      <c r="C228" s="293"/>
    </row>
    <row r="229">
      <c r="C229" s="293"/>
    </row>
    <row r="230">
      <c r="C230" s="293"/>
    </row>
    <row r="231">
      <c r="C231" s="293"/>
    </row>
    <row r="232">
      <c r="C232" s="293"/>
    </row>
    <row r="233">
      <c r="C233" s="293"/>
    </row>
    <row r="234">
      <c r="C234" s="293"/>
    </row>
    <row r="235">
      <c r="C235" s="293"/>
    </row>
    <row r="236">
      <c r="C236" s="293"/>
    </row>
    <row r="237">
      <c r="C237" s="293"/>
    </row>
    <row r="238">
      <c r="C238" s="293"/>
    </row>
    <row r="239">
      <c r="C239" s="293"/>
    </row>
    <row r="240">
      <c r="C240" s="293"/>
    </row>
    <row r="241">
      <c r="C241" s="293"/>
    </row>
    <row r="242">
      <c r="C242" s="293"/>
    </row>
    <row r="243">
      <c r="C243" s="293"/>
    </row>
    <row r="244">
      <c r="C244" s="293"/>
    </row>
    <row r="245">
      <c r="C245" s="293"/>
    </row>
    <row r="246">
      <c r="C246" s="293"/>
    </row>
    <row r="247">
      <c r="C247" s="293"/>
    </row>
    <row r="248">
      <c r="C248" s="293"/>
    </row>
    <row r="249">
      <c r="C249" s="293"/>
    </row>
    <row r="250">
      <c r="C250" s="293"/>
    </row>
    <row r="251">
      <c r="C251" s="293"/>
    </row>
    <row r="252">
      <c r="C252" s="293"/>
    </row>
    <row r="253">
      <c r="C253" s="293"/>
    </row>
    <row r="254">
      <c r="C254" s="293"/>
    </row>
    <row r="255">
      <c r="C255" s="293"/>
    </row>
    <row r="256">
      <c r="C256" s="293"/>
    </row>
    <row r="257">
      <c r="C257" s="293"/>
    </row>
    <row r="258">
      <c r="C258" s="293"/>
    </row>
    <row r="259">
      <c r="C259" s="293"/>
    </row>
    <row r="260">
      <c r="C260" s="293"/>
    </row>
    <row r="261">
      <c r="C261" s="293"/>
    </row>
    <row r="262">
      <c r="C262" s="293"/>
    </row>
    <row r="263">
      <c r="C263" s="293"/>
    </row>
    <row r="264">
      <c r="C264" s="293"/>
    </row>
    <row r="265">
      <c r="C265" s="293"/>
    </row>
    <row r="266">
      <c r="C266" s="293"/>
    </row>
    <row r="267">
      <c r="C267" s="293"/>
    </row>
    <row r="268">
      <c r="C268" s="293"/>
    </row>
    <row r="269">
      <c r="C269" s="293"/>
    </row>
    <row r="270">
      <c r="C270" s="293"/>
    </row>
    <row r="271">
      <c r="C271" s="293"/>
    </row>
    <row r="272">
      <c r="C272" s="293"/>
    </row>
    <row r="273">
      <c r="C273" s="293"/>
    </row>
    <row r="274">
      <c r="C274" s="293"/>
    </row>
    <row r="275">
      <c r="C275" s="293"/>
    </row>
    <row r="276">
      <c r="C276" s="293"/>
    </row>
    <row r="277">
      <c r="C277" s="293"/>
    </row>
    <row r="278">
      <c r="C278" s="293"/>
    </row>
    <row r="279">
      <c r="C279" s="293"/>
    </row>
    <row r="280">
      <c r="C280" s="293"/>
    </row>
    <row r="281">
      <c r="C281" s="293"/>
    </row>
    <row r="282">
      <c r="C282" s="293"/>
    </row>
    <row r="283">
      <c r="C283" s="293"/>
    </row>
    <row r="284">
      <c r="C284" s="293"/>
    </row>
    <row r="285">
      <c r="C285" s="293"/>
    </row>
    <row r="286">
      <c r="C286" s="293"/>
    </row>
    <row r="287">
      <c r="C287" s="293"/>
    </row>
    <row r="288">
      <c r="C288" s="293"/>
    </row>
    <row r="289">
      <c r="C289" s="293"/>
    </row>
    <row r="290">
      <c r="C290" s="293"/>
    </row>
    <row r="291">
      <c r="C291" s="293"/>
    </row>
    <row r="292">
      <c r="C292" s="293"/>
    </row>
    <row r="293">
      <c r="C293" s="293"/>
    </row>
    <row r="294">
      <c r="C294" s="293"/>
    </row>
    <row r="295">
      <c r="C295" s="293"/>
    </row>
    <row r="296">
      <c r="C296" s="293"/>
    </row>
    <row r="297">
      <c r="C297" s="293"/>
    </row>
    <row r="298">
      <c r="C298" s="293"/>
    </row>
    <row r="299">
      <c r="C299" s="293"/>
    </row>
    <row r="300">
      <c r="C300" s="293"/>
    </row>
    <row r="301">
      <c r="C301" s="293"/>
    </row>
    <row r="302">
      <c r="C302" s="293"/>
    </row>
    <row r="303">
      <c r="C303" s="293"/>
    </row>
    <row r="304">
      <c r="C304" s="293"/>
    </row>
    <row r="305">
      <c r="C305" s="293"/>
    </row>
    <row r="306">
      <c r="C306" s="293"/>
    </row>
    <row r="307">
      <c r="C307" s="293"/>
    </row>
    <row r="308">
      <c r="C308" s="293"/>
    </row>
    <row r="309">
      <c r="C309" s="293"/>
    </row>
    <row r="310">
      <c r="C310" s="293"/>
    </row>
    <row r="311">
      <c r="C311" s="293"/>
    </row>
    <row r="312">
      <c r="C312" s="293"/>
    </row>
    <row r="313">
      <c r="C313" s="293"/>
    </row>
    <row r="314">
      <c r="C314" s="293"/>
    </row>
    <row r="315">
      <c r="C315" s="293"/>
    </row>
    <row r="316">
      <c r="C316" s="293"/>
    </row>
    <row r="317">
      <c r="C317" s="293"/>
    </row>
    <row r="318">
      <c r="C318" s="293"/>
    </row>
    <row r="319">
      <c r="C319" s="293"/>
    </row>
    <row r="320">
      <c r="C320" s="293"/>
    </row>
    <row r="321">
      <c r="C321" s="293"/>
    </row>
    <row r="322">
      <c r="C322" s="293"/>
    </row>
    <row r="323">
      <c r="C323" s="293"/>
    </row>
    <row r="324">
      <c r="C324" s="293"/>
    </row>
    <row r="325">
      <c r="C325" s="293"/>
    </row>
    <row r="326">
      <c r="C326" s="293"/>
    </row>
    <row r="327">
      <c r="C327" s="293"/>
    </row>
    <row r="328">
      <c r="C328" s="293"/>
    </row>
    <row r="329">
      <c r="C329" s="293"/>
    </row>
    <row r="330">
      <c r="C330" s="293"/>
    </row>
    <row r="331">
      <c r="C331" s="293"/>
    </row>
    <row r="332">
      <c r="C332" s="293"/>
    </row>
    <row r="333">
      <c r="C333" s="293"/>
    </row>
    <row r="334">
      <c r="C334" s="293"/>
    </row>
    <row r="335">
      <c r="C335" s="293"/>
    </row>
    <row r="336">
      <c r="C336" s="293"/>
    </row>
    <row r="337">
      <c r="C337" s="293"/>
    </row>
    <row r="338">
      <c r="C338" s="293"/>
    </row>
    <row r="339">
      <c r="C339" s="293"/>
    </row>
    <row r="340">
      <c r="C340" s="293"/>
    </row>
    <row r="341">
      <c r="C341" s="293"/>
    </row>
    <row r="342">
      <c r="C342" s="293"/>
    </row>
    <row r="343">
      <c r="C343" s="293"/>
    </row>
    <row r="344">
      <c r="C344" s="293"/>
    </row>
    <row r="345">
      <c r="C345" s="293"/>
    </row>
    <row r="346">
      <c r="C346" s="293"/>
    </row>
    <row r="347">
      <c r="C347" s="293"/>
    </row>
    <row r="348">
      <c r="C348" s="293"/>
    </row>
    <row r="349">
      <c r="C349" s="293"/>
    </row>
    <row r="350">
      <c r="C350" s="293"/>
    </row>
    <row r="351">
      <c r="C351" s="293"/>
    </row>
    <row r="352">
      <c r="C352" s="293"/>
    </row>
    <row r="353">
      <c r="C353" s="293"/>
    </row>
    <row r="354">
      <c r="C354" s="293"/>
    </row>
    <row r="355">
      <c r="C355" s="293"/>
    </row>
    <row r="356">
      <c r="C356" s="293"/>
    </row>
    <row r="357">
      <c r="C357" s="293"/>
    </row>
    <row r="358">
      <c r="C358" s="293"/>
    </row>
    <row r="359">
      <c r="C359" s="293"/>
    </row>
    <row r="360">
      <c r="C360" s="293"/>
    </row>
    <row r="361">
      <c r="C361" s="293"/>
    </row>
    <row r="362">
      <c r="C362" s="293"/>
    </row>
    <row r="363">
      <c r="C363" s="293"/>
    </row>
    <row r="364">
      <c r="C364" s="293"/>
    </row>
    <row r="365">
      <c r="C365" s="293"/>
    </row>
    <row r="366">
      <c r="C366" s="293"/>
    </row>
    <row r="367">
      <c r="C367" s="293"/>
    </row>
    <row r="368">
      <c r="C368" s="293"/>
    </row>
    <row r="369">
      <c r="C369" s="293"/>
    </row>
    <row r="370">
      <c r="C370" s="293"/>
    </row>
    <row r="371">
      <c r="C371" s="293"/>
    </row>
    <row r="372">
      <c r="C372" s="293"/>
    </row>
    <row r="373">
      <c r="C373" s="293"/>
    </row>
    <row r="374">
      <c r="C374" s="293"/>
    </row>
    <row r="375">
      <c r="C375" s="293"/>
    </row>
    <row r="376">
      <c r="C376" s="293"/>
    </row>
    <row r="377">
      <c r="C377" s="293"/>
    </row>
    <row r="378">
      <c r="C378" s="293"/>
    </row>
    <row r="379">
      <c r="C379" s="293"/>
    </row>
    <row r="380">
      <c r="C380" s="293"/>
    </row>
    <row r="381">
      <c r="C381" s="293"/>
    </row>
    <row r="382">
      <c r="C382" s="293"/>
    </row>
    <row r="383">
      <c r="C383" s="293"/>
    </row>
    <row r="384">
      <c r="C384" s="293"/>
    </row>
    <row r="385">
      <c r="C385" s="293"/>
    </row>
    <row r="386">
      <c r="C386" s="293"/>
    </row>
    <row r="387">
      <c r="C387" s="293"/>
    </row>
    <row r="388">
      <c r="C388" s="293"/>
    </row>
    <row r="389">
      <c r="C389" s="293"/>
    </row>
    <row r="390">
      <c r="C390" s="293"/>
    </row>
    <row r="391">
      <c r="C391" s="293"/>
    </row>
    <row r="392">
      <c r="C392" s="293"/>
    </row>
    <row r="393">
      <c r="C393" s="293"/>
    </row>
    <row r="394">
      <c r="C394" s="293"/>
    </row>
    <row r="395">
      <c r="C395" s="293"/>
    </row>
    <row r="396">
      <c r="C396" s="293"/>
    </row>
    <row r="397">
      <c r="C397" s="293"/>
    </row>
    <row r="398">
      <c r="C398" s="293"/>
    </row>
    <row r="399">
      <c r="C399" s="293"/>
    </row>
    <row r="400">
      <c r="C400" s="293"/>
    </row>
    <row r="401">
      <c r="C401" s="293"/>
    </row>
    <row r="402">
      <c r="C402" s="293"/>
    </row>
    <row r="403">
      <c r="C403" s="293"/>
    </row>
    <row r="404">
      <c r="C404" s="293"/>
    </row>
    <row r="405">
      <c r="C405" s="293"/>
    </row>
    <row r="406">
      <c r="C406" s="293"/>
    </row>
    <row r="407">
      <c r="C407" s="293"/>
    </row>
    <row r="408">
      <c r="C408" s="293"/>
    </row>
    <row r="409">
      <c r="C409" s="293"/>
    </row>
    <row r="410">
      <c r="C410" s="293"/>
    </row>
    <row r="411">
      <c r="C411" s="293"/>
    </row>
    <row r="412">
      <c r="C412" s="293"/>
    </row>
    <row r="413">
      <c r="C413" s="293"/>
    </row>
    <row r="414">
      <c r="C414" s="293"/>
    </row>
    <row r="415">
      <c r="C415" s="293"/>
    </row>
    <row r="416">
      <c r="C416" s="293"/>
    </row>
    <row r="417">
      <c r="C417" s="293"/>
    </row>
    <row r="418">
      <c r="C418" s="293"/>
    </row>
    <row r="419">
      <c r="C419" s="293"/>
    </row>
    <row r="420">
      <c r="C420" s="293"/>
    </row>
    <row r="421">
      <c r="C421" s="293"/>
    </row>
    <row r="422">
      <c r="C422" s="293"/>
    </row>
    <row r="423">
      <c r="C423" s="293"/>
    </row>
    <row r="424">
      <c r="C424" s="293"/>
    </row>
    <row r="425">
      <c r="C425" s="293"/>
    </row>
    <row r="426">
      <c r="C426" s="293"/>
    </row>
    <row r="427">
      <c r="C427" s="293"/>
    </row>
    <row r="428">
      <c r="C428" s="293"/>
    </row>
    <row r="429">
      <c r="C429" s="293"/>
    </row>
    <row r="430">
      <c r="C430" s="293"/>
    </row>
    <row r="431">
      <c r="C431" s="293"/>
    </row>
    <row r="432">
      <c r="C432" s="293"/>
    </row>
    <row r="433">
      <c r="C433" s="293"/>
    </row>
    <row r="434">
      <c r="C434" s="293"/>
    </row>
    <row r="435">
      <c r="C435" s="293"/>
    </row>
    <row r="436">
      <c r="C436" s="293"/>
    </row>
    <row r="437">
      <c r="C437" s="293"/>
    </row>
    <row r="438">
      <c r="C438" s="293"/>
    </row>
    <row r="439">
      <c r="C439" s="293"/>
    </row>
    <row r="440">
      <c r="C440" s="293"/>
    </row>
    <row r="441">
      <c r="C441" s="293"/>
    </row>
    <row r="442">
      <c r="C442" s="293"/>
    </row>
    <row r="443">
      <c r="C443" s="293"/>
    </row>
    <row r="444">
      <c r="C444" s="293"/>
    </row>
    <row r="445">
      <c r="C445" s="293"/>
    </row>
    <row r="446">
      <c r="C446" s="293"/>
    </row>
    <row r="447">
      <c r="C447" s="293"/>
    </row>
    <row r="448">
      <c r="C448" s="293"/>
    </row>
    <row r="449">
      <c r="C449" s="293"/>
    </row>
    <row r="450">
      <c r="C450" s="293"/>
    </row>
    <row r="451">
      <c r="C451" s="293"/>
    </row>
    <row r="452">
      <c r="C452" s="293"/>
    </row>
    <row r="453">
      <c r="C453" s="293"/>
    </row>
    <row r="454">
      <c r="C454" s="293"/>
    </row>
    <row r="455">
      <c r="C455" s="293"/>
    </row>
    <row r="456">
      <c r="C456" s="293"/>
    </row>
    <row r="457">
      <c r="C457" s="293"/>
    </row>
    <row r="458">
      <c r="C458" s="293"/>
    </row>
    <row r="459">
      <c r="C459" s="293"/>
    </row>
    <row r="460">
      <c r="C460" s="293"/>
    </row>
    <row r="461">
      <c r="C461" s="293"/>
    </row>
    <row r="462">
      <c r="C462" s="293"/>
    </row>
    <row r="463">
      <c r="C463" s="293"/>
    </row>
    <row r="464">
      <c r="C464" s="293"/>
    </row>
    <row r="465">
      <c r="C465" s="293"/>
    </row>
    <row r="466">
      <c r="C466" s="293"/>
    </row>
    <row r="467">
      <c r="C467" s="293"/>
    </row>
    <row r="468">
      <c r="C468" s="293"/>
    </row>
    <row r="469">
      <c r="C469" s="293"/>
    </row>
    <row r="470">
      <c r="C470" s="293"/>
    </row>
    <row r="471">
      <c r="C471" s="293"/>
    </row>
    <row r="472">
      <c r="C472" s="293"/>
    </row>
    <row r="473">
      <c r="C473" s="293"/>
    </row>
    <row r="474">
      <c r="C474" s="293"/>
    </row>
    <row r="475">
      <c r="C475" s="293"/>
    </row>
    <row r="476">
      <c r="C476" s="293"/>
    </row>
    <row r="477">
      <c r="C477" s="293"/>
    </row>
    <row r="478">
      <c r="C478" s="293"/>
    </row>
    <row r="479">
      <c r="C479" s="293"/>
    </row>
    <row r="480">
      <c r="C480" s="293"/>
    </row>
    <row r="481">
      <c r="C481" s="293"/>
    </row>
    <row r="482">
      <c r="C482" s="293"/>
    </row>
    <row r="483">
      <c r="C483" s="293"/>
    </row>
    <row r="484">
      <c r="C484" s="293"/>
    </row>
    <row r="485">
      <c r="C485" s="293"/>
    </row>
    <row r="486">
      <c r="C486" s="293"/>
    </row>
    <row r="487">
      <c r="C487" s="293"/>
    </row>
    <row r="488">
      <c r="C488" s="293"/>
    </row>
    <row r="489">
      <c r="C489" s="293"/>
    </row>
    <row r="490">
      <c r="C490" s="293"/>
    </row>
    <row r="491">
      <c r="C491" s="293"/>
    </row>
    <row r="492">
      <c r="C492" s="293"/>
    </row>
    <row r="493">
      <c r="C493" s="293"/>
    </row>
    <row r="494">
      <c r="C494" s="293"/>
    </row>
    <row r="495">
      <c r="C495" s="293"/>
    </row>
    <row r="496">
      <c r="C496" s="293"/>
    </row>
    <row r="497">
      <c r="C497" s="293"/>
    </row>
    <row r="498">
      <c r="C498" s="293"/>
    </row>
    <row r="499">
      <c r="C499" s="293"/>
    </row>
    <row r="500">
      <c r="C500" s="293"/>
    </row>
    <row r="501">
      <c r="C501" s="293"/>
    </row>
    <row r="502">
      <c r="C502" s="293"/>
    </row>
    <row r="503">
      <c r="C503" s="293"/>
    </row>
    <row r="504">
      <c r="C504" s="293"/>
    </row>
    <row r="505">
      <c r="C505" s="293"/>
    </row>
    <row r="506">
      <c r="C506" s="293"/>
    </row>
    <row r="507">
      <c r="C507" s="293"/>
    </row>
    <row r="508">
      <c r="C508" s="293"/>
    </row>
    <row r="509">
      <c r="C509" s="293"/>
    </row>
    <row r="510">
      <c r="C510" s="293"/>
    </row>
    <row r="511">
      <c r="C511" s="293"/>
    </row>
    <row r="512">
      <c r="C512" s="293"/>
    </row>
    <row r="513">
      <c r="C513" s="293"/>
    </row>
    <row r="514">
      <c r="C514" s="293"/>
    </row>
    <row r="515">
      <c r="C515" s="293"/>
    </row>
    <row r="516">
      <c r="C516" s="293"/>
    </row>
    <row r="517">
      <c r="C517" s="293"/>
    </row>
    <row r="518">
      <c r="C518" s="293"/>
    </row>
    <row r="519">
      <c r="C519" s="293"/>
    </row>
    <row r="520">
      <c r="C520" s="293"/>
    </row>
    <row r="521">
      <c r="C521" s="293"/>
    </row>
    <row r="522">
      <c r="C522" s="293"/>
    </row>
    <row r="523">
      <c r="C523" s="293"/>
    </row>
    <row r="524">
      <c r="C524" s="293"/>
    </row>
    <row r="525">
      <c r="C525" s="293"/>
    </row>
    <row r="526">
      <c r="C526" s="293"/>
    </row>
    <row r="527">
      <c r="C527" s="293"/>
    </row>
    <row r="528">
      <c r="C528" s="293"/>
    </row>
    <row r="529">
      <c r="C529" s="293"/>
    </row>
    <row r="530">
      <c r="C530" s="293"/>
    </row>
    <row r="531">
      <c r="C531" s="293"/>
    </row>
    <row r="532">
      <c r="C532" s="293"/>
    </row>
    <row r="533">
      <c r="C533" s="293"/>
    </row>
    <row r="534">
      <c r="C534" s="293"/>
    </row>
    <row r="535">
      <c r="C535" s="293"/>
    </row>
    <row r="536">
      <c r="C536" s="293"/>
    </row>
    <row r="537">
      <c r="C537" s="293"/>
    </row>
    <row r="538">
      <c r="C538" s="293"/>
    </row>
    <row r="539">
      <c r="C539" s="293"/>
    </row>
    <row r="540">
      <c r="C540" s="293"/>
    </row>
    <row r="541">
      <c r="C541" s="293"/>
    </row>
    <row r="542">
      <c r="C542" s="293"/>
    </row>
    <row r="543">
      <c r="C543" s="293"/>
    </row>
    <row r="544">
      <c r="C544" s="293"/>
    </row>
    <row r="545">
      <c r="C545" s="293"/>
    </row>
    <row r="546">
      <c r="C546" s="293"/>
    </row>
    <row r="547">
      <c r="C547" s="293"/>
    </row>
    <row r="548">
      <c r="C548" s="293"/>
    </row>
    <row r="549">
      <c r="C549" s="293"/>
    </row>
    <row r="550">
      <c r="C550" s="293"/>
    </row>
    <row r="551">
      <c r="C551" s="293"/>
    </row>
    <row r="552">
      <c r="C552" s="293"/>
    </row>
    <row r="553">
      <c r="C553" s="293"/>
    </row>
    <row r="554">
      <c r="C554" s="293"/>
    </row>
    <row r="555">
      <c r="C555" s="293"/>
    </row>
    <row r="556">
      <c r="C556" s="293"/>
    </row>
    <row r="557">
      <c r="C557" s="293"/>
    </row>
    <row r="558">
      <c r="C558" s="293"/>
    </row>
    <row r="559">
      <c r="C559" s="293"/>
    </row>
    <row r="560">
      <c r="C560" s="293"/>
    </row>
    <row r="561">
      <c r="C561" s="293"/>
    </row>
    <row r="562">
      <c r="C562" s="293"/>
    </row>
    <row r="563">
      <c r="C563" s="293"/>
    </row>
    <row r="564">
      <c r="C564" s="293"/>
    </row>
    <row r="565">
      <c r="C565" s="293"/>
    </row>
    <row r="566">
      <c r="C566" s="293"/>
    </row>
    <row r="567">
      <c r="C567" s="293"/>
    </row>
    <row r="568">
      <c r="C568" s="293"/>
    </row>
    <row r="569">
      <c r="C569" s="293"/>
    </row>
    <row r="570">
      <c r="C570" s="293"/>
    </row>
    <row r="571">
      <c r="C571" s="293"/>
    </row>
    <row r="572">
      <c r="C572" s="293"/>
    </row>
    <row r="573">
      <c r="C573" s="293"/>
    </row>
    <row r="574">
      <c r="C574" s="293"/>
    </row>
    <row r="575">
      <c r="C575" s="293"/>
    </row>
    <row r="576">
      <c r="C576" s="293"/>
    </row>
    <row r="577">
      <c r="C577" s="293"/>
    </row>
    <row r="578">
      <c r="C578" s="293"/>
    </row>
    <row r="579">
      <c r="C579" s="293"/>
    </row>
    <row r="580">
      <c r="C580" s="293"/>
    </row>
    <row r="581">
      <c r="C581" s="293"/>
    </row>
    <row r="582">
      <c r="C582" s="293"/>
    </row>
    <row r="583">
      <c r="C583" s="293"/>
    </row>
    <row r="584">
      <c r="C584" s="293"/>
    </row>
    <row r="585">
      <c r="C585" s="293"/>
    </row>
    <row r="586">
      <c r="C586" s="293"/>
    </row>
    <row r="587">
      <c r="C587" s="293"/>
    </row>
    <row r="588">
      <c r="C588" s="293"/>
    </row>
    <row r="589">
      <c r="C589" s="293"/>
    </row>
    <row r="590">
      <c r="C590" s="293"/>
    </row>
    <row r="591">
      <c r="C591" s="293"/>
    </row>
    <row r="592">
      <c r="C592" s="293"/>
    </row>
    <row r="593">
      <c r="C593" s="293"/>
    </row>
    <row r="594">
      <c r="C594" s="293"/>
    </row>
    <row r="595">
      <c r="C595" s="293"/>
    </row>
    <row r="596">
      <c r="C596" s="293"/>
    </row>
    <row r="597">
      <c r="C597" s="293"/>
    </row>
    <row r="598">
      <c r="C598" s="293"/>
    </row>
    <row r="599">
      <c r="C599" s="293"/>
    </row>
    <row r="600">
      <c r="C600" s="293"/>
    </row>
    <row r="601">
      <c r="C601" s="293"/>
    </row>
    <row r="602">
      <c r="C602" s="293"/>
    </row>
    <row r="603">
      <c r="C603" s="293"/>
    </row>
    <row r="604">
      <c r="C604" s="293"/>
    </row>
    <row r="605">
      <c r="C605" s="293"/>
    </row>
    <row r="606">
      <c r="C606" s="293"/>
    </row>
    <row r="607">
      <c r="C607" s="293"/>
    </row>
    <row r="608">
      <c r="C608" s="293"/>
    </row>
    <row r="609">
      <c r="C609" s="293"/>
    </row>
    <row r="610">
      <c r="C610" s="293"/>
    </row>
    <row r="611">
      <c r="C611" s="293"/>
    </row>
    <row r="612">
      <c r="C612" s="293"/>
    </row>
    <row r="613">
      <c r="C613" s="293"/>
    </row>
    <row r="614">
      <c r="C614" s="293"/>
    </row>
    <row r="615">
      <c r="C615" s="293"/>
    </row>
    <row r="616">
      <c r="C616" s="293"/>
    </row>
    <row r="617">
      <c r="C617" s="293"/>
    </row>
    <row r="618">
      <c r="C618" s="293"/>
    </row>
    <row r="619">
      <c r="C619" s="293"/>
    </row>
    <row r="620">
      <c r="C620" s="293"/>
    </row>
    <row r="621">
      <c r="C621" s="293"/>
    </row>
    <row r="622">
      <c r="C622" s="293"/>
    </row>
    <row r="623">
      <c r="C623" s="293"/>
    </row>
    <row r="624">
      <c r="C624" s="293"/>
    </row>
    <row r="625">
      <c r="C625" s="293"/>
    </row>
    <row r="626">
      <c r="C626" s="293"/>
    </row>
    <row r="627">
      <c r="C627" s="293"/>
    </row>
    <row r="628">
      <c r="C628" s="293"/>
    </row>
    <row r="629">
      <c r="C629" s="293"/>
    </row>
    <row r="630">
      <c r="C630" s="293"/>
    </row>
    <row r="631">
      <c r="C631" s="293"/>
    </row>
    <row r="632">
      <c r="C632" s="293"/>
    </row>
    <row r="633">
      <c r="C633" s="293"/>
    </row>
    <row r="634">
      <c r="C634" s="293"/>
    </row>
    <row r="635">
      <c r="C635" s="293"/>
    </row>
    <row r="636">
      <c r="C636" s="293"/>
    </row>
    <row r="637">
      <c r="C637" s="293"/>
    </row>
    <row r="638">
      <c r="C638" s="293"/>
    </row>
    <row r="639">
      <c r="C639" s="293"/>
    </row>
    <row r="640">
      <c r="C640" s="293"/>
    </row>
    <row r="641">
      <c r="C641" s="293"/>
    </row>
    <row r="642">
      <c r="C642" s="293"/>
    </row>
    <row r="643">
      <c r="C643" s="293"/>
    </row>
    <row r="644">
      <c r="C644" s="293"/>
    </row>
    <row r="645">
      <c r="C645" s="293"/>
    </row>
    <row r="646">
      <c r="C646" s="293"/>
    </row>
    <row r="647">
      <c r="C647" s="293"/>
    </row>
    <row r="648">
      <c r="C648" s="293"/>
    </row>
    <row r="649">
      <c r="C649" s="293"/>
    </row>
    <row r="650">
      <c r="C650" s="293"/>
    </row>
    <row r="651">
      <c r="C651" s="293"/>
    </row>
    <row r="652">
      <c r="C652" s="293"/>
    </row>
    <row r="653">
      <c r="C653" s="293"/>
    </row>
    <row r="654">
      <c r="C654" s="293"/>
    </row>
    <row r="655">
      <c r="C655" s="293"/>
    </row>
    <row r="656">
      <c r="C656" s="293"/>
    </row>
    <row r="657">
      <c r="C657" s="293"/>
    </row>
    <row r="658">
      <c r="C658" s="293"/>
    </row>
    <row r="659">
      <c r="C659" s="293"/>
    </row>
    <row r="660">
      <c r="C660" s="293"/>
    </row>
    <row r="661">
      <c r="C661" s="293"/>
    </row>
    <row r="662">
      <c r="C662" s="293"/>
    </row>
    <row r="663">
      <c r="C663" s="293"/>
    </row>
    <row r="664">
      <c r="C664" s="293"/>
    </row>
    <row r="665">
      <c r="C665" s="293"/>
    </row>
    <row r="666">
      <c r="C666" s="293"/>
    </row>
    <row r="667">
      <c r="C667" s="293"/>
    </row>
    <row r="668">
      <c r="C668" s="293"/>
    </row>
    <row r="669">
      <c r="C669" s="293"/>
    </row>
    <row r="670">
      <c r="C670" s="293"/>
    </row>
    <row r="671">
      <c r="C671" s="293"/>
    </row>
    <row r="672">
      <c r="C672" s="293"/>
    </row>
    <row r="673">
      <c r="C673" s="293"/>
    </row>
    <row r="674">
      <c r="C674" s="293"/>
    </row>
    <row r="675">
      <c r="C675" s="293"/>
    </row>
    <row r="676">
      <c r="C676" s="293"/>
    </row>
    <row r="677">
      <c r="C677" s="293"/>
    </row>
    <row r="678">
      <c r="C678" s="293"/>
    </row>
    <row r="679">
      <c r="C679" s="293"/>
    </row>
    <row r="680">
      <c r="C680" s="293"/>
    </row>
    <row r="681">
      <c r="C681" s="293"/>
    </row>
    <row r="682">
      <c r="C682" s="293"/>
    </row>
    <row r="683">
      <c r="C683" s="293"/>
    </row>
    <row r="684">
      <c r="C684" s="293"/>
    </row>
    <row r="685">
      <c r="C685" s="293"/>
    </row>
    <row r="686">
      <c r="C686" s="293"/>
    </row>
    <row r="687">
      <c r="C687" s="293"/>
    </row>
    <row r="688">
      <c r="C688" s="293"/>
    </row>
    <row r="689">
      <c r="C689" s="293"/>
    </row>
    <row r="690">
      <c r="C690" s="293"/>
    </row>
    <row r="691">
      <c r="C691" s="293"/>
    </row>
    <row r="692">
      <c r="C692" s="293"/>
    </row>
    <row r="693">
      <c r="C693" s="293"/>
    </row>
    <row r="694">
      <c r="C694" s="293"/>
    </row>
    <row r="695">
      <c r="C695" s="293"/>
    </row>
    <row r="696">
      <c r="C696" s="293"/>
    </row>
    <row r="697">
      <c r="C697" s="293"/>
    </row>
    <row r="698">
      <c r="C698" s="293"/>
    </row>
    <row r="699">
      <c r="C699" s="293"/>
    </row>
    <row r="700">
      <c r="C700" s="293"/>
    </row>
    <row r="701">
      <c r="C701" s="293"/>
    </row>
    <row r="702">
      <c r="C702" s="293"/>
    </row>
    <row r="703">
      <c r="C703" s="293"/>
    </row>
    <row r="704">
      <c r="C704" s="293"/>
    </row>
    <row r="705">
      <c r="C705" s="293"/>
    </row>
    <row r="706">
      <c r="C706" s="293"/>
    </row>
    <row r="707">
      <c r="C707" s="293"/>
    </row>
    <row r="708">
      <c r="C708" s="293"/>
    </row>
    <row r="709">
      <c r="C709" s="293"/>
    </row>
    <row r="710">
      <c r="C710" s="293"/>
    </row>
    <row r="711">
      <c r="C711" s="293"/>
    </row>
    <row r="712">
      <c r="C712" s="293"/>
    </row>
    <row r="713">
      <c r="C713" s="293"/>
    </row>
    <row r="714">
      <c r="C714" s="293"/>
    </row>
    <row r="715">
      <c r="C715" s="293"/>
    </row>
    <row r="716">
      <c r="C716" s="293"/>
    </row>
    <row r="717">
      <c r="C717" s="293"/>
    </row>
    <row r="718">
      <c r="C718" s="293"/>
    </row>
    <row r="719">
      <c r="C719" s="293"/>
    </row>
    <row r="720">
      <c r="C720" s="293"/>
    </row>
    <row r="721">
      <c r="C721" s="293"/>
    </row>
    <row r="722">
      <c r="C722" s="293"/>
    </row>
    <row r="723">
      <c r="C723" s="293"/>
    </row>
    <row r="724">
      <c r="C724" s="293"/>
    </row>
    <row r="725">
      <c r="C725" s="293"/>
    </row>
    <row r="726">
      <c r="C726" s="293"/>
    </row>
    <row r="727">
      <c r="C727" s="293"/>
    </row>
    <row r="728">
      <c r="C728" s="293"/>
    </row>
    <row r="729">
      <c r="C729" s="293"/>
    </row>
    <row r="730">
      <c r="C730" s="293"/>
    </row>
    <row r="731">
      <c r="C731" s="293"/>
    </row>
    <row r="732">
      <c r="C732" s="293"/>
    </row>
    <row r="733">
      <c r="C733" s="293"/>
    </row>
    <row r="734">
      <c r="C734" s="293"/>
    </row>
    <row r="735">
      <c r="C735" s="293"/>
    </row>
    <row r="736">
      <c r="C736" s="293"/>
    </row>
    <row r="737">
      <c r="C737" s="293"/>
    </row>
    <row r="738">
      <c r="C738" s="293"/>
    </row>
    <row r="739">
      <c r="C739" s="293"/>
    </row>
    <row r="740">
      <c r="C740" s="293"/>
    </row>
    <row r="741">
      <c r="C741" s="293"/>
    </row>
    <row r="742">
      <c r="C742" s="293"/>
    </row>
    <row r="743">
      <c r="C743" s="293"/>
    </row>
    <row r="744">
      <c r="C744" s="293"/>
    </row>
    <row r="745">
      <c r="C745" s="293"/>
    </row>
    <row r="746">
      <c r="C746" s="293"/>
    </row>
    <row r="747">
      <c r="C747" s="293"/>
    </row>
    <row r="748">
      <c r="C748" s="293"/>
    </row>
    <row r="749">
      <c r="C749" s="293"/>
    </row>
    <row r="750">
      <c r="C750" s="293"/>
    </row>
    <row r="751">
      <c r="C751" s="293"/>
    </row>
    <row r="752">
      <c r="C752" s="293"/>
    </row>
    <row r="753">
      <c r="C753" s="293"/>
    </row>
    <row r="754">
      <c r="C754" s="293"/>
    </row>
    <row r="755">
      <c r="C755" s="293"/>
    </row>
    <row r="756">
      <c r="C756" s="293"/>
    </row>
    <row r="757">
      <c r="C757" s="293"/>
    </row>
    <row r="758">
      <c r="C758" s="293"/>
    </row>
    <row r="759">
      <c r="C759" s="293"/>
    </row>
    <row r="760">
      <c r="C760" s="293"/>
    </row>
    <row r="761">
      <c r="C761" s="293"/>
    </row>
    <row r="762">
      <c r="C762" s="293"/>
    </row>
    <row r="763">
      <c r="C763" s="293"/>
    </row>
    <row r="764">
      <c r="C764" s="293"/>
    </row>
    <row r="765">
      <c r="C765" s="293"/>
    </row>
    <row r="766">
      <c r="C766" s="293"/>
    </row>
    <row r="767">
      <c r="C767" s="293"/>
    </row>
    <row r="768">
      <c r="C768" s="293"/>
    </row>
    <row r="769">
      <c r="C769" s="293"/>
    </row>
    <row r="770">
      <c r="C770" s="293"/>
    </row>
    <row r="771">
      <c r="C771" s="293"/>
    </row>
    <row r="772">
      <c r="C772" s="293"/>
    </row>
    <row r="773">
      <c r="C773" s="293"/>
    </row>
    <row r="774">
      <c r="C774" s="293"/>
    </row>
    <row r="775">
      <c r="C775" s="293"/>
    </row>
    <row r="776">
      <c r="C776" s="293"/>
    </row>
    <row r="777">
      <c r="C777" s="293"/>
    </row>
    <row r="778">
      <c r="C778" s="293"/>
    </row>
    <row r="779">
      <c r="C779" s="293"/>
    </row>
    <row r="780">
      <c r="C780" s="293"/>
    </row>
    <row r="781">
      <c r="C781" s="293"/>
    </row>
    <row r="782">
      <c r="C782" s="293"/>
    </row>
    <row r="783">
      <c r="C783" s="293"/>
    </row>
    <row r="784">
      <c r="C784" s="293"/>
    </row>
    <row r="785">
      <c r="C785" s="293"/>
    </row>
    <row r="786">
      <c r="C786" s="293"/>
    </row>
    <row r="787">
      <c r="C787" s="293"/>
    </row>
    <row r="788">
      <c r="C788" s="293"/>
    </row>
    <row r="789">
      <c r="C789" s="293"/>
    </row>
    <row r="790">
      <c r="C790" s="293"/>
    </row>
    <row r="791">
      <c r="C791" s="293"/>
    </row>
    <row r="792">
      <c r="C792" s="293"/>
    </row>
    <row r="793">
      <c r="C793" s="293"/>
    </row>
    <row r="794">
      <c r="C794" s="293"/>
    </row>
    <row r="795">
      <c r="C795" s="293"/>
    </row>
    <row r="796">
      <c r="C796" s="293"/>
    </row>
    <row r="797">
      <c r="C797" s="293"/>
    </row>
    <row r="798">
      <c r="C798" s="293"/>
    </row>
    <row r="799">
      <c r="C799" s="293"/>
    </row>
    <row r="800">
      <c r="C800" s="293"/>
    </row>
    <row r="801">
      <c r="C801" s="293"/>
    </row>
    <row r="802">
      <c r="C802" s="293"/>
    </row>
    <row r="803">
      <c r="C803" s="293"/>
    </row>
    <row r="804">
      <c r="C804" s="293"/>
    </row>
    <row r="805">
      <c r="C805" s="293"/>
    </row>
    <row r="806">
      <c r="C806" s="293"/>
    </row>
    <row r="807">
      <c r="C807" s="293"/>
    </row>
    <row r="808">
      <c r="C808" s="293"/>
    </row>
    <row r="809">
      <c r="C809" s="293"/>
    </row>
    <row r="810">
      <c r="C810" s="293"/>
    </row>
    <row r="811">
      <c r="C811" s="293"/>
    </row>
    <row r="812">
      <c r="C812" s="293"/>
    </row>
    <row r="813">
      <c r="C813" s="293"/>
    </row>
    <row r="814">
      <c r="C814" s="293"/>
    </row>
    <row r="815">
      <c r="C815" s="293"/>
    </row>
    <row r="816">
      <c r="C816" s="293"/>
    </row>
    <row r="817">
      <c r="C817" s="293"/>
    </row>
    <row r="818">
      <c r="C818" s="293"/>
    </row>
    <row r="819">
      <c r="C819" s="293"/>
    </row>
    <row r="820">
      <c r="C820" s="293"/>
    </row>
    <row r="821">
      <c r="C821" s="293"/>
    </row>
    <row r="822">
      <c r="C822" s="293"/>
    </row>
    <row r="823">
      <c r="C823" s="293"/>
    </row>
    <row r="824">
      <c r="C824" s="293"/>
    </row>
    <row r="825">
      <c r="C825" s="293"/>
    </row>
    <row r="826">
      <c r="C826" s="293"/>
    </row>
    <row r="827">
      <c r="C827" s="293"/>
    </row>
    <row r="828">
      <c r="C828" s="293"/>
    </row>
    <row r="829">
      <c r="C829" s="293"/>
    </row>
    <row r="830">
      <c r="C830" s="293"/>
    </row>
    <row r="831">
      <c r="C831" s="293"/>
    </row>
    <row r="832">
      <c r="C832" s="293"/>
    </row>
    <row r="833">
      <c r="C833" s="293"/>
    </row>
    <row r="834">
      <c r="C834" s="293"/>
    </row>
    <row r="835">
      <c r="C835" s="293"/>
    </row>
    <row r="836">
      <c r="C836" s="293"/>
    </row>
    <row r="837">
      <c r="C837" s="293"/>
    </row>
    <row r="838">
      <c r="C838" s="293"/>
    </row>
    <row r="839">
      <c r="C839" s="293"/>
    </row>
    <row r="840">
      <c r="C840" s="293"/>
    </row>
    <row r="841">
      <c r="C841" s="293"/>
    </row>
    <row r="842">
      <c r="C842" s="293"/>
    </row>
    <row r="843">
      <c r="C843" s="293"/>
    </row>
    <row r="844">
      <c r="C844" s="293"/>
    </row>
    <row r="845">
      <c r="C845" s="293"/>
    </row>
    <row r="846">
      <c r="C846" s="293"/>
    </row>
    <row r="847">
      <c r="C847" s="293"/>
    </row>
    <row r="848">
      <c r="C848" s="293"/>
    </row>
    <row r="849">
      <c r="C849" s="293"/>
    </row>
    <row r="850">
      <c r="C850" s="293"/>
    </row>
    <row r="851">
      <c r="C851" s="293"/>
    </row>
    <row r="852">
      <c r="C852" s="293"/>
    </row>
    <row r="853">
      <c r="C853" s="293"/>
    </row>
    <row r="854">
      <c r="C854" s="293"/>
    </row>
    <row r="855">
      <c r="C855" s="293"/>
    </row>
    <row r="856">
      <c r="C856" s="293"/>
    </row>
    <row r="857">
      <c r="C857" s="293"/>
    </row>
    <row r="858">
      <c r="C858" s="293"/>
    </row>
    <row r="859">
      <c r="C859" s="293"/>
    </row>
    <row r="860">
      <c r="C860" s="293"/>
    </row>
    <row r="861">
      <c r="C861" s="293"/>
    </row>
    <row r="862">
      <c r="C862" s="293"/>
    </row>
    <row r="863">
      <c r="C863" s="293"/>
    </row>
    <row r="864">
      <c r="C864" s="293"/>
    </row>
    <row r="865">
      <c r="C865" s="293"/>
    </row>
    <row r="866">
      <c r="C866" s="293"/>
    </row>
    <row r="867">
      <c r="C867" s="293"/>
    </row>
    <row r="868">
      <c r="C868" s="293"/>
    </row>
    <row r="869">
      <c r="C869" s="293"/>
    </row>
    <row r="870">
      <c r="C870" s="293"/>
    </row>
    <row r="871">
      <c r="C871" s="293"/>
    </row>
    <row r="872">
      <c r="C872" s="293"/>
    </row>
    <row r="873">
      <c r="C873" s="293"/>
    </row>
    <row r="874">
      <c r="C874" s="293"/>
    </row>
    <row r="875">
      <c r="C875" s="293"/>
    </row>
    <row r="876">
      <c r="C876" s="293"/>
    </row>
    <row r="877">
      <c r="C877" s="293"/>
    </row>
    <row r="878">
      <c r="C878" s="293"/>
    </row>
    <row r="879">
      <c r="C879" s="293"/>
    </row>
    <row r="880">
      <c r="C880" s="293"/>
    </row>
    <row r="881">
      <c r="C881" s="293"/>
    </row>
    <row r="882">
      <c r="C882" s="293"/>
    </row>
    <row r="883">
      <c r="C883" s="293"/>
    </row>
    <row r="884">
      <c r="C884" s="293"/>
    </row>
    <row r="885">
      <c r="C885" s="293"/>
    </row>
    <row r="886">
      <c r="C886" s="293"/>
    </row>
    <row r="887">
      <c r="C887" s="293"/>
    </row>
    <row r="888">
      <c r="C888" s="293"/>
    </row>
    <row r="889">
      <c r="C889" s="293"/>
    </row>
    <row r="890">
      <c r="C890" s="293"/>
    </row>
    <row r="891">
      <c r="C891" s="293"/>
    </row>
    <row r="892">
      <c r="C892" s="293"/>
    </row>
    <row r="893">
      <c r="C893" s="293"/>
    </row>
    <row r="894">
      <c r="C894" s="293"/>
    </row>
    <row r="895">
      <c r="C895" s="293"/>
    </row>
    <row r="896">
      <c r="C896" s="293"/>
    </row>
    <row r="897">
      <c r="C897" s="293"/>
    </row>
    <row r="898">
      <c r="C898" s="293"/>
    </row>
    <row r="899">
      <c r="C899" s="293"/>
    </row>
    <row r="900">
      <c r="C900" s="293"/>
    </row>
    <row r="901">
      <c r="C901" s="293"/>
    </row>
    <row r="902">
      <c r="C902" s="293"/>
    </row>
    <row r="903">
      <c r="C903" s="293"/>
    </row>
    <row r="904">
      <c r="C904" s="293"/>
    </row>
    <row r="905">
      <c r="C905" s="293"/>
    </row>
    <row r="906">
      <c r="C906" s="293"/>
    </row>
    <row r="907">
      <c r="C907" s="293"/>
    </row>
    <row r="908">
      <c r="C908" s="293"/>
    </row>
    <row r="909">
      <c r="C909" s="293"/>
    </row>
    <row r="910">
      <c r="C910" s="293"/>
    </row>
    <row r="911">
      <c r="C911" s="293"/>
    </row>
    <row r="912">
      <c r="C912" s="293"/>
    </row>
    <row r="913">
      <c r="C913" s="293"/>
    </row>
    <row r="914">
      <c r="C914" s="293"/>
    </row>
    <row r="915">
      <c r="C915" s="293"/>
    </row>
    <row r="916">
      <c r="C916" s="293"/>
    </row>
    <row r="917">
      <c r="C917" s="293"/>
    </row>
    <row r="918">
      <c r="C918" s="293"/>
    </row>
    <row r="919">
      <c r="C919" s="293"/>
    </row>
    <row r="920">
      <c r="C920" s="293"/>
    </row>
    <row r="921">
      <c r="C921" s="293"/>
    </row>
    <row r="922">
      <c r="C922" s="293"/>
    </row>
    <row r="923">
      <c r="C923" s="293"/>
    </row>
    <row r="924">
      <c r="C924" s="293"/>
    </row>
    <row r="925">
      <c r="C925" s="293"/>
    </row>
    <row r="926">
      <c r="C926" s="293"/>
    </row>
    <row r="927">
      <c r="C927" s="293"/>
    </row>
    <row r="928">
      <c r="C928" s="293"/>
    </row>
    <row r="929">
      <c r="C929" s="293"/>
    </row>
    <row r="930">
      <c r="C930" s="293"/>
    </row>
    <row r="931">
      <c r="C931" s="293"/>
    </row>
    <row r="932">
      <c r="C932" s="293"/>
    </row>
    <row r="933">
      <c r="C933" s="293"/>
    </row>
    <row r="934">
      <c r="C934" s="293"/>
    </row>
    <row r="935">
      <c r="C935" s="293"/>
    </row>
    <row r="936">
      <c r="C936" s="293"/>
    </row>
    <row r="937">
      <c r="C937" s="293"/>
    </row>
    <row r="938">
      <c r="C938" s="293"/>
    </row>
    <row r="939">
      <c r="C939" s="293"/>
    </row>
    <row r="940">
      <c r="C940" s="293"/>
    </row>
    <row r="941">
      <c r="C941" s="293"/>
    </row>
    <row r="942">
      <c r="C942" s="293"/>
    </row>
    <row r="943">
      <c r="C943" s="293"/>
    </row>
    <row r="944">
      <c r="C944" s="293"/>
    </row>
    <row r="945">
      <c r="C945" s="293"/>
    </row>
    <row r="946">
      <c r="C946" s="293"/>
    </row>
    <row r="947">
      <c r="C947" s="293"/>
    </row>
    <row r="948">
      <c r="C948" s="293"/>
    </row>
    <row r="949">
      <c r="C949" s="293"/>
    </row>
    <row r="950">
      <c r="C950" s="293"/>
    </row>
    <row r="951">
      <c r="C951" s="293"/>
    </row>
    <row r="952">
      <c r="C952" s="293"/>
    </row>
    <row r="953">
      <c r="C953" s="293"/>
    </row>
    <row r="954">
      <c r="C954" s="293"/>
    </row>
    <row r="955">
      <c r="C955" s="293"/>
    </row>
    <row r="956">
      <c r="C956" s="293"/>
    </row>
    <row r="957">
      <c r="C957" s="293"/>
    </row>
    <row r="958">
      <c r="C958" s="293"/>
    </row>
    <row r="959">
      <c r="C959" s="293"/>
    </row>
    <row r="960">
      <c r="C960" s="293"/>
    </row>
    <row r="961">
      <c r="C961" s="293"/>
    </row>
    <row r="962">
      <c r="C962" s="293"/>
    </row>
    <row r="963">
      <c r="C963" s="293"/>
    </row>
    <row r="964">
      <c r="C964" s="293"/>
    </row>
    <row r="965">
      <c r="C965" s="293"/>
    </row>
    <row r="966">
      <c r="C966" s="293"/>
    </row>
    <row r="967">
      <c r="C967" s="293"/>
    </row>
    <row r="968">
      <c r="C968" s="293"/>
    </row>
    <row r="969">
      <c r="C969" s="293"/>
    </row>
    <row r="970">
      <c r="C970" s="293"/>
    </row>
    <row r="971">
      <c r="C971" s="293"/>
    </row>
    <row r="972">
      <c r="C972" s="293"/>
    </row>
    <row r="973">
      <c r="C973" s="293"/>
    </row>
    <row r="974">
      <c r="C974" s="293"/>
    </row>
    <row r="975">
      <c r="C975" s="293"/>
    </row>
    <row r="976">
      <c r="C976" s="293"/>
    </row>
    <row r="977">
      <c r="C977" s="293"/>
    </row>
    <row r="978">
      <c r="C978" s="293"/>
    </row>
    <row r="979">
      <c r="C979" s="293"/>
    </row>
    <row r="980">
      <c r="C980" s="293"/>
    </row>
    <row r="981">
      <c r="C981" s="293"/>
    </row>
    <row r="982">
      <c r="C982" s="293"/>
    </row>
    <row r="983">
      <c r="C983" s="293"/>
    </row>
    <row r="984">
      <c r="C984" s="293"/>
    </row>
    <row r="985">
      <c r="C985" s="293"/>
    </row>
    <row r="986">
      <c r="C986" s="293"/>
    </row>
    <row r="987">
      <c r="C987" s="293"/>
    </row>
    <row r="988">
      <c r="C988" s="293"/>
    </row>
    <row r="989">
      <c r="C989" s="293"/>
    </row>
    <row r="990">
      <c r="C990" s="293"/>
    </row>
    <row r="991">
      <c r="C991" s="293"/>
    </row>
    <row r="992">
      <c r="C992" s="293"/>
    </row>
    <row r="993">
      <c r="C993" s="293"/>
    </row>
    <row r="994">
      <c r="C994" s="293"/>
    </row>
    <row r="995">
      <c r="C995" s="293"/>
    </row>
    <row r="996">
      <c r="C996" s="293"/>
    </row>
    <row r="997">
      <c r="C997" s="293"/>
    </row>
    <row r="998">
      <c r="C998" s="293"/>
    </row>
    <row r="999">
      <c r="C999" s="293"/>
    </row>
    <row r="1000">
      <c r="C1000" s="293"/>
    </row>
  </sheetData>
  <hyperlinks>
    <hyperlink r:id="rId2" ref="A27"/>
  </hyperlin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1.5" customHeight="1">
      <c r="A1" s="296" t="s">
        <v>157</v>
      </c>
      <c r="B1" s="296" t="s">
        <v>158</v>
      </c>
      <c r="C1" s="296" t="s">
        <v>159</v>
      </c>
      <c r="D1" s="296" t="s">
        <v>160</v>
      </c>
      <c r="E1" s="296" t="s">
        <v>161</v>
      </c>
      <c r="F1" s="296" t="s">
        <v>162</v>
      </c>
      <c r="G1" s="297" t="s">
        <v>163</v>
      </c>
      <c r="H1" s="296" t="s">
        <v>164</v>
      </c>
      <c r="I1" s="296" t="s">
        <v>165</v>
      </c>
      <c r="J1" s="296" t="s">
        <v>166</v>
      </c>
      <c r="K1" s="296" t="s">
        <v>167</v>
      </c>
      <c r="L1" s="296" t="s">
        <v>2</v>
      </c>
      <c r="M1" s="296" t="s">
        <v>3</v>
      </c>
      <c r="N1" s="297" t="s">
        <v>4</v>
      </c>
      <c r="O1" s="296" t="s">
        <v>168</v>
      </c>
      <c r="P1" s="297" t="s">
        <v>169</v>
      </c>
      <c r="Q1" s="297" t="s">
        <v>170</v>
      </c>
      <c r="R1" s="297" t="s">
        <v>171</v>
      </c>
      <c r="S1" s="297" t="s">
        <v>172</v>
      </c>
      <c r="T1" s="297" t="s">
        <v>173</v>
      </c>
      <c r="U1" s="297" t="s">
        <v>174</v>
      </c>
      <c r="V1" s="297" t="s">
        <v>175</v>
      </c>
      <c r="W1" s="297" t="s">
        <v>176</v>
      </c>
      <c r="X1" s="297" t="s">
        <v>177</v>
      </c>
      <c r="Y1" s="297" t="s">
        <v>178</v>
      </c>
      <c r="Z1" s="297" t="s">
        <v>157</v>
      </c>
      <c r="AA1" s="297" t="s">
        <v>179</v>
      </c>
      <c r="AB1" s="297" t="s">
        <v>180</v>
      </c>
      <c r="AC1" s="297" t="s">
        <v>181</v>
      </c>
      <c r="AD1" s="297" t="s">
        <v>182</v>
      </c>
      <c r="AE1" s="297" t="s">
        <v>183</v>
      </c>
      <c r="AF1" s="297" t="s">
        <v>184</v>
      </c>
      <c r="AG1" s="297" t="s">
        <v>185</v>
      </c>
      <c r="AH1" s="297" t="s">
        <v>186</v>
      </c>
      <c r="AI1" s="297" t="s">
        <v>187</v>
      </c>
      <c r="AJ1" s="297" t="s">
        <v>188</v>
      </c>
    </row>
  </sheetData>
  <drawing r:id="rId1"/>
</worksheet>
</file>